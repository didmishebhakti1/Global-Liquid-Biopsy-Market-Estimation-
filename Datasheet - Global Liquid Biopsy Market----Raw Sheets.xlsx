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OneDrive\Desktop\ME,KOL,Patent Analysis , Forecasting\Market Estimation\"/>
    </mc:Choice>
  </mc:AlternateContent>
  <xr:revisionPtr revIDLastSave="0" documentId="13_ncr:1_{341F64BF-B2BE-4F95-8E31-1F024E9603F1}" xr6:coauthVersionLast="47" xr6:coauthVersionMax="47" xr10:uidLastSave="{00000000-0000-0000-0000-000000000000}"/>
  <bookViews>
    <workbookView xWindow="-110" yWindow="-110" windowWidth="19420" windowHeight="10300" firstSheet="4" activeTab="7" xr2:uid="{00000000-000D-0000-FFFF-FFFF00000000}"/>
  </bookViews>
  <sheets>
    <sheet name="Global" sheetId="28" r:id="rId1"/>
    <sheet name="Dashboard" sheetId="27" r:id="rId2"/>
    <sheet name="Europe" sheetId="26" r:id="rId3"/>
    <sheet name="MEA" sheetId="25" r:id="rId4"/>
    <sheet name="Latin America" sheetId="24" r:id="rId5"/>
    <sheet name="APAC" sheetId="23" r:id="rId6"/>
    <sheet name="North America" sheetId="15" r:id="rId7"/>
    <sheet name="Market Analysis " sheetId="14" r:id="rId8"/>
    <sheet name="Sheet1" sheetId="29" r:id="rId9"/>
    <sheet name="Sheet2" sheetId="3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5" l="1"/>
  <c r="F14" i="15"/>
  <c r="E4" i="29"/>
  <c r="Q35" i="14"/>
  <c r="C2" i="14"/>
  <c r="D26" i="27" a="1"/>
  <c r="D26" i="27" s="1"/>
  <c r="D31" i="23"/>
  <c r="D13" i="14"/>
  <c r="D11" i="14"/>
  <c r="D8" i="14" s="1"/>
  <c r="D19" i="14"/>
  <c r="C13" i="14"/>
  <c r="C11" i="14"/>
  <c r="C15" i="14"/>
  <c r="D47" i="14"/>
  <c r="E11" i="14"/>
  <c r="E13" i="14"/>
  <c r="B16" i="14"/>
  <c r="E8" i="29"/>
  <c r="E7" i="29"/>
  <c r="E6" i="29"/>
  <c r="D11" i="29"/>
  <c r="E5" i="29" s="1"/>
  <c r="D12" i="28"/>
  <c r="C8" i="14"/>
  <c r="T19" i="15"/>
  <c r="S33" i="14"/>
  <c r="E8" i="14" l="1"/>
  <c r="AG37" i="28"/>
  <c r="AF37" i="28"/>
  <c r="AE37" i="28"/>
  <c r="AD37" i="28"/>
  <c r="AC37" i="28"/>
  <c r="AB37" i="28"/>
  <c r="AA37" i="28"/>
  <c r="Z37" i="28"/>
  <c r="Y37" i="28"/>
  <c r="X37" i="28"/>
  <c r="W37" i="28"/>
  <c r="V37" i="28"/>
  <c r="U37" i="28"/>
  <c r="T37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AG431" i="26"/>
  <c r="AF431" i="26"/>
  <c r="AE431" i="26"/>
  <c r="AD431" i="26"/>
  <c r="AC431" i="26"/>
  <c r="AB431" i="26"/>
  <c r="AA431" i="26"/>
  <c r="Z431" i="26"/>
  <c r="Y431" i="26"/>
  <c r="X431" i="26"/>
  <c r="W431" i="26"/>
  <c r="V431" i="26"/>
  <c r="U431" i="26"/>
  <c r="T431" i="26"/>
  <c r="AG423" i="26"/>
  <c r="AF423" i="26"/>
  <c r="AE423" i="26"/>
  <c r="AD423" i="26"/>
  <c r="AC423" i="26"/>
  <c r="AB423" i="26"/>
  <c r="AA423" i="26"/>
  <c r="Z423" i="26"/>
  <c r="Y423" i="26"/>
  <c r="X423" i="26"/>
  <c r="W423" i="26"/>
  <c r="V423" i="26"/>
  <c r="U423" i="26"/>
  <c r="T423" i="26"/>
  <c r="AG417" i="26"/>
  <c r="AF417" i="26"/>
  <c r="AE417" i="26"/>
  <c r="AD417" i="26"/>
  <c r="AC417" i="26"/>
  <c r="AB417" i="26"/>
  <c r="AA417" i="26"/>
  <c r="Z417" i="26"/>
  <c r="Y417" i="26"/>
  <c r="X417" i="26"/>
  <c r="W417" i="26"/>
  <c r="V417" i="26"/>
  <c r="U417" i="26"/>
  <c r="T417" i="26"/>
  <c r="AG413" i="26"/>
  <c r="AF413" i="26"/>
  <c r="AE413" i="26"/>
  <c r="AD413" i="26"/>
  <c r="AC413" i="26"/>
  <c r="AB413" i="26"/>
  <c r="AA413" i="26"/>
  <c r="Z413" i="26"/>
  <c r="Y413" i="26"/>
  <c r="X413" i="26"/>
  <c r="W413" i="26"/>
  <c r="V413" i="26"/>
  <c r="U413" i="26"/>
  <c r="T413" i="26"/>
  <c r="AG406" i="26"/>
  <c r="AF406" i="26"/>
  <c r="AE406" i="26"/>
  <c r="AD406" i="26"/>
  <c r="AC406" i="26"/>
  <c r="AB406" i="26"/>
  <c r="AA406" i="26"/>
  <c r="Z406" i="26"/>
  <c r="Y406" i="26"/>
  <c r="X406" i="26"/>
  <c r="W406" i="26"/>
  <c r="V406" i="26"/>
  <c r="U406" i="26"/>
  <c r="T406" i="26"/>
  <c r="P406" i="26"/>
  <c r="N406" i="26"/>
  <c r="H406" i="26"/>
  <c r="N404" i="26"/>
  <c r="L404" i="26"/>
  <c r="F404" i="26"/>
  <c r="AG402" i="26"/>
  <c r="AF402" i="26"/>
  <c r="AE402" i="26"/>
  <c r="AD402" i="26"/>
  <c r="AC402" i="26"/>
  <c r="AB402" i="26"/>
  <c r="AA402" i="26"/>
  <c r="Z402" i="26"/>
  <c r="Y402" i="26"/>
  <c r="X402" i="26"/>
  <c r="W402" i="26"/>
  <c r="V402" i="26"/>
  <c r="U402" i="26"/>
  <c r="T402" i="26"/>
  <c r="F402" i="26"/>
  <c r="AG401" i="26"/>
  <c r="AF401" i="26"/>
  <c r="AE401" i="26"/>
  <c r="AD401" i="26"/>
  <c r="AC401" i="26"/>
  <c r="AB401" i="26"/>
  <c r="AA401" i="26"/>
  <c r="Z401" i="26"/>
  <c r="Y401" i="26"/>
  <c r="X401" i="26"/>
  <c r="W401" i="26"/>
  <c r="V401" i="26"/>
  <c r="U401" i="26"/>
  <c r="T401" i="26"/>
  <c r="L397" i="26"/>
  <c r="J397" i="26"/>
  <c r="D397" i="26"/>
  <c r="AG395" i="26"/>
  <c r="AF395" i="26"/>
  <c r="AE395" i="26"/>
  <c r="AD395" i="26"/>
  <c r="N395" i="26" s="1"/>
  <c r="AC395" i="26"/>
  <c r="AB395" i="26"/>
  <c r="AA395" i="26"/>
  <c r="Z395" i="26"/>
  <c r="Y395" i="26"/>
  <c r="X395" i="26"/>
  <c r="W395" i="26"/>
  <c r="V395" i="26"/>
  <c r="F395" i="26" s="1"/>
  <c r="U395" i="26"/>
  <c r="E395" i="26" s="1"/>
  <c r="T395" i="26"/>
  <c r="P394" i="26"/>
  <c r="N394" i="26"/>
  <c r="H394" i="26"/>
  <c r="AG392" i="26"/>
  <c r="AF392" i="26"/>
  <c r="AE392" i="26"/>
  <c r="AD392" i="26"/>
  <c r="AC392" i="26"/>
  <c r="AB392" i="26"/>
  <c r="AA392" i="26"/>
  <c r="Z392" i="26"/>
  <c r="Y392" i="26"/>
  <c r="X392" i="26"/>
  <c r="W392" i="26"/>
  <c r="V392" i="26"/>
  <c r="U392" i="26"/>
  <c r="T392" i="26"/>
  <c r="H392" i="26"/>
  <c r="Q391" i="26"/>
  <c r="P391" i="26"/>
  <c r="AG389" i="26"/>
  <c r="AF389" i="26"/>
  <c r="AE389" i="26"/>
  <c r="AD389" i="26"/>
  <c r="AC389" i="26"/>
  <c r="M389" i="26" s="1"/>
  <c r="AB389" i="26"/>
  <c r="AA389" i="26"/>
  <c r="Z389" i="26"/>
  <c r="Y389" i="26"/>
  <c r="X389" i="26"/>
  <c r="W389" i="26"/>
  <c r="V389" i="26"/>
  <c r="U389" i="26"/>
  <c r="T389" i="26"/>
  <c r="I389" i="26"/>
  <c r="P388" i="26"/>
  <c r="F388" i="26"/>
  <c r="D388" i="26"/>
  <c r="Q387" i="26"/>
  <c r="Q405" i="26" s="1"/>
  <c r="P387" i="26"/>
  <c r="P404" i="26" s="1"/>
  <c r="O387" i="26"/>
  <c r="O397" i="26" s="1"/>
  <c r="N387" i="26"/>
  <c r="N397" i="26" s="1"/>
  <c r="M387" i="26"/>
  <c r="M406" i="26" s="1"/>
  <c r="L387" i="26"/>
  <c r="L405" i="26" s="1"/>
  <c r="K387" i="26"/>
  <c r="K404" i="26" s="1"/>
  <c r="J387" i="26"/>
  <c r="I387" i="26"/>
  <c r="I405" i="26" s="1"/>
  <c r="H387" i="26"/>
  <c r="H404" i="26" s="1"/>
  <c r="G387" i="26"/>
  <c r="G397" i="26" s="1"/>
  <c r="F387" i="26"/>
  <c r="F397" i="26" s="1"/>
  <c r="E387" i="26"/>
  <c r="E406" i="26" s="1"/>
  <c r="D387" i="26"/>
  <c r="D405" i="26" s="1"/>
  <c r="AG382" i="26"/>
  <c r="AF382" i="26"/>
  <c r="AE382" i="26"/>
  <c r="AD382" i="26"/>
  <c r="AC382" i="26"/>
  <c r="AB382" i="26"/>
  <c r="AA382" i="26"/>
  <c r="Z382" i="26"/>
  <c r="Y382" i="26"/>
  <c r="X382" i="26"/>
  <c r="W382" i="26"/>
  <c r="V382" i="26"/>
  <c r="U382" i="26"/>
  <c r="T382" i="26"/>
  <c r="AG374" i="26"/>
  <c r="AF374" i="26"/>
  <c r="AE374" i="26"/>
  <c r="AD374" i="26"/>
  <c r="AC374" i="26"/>
  <c r="AB374" i="26"/>
  <c r="AA374" i="26"/>
  <c r="Z374" i="26"/>
  <c r="Y374" i="26"/>
  <c r="X374" i="26"/>
  <c r="W374" i="26"/>
  <c r="V374" i="26"/>
  <c r="U374" i="26"/>
  <c r="T374" i="26"/>
  <c r="AG368" i="26"/>
  <c r="AF368" i="26"/>
  <c r="AE368" i="26"/>
  <c r="AD368" i="26"/>
  <c r="AC368" i="26"/>
  <c r="AB368" i="26"/>
  <c r="AA368" i="26"/>
  <c r="Z368" i="26"/>
  <c r="Y368" i="26"/>
  <c r="X368" i="26"/>
  <c r="W368" i="26"/>
  <c r="V368" i="26"/>
  <c r="U368" i="26"/>
  <c r="T368" i="26"/>
  <c r="AG364" i="26"/>
  <c r="AF364" i="26"/>
  <c r="AE364" i="26"/>
  <c r="AD364" i="26"/>
  <c r="AC364" i="26"/>
  <c r="AB364" i="26"/>
  <c r="AA364" i="26"/>
  <c r="Z364" i="26"/>
  <c r="Y364" i="26"/>
  <c r="X364" i="26"/>
  <c r="W364" i="26"/>
  <c r="V364" i="26"/>
  <c r="U364" i="26"/>
  <c r="T364" i="26"/>
  <c r="AG357" i="26"/>
  <c r="AF357" i="26"/>
  <c r="AE357" i="26"/>
  <c r="AD357" i="26"/>
  <c r="AC357" i="26"/>
  <c r="AB357" i="26"/>
  <c r="AA357" i="26"/>
  <c r="Z357" i="26"/>
  <c r="Y357" i="26"/>
  <c r="X357" i="26"/>
  <c r="W357" i="26"/>
  <c r="V357" i="26"/>
  <c r="U357" i="26"/>
  <c r="T357" i="26"/>
  <c r="P355" i="26"/>
  <c r="K355" i="26"/>
  <c r="AG353" i="26"/>
  <c r="AF353" i="26"/>
  <c r="AE353" i="26"/>
  <c r="AD353" i="26"/>
  <c r="AC353" i="26"/>
  <c r="AB353" i="26"/>
  <c r="AA353" i="26"/>
  <c r="Z353" i="26"/>
  <c r="Y353" i="26"/>
  <c r="X353" i="26"/>
  <c r="W353" i="26"/>
  <c r="V353" i="26"/>
  <c r="U353" i="26"/>
  <c r="T353" i="26"/>
  <c r="AG352" i="26"/>
  <c r="AF352" i="26"/>
  <c r="AE352" i="26"/>
  <c r="AD352" i="26"/>
  <c r="AC352" i="26"/>
  <c r="AB352" i="26"/>
  <c r="AA352" i="26"/>
  <c r="Z352" i="26"/>
  <c r="Y352" i="26"/>
  <c r="X352" i="26"/>
  <c r="W352" i="26"/>
  <c r="V352" i="26"/>
  <c r="U352" i="26"/>
  <c r="T352" i="26"/>
  <c r="J348" i="26"/>
  <c r="AG346" i="26"/>
  <c r="AF346" i="26"/>
  <c r="AE346" i="26"/>
  <c r="AD346" i="26"/>
  <c r="AC346" i="26"/>
  <c r="AB346" i="26"/>
  <c r="AA346" i="26"/>
  <c r="Z346" i="26"/>
  <c r="Y346" i="26"/>
  <c r="X346" i="26"/>
  <c r="W346" i="26"/>
  <c r="V346" i="26"/>
  <c r="U346" i="26"/>
  <c r="T346" i="26"/>
  <c r="G346" i="26"/>
  <c r="AG343" i="26"/>
  <c r="AF343" i="26"/>
  <c r="P343" i="26" s="1"/>
  <c r="AE343" i="26"/>
  <c r="AD343" i="26"/>
  <c r="AC343" i="26"/>
  <c r="AB343" i="26"/>
  <c r="AA343" i="26"/>
  <c r="Z343" i="26"/>
  <c r="Y343" i="26"/>
  <c r="X343" i="26"/>
  <c r="H343" i="26" s="1"/>
  <c r="W343" i="26"/>
  <c r="V343" i="26"/>
  <c r="U343" i="26"/>
  <c r="T343" i="26"/>
  <c r="P342" i="26"/>
  <c r="AG340" i="26"/>
  <c r="AF340" i="26"/>
  <c r="AE340" i="26"/>
  <c r="AD340" i="26"/>
  <c r="AC340" i="26"/>
  <c r="AB340" i="26"/>
  <c r="AA340" i="26"/>
  <c r="Z340" i="26"/>
  <c r="Y340" i="26"/>
  <c r="X340" i="26"/>
  <c r="W340" i="26"/>
  <c r="G340" i="26" s="1"/>
  <c r="V340" i="26"/>
  <c r="U340" i="26"/>
  <c r="T340" i="26"/>
  <c r="I340" i="26"/>
  <c r="Q338" i="26"/>
  <c r="P338" i="26"/>
  <c r="P356" i="26" s="1"/>
  <c r="O338" i="26"/>
  <c r="O340" i="26" s="1"/>
  <c r="N338" i="26"/>
  <c r="N349" i="26" s="1"/>
  <c r="M338" i="26"/>
  <c r="L338" i="26"/>
  <c r="L356" i="26" s="1"/>
  <c r="K338" i="26"/>
  <c r="K356" i="26" s="1"/>
  <c r="J338" i="26"/>
  <c r="J355" i="26" s="1"/>
  <c r="I338" i="26"/>
  <c r="H338" i="26"/>
  <c r="H356" i="26" s="1"/>
  <c r="G338" i="26"/>
  <c r="F338" i="26"/>
  <c r="F349" i="26" s="1"/>
  <c r="E338" i="26"/>
  <c r="D338" i="26"/>
  <c r="D356" i="26" s="1"/>
  <c r="AG333" i="26"/>
  <c r="AF333" i="26"/>
  <c r="AE333" i="26"/>
  <c r="AD333" i="26"/>
  <c r="AC333" i="26"/>
  <c r="AB333" i="26"/>
  <c r="AA333" i="26"/>
  <c r="Z333" i="26"/>
  <c r="Y333" i="26"/>
  <c r="X333" i="26"/>
  <c r="W333" i="26"/>
  <c r="V333" i="26"/>
  <c r="U333" i="26"/>
  <c r="T333" i="26"/>
  <c r="AG325" i="26"/>
  <c r="AF325" i="26"/>
  <c r="AE325" i="26"/>
  <c r="AD325" i="26"/>
  <c r="AC325" i="26"/>
  <c r="AB325" i="26"/>
  <c r="AA325" i="26"/>
  <c r="Z325" i="26"/>
  <c r="Y325" i="26"/>
  <c r="X325" i="26"/>
  <c r="W325" i="26"/>
  <c r="V325" i="26"/>
  <c r="U325" i="26"/>
  <c r="T325" i="26"/>
  <c r="AG319" i="26"/>
  <c r="AF319" i="26"/>
  <c r="AE319" i="26"/>
  <c r="AD319" i="26"/>
  <c r="AC319" i="26"/>
  <c r="AB319" i="26"/>
  <c r="AA319" i="26"/>
  <c r="Z319" i="26"/>
  <c r="Y319" i="26"/>
  <c r="X319" i="26"/>
  <c r="W319" i="26"/>
  <c r="V319" i="26"/>
  <c r="U319" i="26"/>
  <c r="T319" i="26"/>
  <c r="AG315" i="26"/>
  <c r="AF315" i="26"/>
  <c r="AE315" i="26"/>
  <c r="AD315" i="26"/>
  <c r="AC315" i="26"/>
  <c r="AB315" i="26"/>
  <c r="AA315" i="26"/>
  <c r="Z315" i="26"/>
  <c r="Y315" i="26"/>
  <c r="X315" i="26"/>
  <c r="W315" i="26"/>
  <c r="V315" i="26"/>
  <c r="U315" i="26"/>
  <c r="T315" i="26"/>
  <c r="AG308" i="26"/>
  <c r="AF308" i="26"/>
  <c r="AE308" i="26"/>
  <c r="AD308" i="26"/>
  <c r="AC308" i="26"/>
  <c r="AB308" i="26"/>
  <c r="AA308" i="26"/>
  <c r="Z308" i="26"/>
  <c r="Y308" i="26"/>
  <c r="X308" i="26"/>
  <c r="W308" i="26"/>
  <c r="V308" i="26"/>
  <c r="U308" i="26"/>
  <c r="T308" i="26"/>
  <c r="I308" i="26"/>
  <c r="F306" i="26"/>
  <c r="AG304" i="26"/>
  <c r="AF304" i="26"/>
  <c r="AE304" i="26"/>
  <c r="AD304" i="26"/>
  <c r="AC304" i="26"/>
  <c r="AB304" i="26"/>
  <c r="AA304" i="26"/>
  <c r="Z304" i="26"/>
  <c r="Y304" i="26"/>
  <c r="X304" i="26"/>
  <c r="W304" i="26"/>
  <c r="V304" i="26"/>
  <c r="U304" i="26"/>
  <c r="T304" i="26"/>
  <c r="Q304" i="26"/>
  <c r="I304" i="26"/>
  <c r="AG303" i="26"/>
  <c r="AF303" i="26"/>
  <c r="AE303" i="26"/>
  <c r="AD303" i="26"/>
  <c r="AC303" i="26"/>
  <c r="AB303" i="26"/>
  <c r="AA303" i="26"/>
  <c r="Z303" i="26"/>
  <c r="Y303" i="26"/>
  <c r="X303" i="26"/>
  <c r="W303" i="26"/>
  <c r="V303" i="26"/>
  <c r="U303" i="26"/>
  <c r="T303" i="26"/>
  <c r="L299" i="26"/>
  <c r="AG297" i="26"/>
  <c r="AF297" i="26"/>
  <c r="AE297" i="26"/>
  <c r="AD297" i="26"/>
  <c r="AC297" i="26"/>
  <c r="AB297" i="26"/>
  <c r="AA297" i="26"/>
  <c r="Z297" i="26"/>
  <c r="Y297" i="26"/>
  <c r="X297" i="26"/>
  <c r="W297" i="26"/>
  <c r="V297" i="26"/>
  <c r="U297" i="26"/>
  <c r="T297" i="26"/>
  <c r="Q297" i="26"/>
  <c r="I297" i="26"/>
  <c r="I296" i="26"/>
  <c r="F296" i="26"/>
  <c r="AG294" i="26"/>
  <c r="AF294" i="26"/>
  <c r="AE294" i="26"/>
  <c r="AD294" i="26"/>
  <c r="AC294" i="26"/>
  <c r="AB294" i="26"/>
  <c r="AA294" i="26"/>
  <c r="Z294" i="26"/>
  <c r="Y294" i="26"/>
  <c r="X294" i="26"/>
  <c r="W294" i="26"/>
  <c r="V294" i="26"/>
  <c r="U294" i="26"/>
  <c r="T294" i="26"/>
  <c r="K294" i="26"/>
  <c r="AG291" i="26"/>
  <c r="AF291" i="26"/>
  <c r="AE291" i="26"/>
  <c r="AD291" i="26"/>
  <c r="AC291" i="26"/>
  <c r="AB291" i="26"/>
  <c r="AA291" i="26"/>
  <c r="Z291" i="26"/>
  <c r="Y291" i="26"/>
  <c r="X291" i="26"/>
  <c r="W291" i="26"/>
  <c r="V291" i="26"/>
  <c r="U291" i="26"/>
  <c r="T291" i="26"/>
  <c r="Q291" i="26"/>
  <c r="N290" i="26"/>
  <c r="I290" i="26"/>
  <c r="F290" i="26"/>
  <c r="Q289" i="26"/>
  <c r="Q299" i="26" s="1"/>
  <c r="P289" i="26"/>
  <c r="P290" i="26" s="1"/>
  <c r="O289" i="26"/>
  <c r="O297" i="26" s="1"/>
  <c r="N289" i="26"/>
  <c r="N297" i="26" s="1"/>
  <c r="M289" i="26"/>
  <c r="M299" i="26" s="1"/>
  <c r="L289" i="26"/>
  <c r="L307" i="26" s="1"/>
  <c r="K289" i="26"/>
  <c r="K306" i="26" s="1"/>
  <c r="J289" i="26"/>
  <c r="J300" i="26" s="1"/>
  <c r="I289" i="26"/>
  <c r="I299" i="26" s="1"/>
  <c r="H289" i="26"/>
  <c r="H296" i="26" s="1"/>
  <c r="G289" i="26"/>
  <c r="G307" i="26" s="1"/>
  <c r="F289" i="26"/>
  <c r="F297" i="26" s="1"/>
  <c r="E289" i="26"/>
  <c r="D289" i="26"/>
  <c r="D307" i="26" s="1"/>
  <c r="AG284" i="26"/>
  <c r="AF284" i="26"/>
  <c r="AE284" i="26"/>
  <c r="AD284" i="26"/>
  <c r="AC284" i="26"/>
  <c r="AB284" i="26"/>
  <c r="AA284" i="26"/>
  <c r="Z284" i="26"/>
  <c r="Y284" i="26"/>
  <c r="X284" i="26"/>
  <c r="W284" i="26"/>
  <c r="V284" i="26"/>
  <c r="U284" i="26"/>
  <c r="T284" i="26"/>
  <c r="AG276" i="26"/>
  <c r="AF276" i="26"/>
  <c r="AE276" i="26"/>
  <c r="AD276" i="26"/>
  <c r="AC276" i="26"/>
  <c r="AB276" i="26"/>
  <c r="AA276" i="26"/>
  <c r="Z276" i="26"/>
  <c r="Y276" i="26"/>
  <c r="X276" i="26"/>
  <c r="W276" i="26"/>
  <c r="V276" i="26"/>
  <c r="U276" i="26"/>
  <c r="T276" i="26"/>
  <c r="AG270" i="26"/>
  <c r="AF270" i="26"/>
  <c r="AE270" i="26"/>
  <c r="AD270" i="26"/>
  <c r="AC270" i="26"/>
  <c r="AB270" i="26"/>
  <c r="AA270" i="26"/>
  <c r="Z270" i="26"/>
  <c r="Y270" i="26"/>
  <c r="X270" i="26"/>
  <c r="W270" i="26"/>
  <c r="V270" i="26"/>
  <c r="U270" i="26"/>
  <c r="T270" i="26"/>
  <c r="AG266" i="26"/>
  <c r="AF266" i="26"/>
  <c r="AE266" i="26"/>
  <c r="AD266" i="26"/>
  <c r="AC266" i="26"/>
  <c r="AB266" i="26"/>
  <c r="AA266" i="26"/>
  <c r="Z266" i="26"/>
  <c r="Y266" i="26"/>
  <c r="X266" i="26"/>
  <c r="W266" i="26"/>
  <c r="V266" i="26"/>
  <c r="U266" i="26"/>
  <c r="T266" i="26"/>
  <c r="AG259" i="26"/>
  <c r="AF259" i="26"/>
  <c r="AE259" i="26"/>
  <c r="AD259" i="26"/>
  <c r="AC259" i="26"/>
  <c r="AB259" i="26"/>
  <c r="AA259" i="26"/>
  <c r="Z259" i="26"/>
  <c r="J259" i="26" s="1"/>
  <c r="Y259" i="26"/>
  <c r="X259" i="26"/>
  <c r="W259" i="26"/>
  <c r="V259" i="26"/>
  <c r="U259" i="26"/>
  <c r="T259" i="26"/>
  <c r="F259" i="26"/>
  <c r="AG255" i="26"/>
  <c r="AF255" i="26"/>
  <c r="AE255" i="26"/>
  <c r="AD255" i="26"/>
  <c r="AC255" i="26"/>
  <c r="AB255" i="26"/>
  <c r="AA255" i="26"/>
  <c r="Z255" i="26"/>
  <c r="Y255" i="26"/>
  <c r="X255" i="26"/>
  <c r="W255" i="26"/>
  <c r="V255" i="26"/>
  <c r="U255" i="26"/>
  <c r="T255" i="26"/>
  <c r="AG254" i="26"/>
  <c r="AF254" i="26"/>
  <c r="AE254" i="26"/>
  <c r="AD254" i="26"/>
  <c r="AC254" i="26"/>
  <c r="AB254" i="26"/>
  <c r="AA254" i="26"/>
  <c r="Z254" i="26"/>
  <c r="Y254" i="26"/>
  <c r="X254" i="26"/>
  <c r="W254" i="26"/>
  <c r="V254" i="26"/>
  <c r="U254" i="26"/>
  <c r="T254" i="26"/>
  <c r="F251" i="26"/>
  <c r="AG248" i="26"/>
  <c r="AF248" i="26"/>
  <c r="AE248" i="26"/>
  <c r="AD248" i="26"/>
  <c r="AC248" i="26"/>
  <c r="AB248" i="26"/>
  <c r="AA248" i="26"/>
  <c r="Z248" i="26"/>
  <c r="Y248" i="26"/>
  <c r="X248" i="26"/>
  <c r="W248" i="26"/>
  <c r="V248" i="26"/>
  <c r="U248" i="26"/>
  <c r="T248" i="26"/>
  <c r="AG245" i="26"/>
  <c r="AF245" i="26"/>
  <c r="AE245" i="26"/>
  <c r="AD245" i="26"/>
  <c r="AC245" i="26"/>
  <c r="AB245" i="26"/>
  <c r="AA245" i="26"/>
  <c r="Z245" i="26"/>
  <c r="Y245" i="26"/>
  <c r="X245" i="26"/>
  <c r="W245" i="26"/>
  <c r="V245" i="26"/>
  <c r="U245" i="26"/>
  <c r="T245" i="26"/>
  <c r="AG242" i="26"/>
  <c r="AF242" i="26"/>
  <c r="AE242" i="26"/>
  <c r="AD242" i="26"/>
  <c r="AC242" i="26"/>
  <c r="AB242" i="26"/>
  <c r="AA242" i="26"/>
  <c r="Z242" i="26"/>
  <c r="Y242" i="26"/>
  <c r="X242" i="26"/>
  <c r="W242" i="26"/>
  <c r="V242" i="26"/>
  <c r="U242" i="26"/>
  <c r="T242" i="26"/>
  <c r="L241" i="26"/>
  <c r="J241" i="26"/>
  <c r="Q240" i="26"/>
  <c r="Q250" i="26" s="1"/>
  <c r="P240" i="26"/>
  <c r="P255" i="26" s="1"/>
  <c r="O240" i="26"/>
  <c r="O250" i="26" s="1"/>
  <c r="N240" i="26"/>
  <c r="M240" i="26"/>
  <c r="M259" i="26" s="1"/>
  <c r="L240" i="26"/>
  <c r="L258" i="26" s="1"/>
  <c r="K240" i="26"/>
  <c r="J240" i="26"/>
  <c r="J258" i="26" s="1"/>
  <c r="I240" i="26"/>
  <c r="I250" i="26" s="1"/>
  <c r="H240" i="26"/>
  <c r="H255" i="26" s="1"/>
  <c r="G240" i="26"/>
  <c r="F240" i="26"/>
  <c r="E240" i="26"/>
  <c r="E259" i="26" s="1"/>
  <c r="D240" i="26"/>
  <c r="D258" i="26" s="1"/>
  <c r="AG235" i="26"/>
  <c r="AF235" i="26"/>
  <c r="AE235" i="26"/>
  <c r="AD235" i="26"/>
  <c r="AC235" i="26"/>
  <c r="AB235" i="26"/>
  <c r="AA235" i="26"/>
  <c r="Z235" i="26"/>
  <c r="Y235" i="26"/>
  <c r="X235" i="26"/>
  <c r="W235" i="26"/>
  <c r="V235" i="26"/>
  <c r="U235" i="26"/>
  <c r="T235" i="26"/>
  <c r="AG227" i="26"/>
  <c r="AF227" i="26"/>
  <c r="AE227" i="26"/>
  <c r="AD227" i="26"/>
  <c r="AC227" i="26"/>
  <c r="AB227" i="26"/>
  <c r="AA227" i="26"/>
  <c r="Z227" i="26"/>
  <c r="Y227" i="26"/>
  <c r="X227" i="26"/>
  <c r="W227" i="26"/>
  <c r="V227" i="26"/>
  <c r="U227" i="26"/>
  <c r="T227" i="26"/>
  <c r="AG221" i="26"/>
  <c r="AF221" i="26"/>
  <c r="AE221" i="26"/>
  <c r="AD221" i="26"/>
  <c r="AC221" i="26"/>
  <c r="AB221" i="26"/>
  <c r="AA221" i="26"/>
  <c r="Z221" i="26"/>
  <c r="Y221" i="26"/>
  <c r="X221" i="26"/>
  <c r="W221" i="26"/>
  <c r="V221" i="26"/>
  <c r="U221" i="26"/>
  <c r="T221" i="26"/>
  <c r="AG217" i="26"/>
  <c r="AF217" i="26"/>
  <c r="AE217" i="26"/>
  <c r="AD217" i="26"/>
  <c r="AC217" i="26"/>
  <c r="AB217" i="26"/>
  <c r="AA217" i="26"/>
  <c r="Z217" i="26"/>
  <c r="Y217" i="26"/>
  <c r="X217" i="26"/>
  <c r="W217" i="26"/>
  <c r="V217" i="26"/>
  <c r="U217" i="26"/>
  <c r="T217" i="26"/>
  <c r="AG210" i="26"/>
  <c r="Q210" i="26" s="1"/>
  <c r="AF210" i="26"/>
  <c r="AE210" i="26"/>
  <c r="AD210" i="26"/>
  <c r="AC210" i="26"/>
  <c r="AB210" i="26"/>
  <c r="AA210" i="26"/>
  <c r="Z210" i="26"/>
  <c r="Y210" i="26"/>
  <c r="I210" i="26" s="1"/>
  <c r="X210" i="26"/>
  <c r="W210" i="26"/>
  <c r="V210" i="26"/>
  <c r="U210" i="26"/>
  <c r="T210" i="26"/>
  <c r="H210" i="26"/>
  <c r="L208" i="26"/>
  <c r="AG206" i="26"/>
  <c r="AF206" i="26"/>
  <c r="AE206" i="26"/>
  <c r="AD206" i="26"/>
  <c r="AC206" i="26"/>
  <c r="AB206" i="26"/>
  <c r="L206" i="26" s="1"/>
  <c r="AA206" i="26"/>
  <c r="Z206" i="26"/>
  <c r="Y206" i="26"/>
  <c r="X206" i="26"/>
  <c r="W206" i="26"/>
  <c r="V206" i="26"/>
  <c r="U206" i="26"/>
  <c r="T206" i="26"/>
  <c r="D206" i="26" s="1"/>
  <c r="Q206" i="26"/>
  <c r="AG205" i="26"/>
  <c r="AF205" i="26"/>
  <c r="AE205" i="26"/>
  <c r="AD205" i="26"/>
  <c r="AC205" i="26"/>
  <c r="AB205" i="26"/>
  <c r="AA205" i="26"/>
  <c r="Z205" i="26"/>
  <c r="Y205" i="26"/>
  <c r="X205" i="26"/>
  <c r="W205" i="26"/>
  <c r="V205" i="26"/>
  <c r="U205" i="26"/>
  <c r="T205" i="26"/>
  <c r="K202" i="26"/>
  <c r="K203" i="26" s="1"/>
  <c r="K201" i="26"/>
  <c r="AG199" i="26"/>
  <c r="AF199" i="26"/>
  <c r="AE199" i="26"/>
  <c r="AD199" i="26"/>
  <c r="AC199" i="26"/>
  <c r="AB199" i="26"/>
  <c r="AA199" i="26"/>
  <c r="Z199" i="26"/>
  <c r="Y199" i="26"/>
  <c r="X199" i="26"/>
  <c r="W199" i="26"/>
  <c r="V199" i="26"/>
  <c r="U199" i="26"/>
  <c r="T199" i="26"/>
  <c r="Q199" i="26"/>
  <c r="Q198" i="26"/>
  <c r="I198" i="26"/>
  <c r="H198" i="26"/>
  <c r="AG196" i="26"/>
  <c r="AF196" i="26"/>
  <c r="AE196" i="26"/>
  <c r="AD196" i="26"/>
  <c r="AC196" i="26"/>
  <c r="AB196" i="26"/>
  <c r="L196" i="26" s="1"/>
  <c r="AA196" i="26"/>
  <c r="Z196" i="26"/>
  <c r="Y196" i="26"/>
  <c r="X196" i="26"/>
  <c r="W196" i="26"/>
  <c r="V196" i="26"/>
  <c r="U196" i="26"/>
  <c r="T196" i="26"/>
  <c r="D196" i="26" s="1"/>
  <c r="K196" i="26"/>
  <c r="D195" i="26"/>
  <c r="AG193" i="26"/>
  <c r="AF193" i="26"/>
  <c r="AE193" i="26"/>
  <c r="AD193" i="26"/>
  <c r="AC193" i="26"/>
  <c r="AB193" i="26"/>
  <c r="AA193" i="26"/>
  <c r="Z193" i="26"/>
  <c r="Y193" i="26"/>
  <c r="X193" i="26"/>
  <c r="W193" i="26"/>
  <c r="V193" i="26"/>
  <c r="U193" i="26"/>
  <c r="T193" i="26"/>
  <c r="Q192" i="26"/>
  <c r="P192" i="26"/>
  <c r="Q191" i="26"/>
  <c r="Q201" i="26" s="1"/>
  <c r="P191" i="26"/>
  <c r="P206" i="26" s="1"/>
  <c r="O191" i="26"/>
  <c r="N191" i="26"/>
  <c r="N199" i="26" s="1"/>
  <c r="M191" i="26"/>
  <c r="L191" i="26"/>
  <c r="L209" i="26" s="1"/>
  <c r="K191" i="26"/>
  <c r="K208" i="26" s="1"/>
  <c r="J191" i="26"/>
  <c r="J202" i="26" s="1"/>
  <c r="I191" i="26"/>
  <c r="I201" i="26" s="1"/>
  <c r="H191" i="26"/>
  <c r="H206" i="26" s="1"/>
  <c r="G191" i="26"/>
  <c r="F191" i="26"/>
  <c r="F199" i="26" s="1"/>
  <c r="E191" i="26"/>
  <c r="D191" i="26"/>
  <c r="D209" i="26" s="1"/>
  <c r="AG186" i="26"/>
  <c r="AF186" i="26"/>
  <c r="AE186" i="26"/>
  <c r="AD186" i="26"/>
  <c r="AC186" i="26"/>
  <c r="AB186" i="26"/>
  <c r="AA186" i="26"/>
  <c r="Z186" i="26"/>
  <c r="Y186" i="26"/>
  <c r="X186" i="26"/>
  <c r="W186" i="26"/>
  <c r="V186" i="26"/>
  <c r="U186" i="26"/>
  <c r="T186" i="26"/>
  <c r="AG178" i="26"/>
  <c r="AF178" i="26"/>
  <c r="AE178" i="26"/>
  <c r="AD178" i="26"/>
  <c r="AC178" i="26"/>
  <c r="AB178" i="26"/>
  <c r="AA178" i="26"/>
  <c r="Z178" i="26"/>
  <c r="Y178" i="26"/>
  <c r="X178" i="26"/>
  <c r="W178" i="26"/>
  <c r="V178" i="26"/>
  <c r="U178" i="26"/>
  <c r="T178" i="26"/>
  <c r="AG172" i="26"/>
  <c r="AF172" i="26"/>
  <c r="AE172" i="26"/>
  <c r="AD172" i="26"/>
  <c r="AC172" i="26"/>
  <c r="AB172" i="26"/>
  <c r="AA172" i="26"/>
  <c r="Z172" i="26"/>
  <c r="Y172" i="26"/>
  <c r="X172" i="26"/>
  <c r="W172" i="26"/>
  <c r="V172" i="26"/>
  <c r="U172" i="26"/>
  <c r="T172" i="26"/>
  <c r="AG168" i="26"/>
  <c r="AF168" i="26"/>
  <c r="AE168" i="26"/>
  <c r="AD168" i="26"/>
  <c r="AC168" i="26"/>
  <c r="AB168" i="26"/>
  <c r="AA168" i="26"/>
  <c r="Z168" i="26"/>
  <c r="Y168" i="26"/>
  <c r="X168" i="26"/>
  <c r="W168" i="26"/>
  <c r="V168" i="26"/>
  <c r="U168" i="26"/>
  <c r="T168" i="26"/>
  <c r="AG161" i="26"/>
  <c r="Q161" i="26" s="1"/>
  <c r="AF161" i="26"/>
  <c r="AE161" i="26"/>
  <c r="AD161" i="26"/>
  <c r="AC161" i="26"/>
  <c r="AB161" i="26"/>
  <c r="AA161" i="26"/>
  <c r="Z161" i="26"/>
  <c r="Y161" i="26"/>
  <c r="I161" i="26" s="1"/>
  <c r="X161" i="26"/>
  <c r="W161" i="26"/>
  <c r="V161" i="26"/>
  <c r="U161" i="26"/>
  <c r="T161" i="26"/>
  <c r="AG157" i="26"/>
  <c r="AF157" i="26"/>
  <c r="AE157" i="26"/>
  <c r="AD157" i="26"/>
  <c r="AC157" i="26"/>
  <c r="AB157" i="26"/>
  <c r="AA157" i="26"/>
  <c r="Z157" i="26"/>
  <c r="Y157" i="26"/>
  <c r="X157" i="26"/>
  <c r="W157" i="26"/>
  <c r="V157" i="26"/>
  <c r="U157" i="26"/>
  <c r="T157" i="26"/>
  <c r="AG156" i="26"/>
  <c r="AF156" i="26"/>
  <c r="AE156" i="26"/>
  <c r="AD156" i="26"/>
  <c r="AC156" i="26"/>
  <c r="AB156" i="26"/>
  <c r="AA156" i="26"/>
  <c r="Z156" i="26"/>
  <c r="Y156" i="26"/>
  <c r="X156" i="26"/>
  <c r="W156" i="26"/>
  <c r="V156" i="26"/>
  <c r="U156" i="26"/>
  <c r="T156" i="26"/>
  <c r="Q153" i="26"/>
  <c r="Q154" i="26" s="1"/>
  <c r="I153" i="26"/>
  <c r="I154" i="26" s="1"/>
  <c r="P152" i="26"/>
  <c r="AG150" i="26"/>
  <c r="AF150" i="26"/>
  <c r="P150" i="26" s="1"/>
  <c r="AE150" i="26"/>
  <c r="AD150" i="26"/>
  <c r="AC150" i="26"/>
  <c r="AB150" i="26"/>
  <c r="AA150" i="26"/>
  <c r="Z150" i="26"/>
  <c r="Y150" i="26"/>
  <c r="X150" i="26"/>
  <c r="H150" i="26" s="1"/>
  <c r="W150" i="26"/>
  <c r="V150" i="26"/>
  <c r="U150" i="26"/>
  <c r="T150" i="26"/>
  <c r="O150" i="26"/>
  <c r="P149" i="26"/>
  <c r="O149" i="26"/>
  <c r="D149" i="26"/>
  <c r="AG147" i="26"/>
  <c r="AF147" i="26"/>
  <c r="AE147" i="26"/>
  <c r="AD147" i="26"/>
  <c r="AC147" i="26"/>
  <c r="AB147" i="26"/>
  <c r="AA147" i="26"/>
  <c r="Z147" i="26"/>
  <c r="J147" i="26" s="1"/>
  <c r="Y147" i="26"/>
  <c r="X147" i="26"/>
  <c r="W147" i="26"/>
  <c r="V147" i="26"/>
  <c r="U147" i="26"/>
  <c r="T147" i="26"/>
  <c r="K147" i="26"/>
  <c r="I147" i="26"/>
  <c r="K146" i="26"/>
  <c r="H146" i="26"/>
  <c r="AG144" i="26"/>
  <c r="AF144" i="26"/>
  <c r="AE144" i="26"/>
  <c r="AD144" i="26"/>
  <c r="AC144" i="26"/>
  <c r="AB144" i="26"/>
  <c r="AA144" i="26"/>
  <c r="Z144" i="26"/>
  <c r="J144" i="26" s="1"/>
  <c r="Y144" i="26"/>
  <c r="X144" i="26"/>
  <c r="W144" i="26"/>
  <c r="V144" i="26"/>
  <c r="U144" i="26"/>
  <c r="T144" i="26"/>
  <c r="O144" i="26"/>
  <c r="G144" i="26"/>
  <c r="N143" i="26"/>
  <c r="H143" i="26"/>
  <c r="G143" i="26"/>
  <c r="Q142" i="26"/>
  <c r="Q159" i="26" s="1"/>
  <c r="P142" i="26"/>
  <c r="P157" i="26" s="1"/>
  <c r="O142" i="26"/>
  <c r="O157" i="26" s="1"/>
  <c r="N142" i="26"/>
  <c r="N150" i="26" s="1"/>
  <c r="M142" i="26"/>
  <c r="M161" i="26" s="1"/>
  <c r="L142" i="26"/>
  <c r="L160" i="26" s="1"/>
  <c r="K142" i="26"/>
  <c r="K159" i="26" s="1"/>
  <c r="J142" i="26"/>
  <c r="J160" i="26" s="1"/>
  <c r="I142" i="26"/>
  <c r="I159" i="26" s="1"/>
  <c r="H142" i="26"/>
  <c r="H157" i="26" s="1"/>
  <c r="G142" i="26"/>
  <c r="G157" i="26" s="1"/>
  <c r="F142" i="26"/>
  <c r="F150" i="26" s="1"/>
  <c r="E142" i="26"/>
  <c r="E161" i="26" s="1"/>
  <c r="R161" i="26" s="1"/>
  <c r="D142" i="26"/>
  <c r="D160" i="26" s="1"/>
  <c r="AG136" i="26"/>
  <c r="AF136" i="26"/>
  <c r="AE136" i="26"/>
  <c r="AD136" i="26"/>
  <c r="AC136" i="26"/>
  <c r="AB136" i="26"/>
  <c r="AA136" i="26"/>
  <c r="Z136" i="26"/>
  <c r="Y136" i="26"/>
  <c r="X136" i="26"/>
  <c r="W136" i="26"/>
  <c r="V136" i="26"/>
  <c r="U136" i="26"/>
  <c r="T136" i="26"/>
  <c r="AG128" i="26"/>
  <c r="AF128" i="26"/>
  <c r="AE128" i="26"/>
  <c r="AD128" i="26"/>
  <c r="AC128" i="26"/>
  <c r="AB128" i="26"/>
  <c r="AA128" i="26"/>
  <c r="Z128" i="26"/>
  <c r="Y128" i="26"/>
  <c r="X128" i="26"/>
  <c r="W128" i="26"/>
  <c r="V128" i="26"/>
  <c r="U128" i="26"/>
  <c r="T128" i="26"/>
  <c r="AG122" i="26"/>
  <c r="AF122" i="26"/>
  <c r="AE122" i="26"/>
  <c r="AD122" i="26"/>
  <c r="AC122" i="26"/>
  <c r="AB122" i="26"/>
  <c r="AA122" i="26"/>
  <c r="Z122" i="26"/>
  <c r="Y122" i="26"/>
  <c r="X122" i="26"/>
  <c r="W122" i="26"/>
  <c r="V122" i="26"/>
  <c r="U122" i="26"/>
  <c r="T122" i="26"/>
  <c r="AG118" i="26"/>
  <c r="AF118" i="26"/>
  <c r="AE118" i="26"/>
  <c r="AD118" i="26"/>
  <c r="AC118" i="26"/>
  <c r="AB118" i="26"/>
  <c r="AA118" i="26"/>
  <c r="Z118" i="26"/>
  <c r="Y118" i="26"/>
  <c r="X118" i="26"/>
  <c r="W118" i="26"/>
  <c r="V118" i="26"/>
  <c r="U118" i="26"/>
  <c r="T118" i="26"/>
  <c r="AG111" i="26"/>
  <c r="AF111" i="26"/>
  <c r="AE111" i="26"/>
  <c r="AD111" i="26"/>
  <c r="AC111" i="26"/>
  <c r="AB111" i="26"/>
  <c r="AA111" i="26"/>
  <c r="Z111" i="26"/>
  <c r="Y111" i="26"/>
  <c r="X111" i="26"/>
  <c r="W111" i="26"/>
  <c r="V111" i="26"/>
  <c r="U111" i="26"/>
  <c r="T111" i="26"/>
  <c r="AG107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AG106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P102" i="26"/>
  <c r="AG100" i="26"/>
  <c r="AF100" i="26"/>
  <c r="AE100" i="26"/>
  <c r="AD100" i="26"/>
  <c r="AC100" i="26"/>
  <c r="AB100" i="26"/>
  <c r="AA100" i="26"/>
  <c r="Z100" i="26"/>
  <c r="Y100" i="26"/>
  <c r="X100" i="26"/>
  <c r="W100" i="26"/>
  <c r="V100" i="26"/>
  <c r="U100" i="26"/>
  <c r="T100" i="26"/>
  <c r="M100" i="26"/>
  <c r="AG97" i="26"/>
  <c r="AF97" i="26"/>
  <c r="AE97" i="26"/>
  <c r="AD97" i="26"/>
  <c r="AC97" i="26"/>
  <c r="AB97" i="26"/>
  <c r="AA97" i="26"/>
  <c r="Z97" i="26"/>
  <c r="Y97" i="26"/>
  <c r="X97" i="26"/>
  <c r="W97" i="26"/>
  <c r="V97" i="26"/>
  <c r="U97" i="26"/>
  <c r="T97" i="26"/>
  <c r="P96" i="26"/>
  <c r="AG94" i="26"/>
  <c r="AF94" i="26"/>
  <c r="AE94" i="26"/>
  <c r="AD94" i="26"/>
  <c r="AC94" i="26"/>
  <c r="AB94" i="26"/>
  <c r="AA94" i="26"/>
  <c r="Z94" i="26"/>
  <c r="Y94" i="26"/>
  <c r="X94" i="26"/>
  <c r="W94" i="26"/>
  <c r="V94" i="26"/>
  <c r="U94" i="26"/>
  <c r="T94" i="26"/>
  <c r="J93" i="26"/>
  <c r="Q92" i="26"/>
  <c r="Q109" i="26" s="1"/>
  <c r="P92" i="26"/>
  <c r="P103" i="26" s="1"/>
  <c r="O92" i="26"/>
  <c r="O102" i="26" s="1"/>
  <c r="N92" i="26"/>
  <c r="N107" i="26" s="1"/>
  <c r="M92" i="26"/>
  <c r="M107" i="26" s="1"/>
  <c r="L92" i="26"/>
  <c r="L100" i="26" s="1"/>
  <c r="K92" i="26"/>
  <c r="J92" i="26"/>
  <c r="J110" i="26" s="1"/>
  <c r="I92" i="26"/>
  <c r="I109" i="26" s="1"/>
  <c r="H92" i="26"/>
  <c r="H103" i="26" s="1"/>
  <c r="G92" i="26"/>
  <c r="G102" i="26" s="1"/>
  <c r="F92" i="26"/>
  <c r="F107" i="26" s="1"/>
  <c r="E92" i="26"/>
  <c r="R92" i="26" s="1"/>
  <c r="D92" i="26"/>
  <c r="D100" i="26" s="1"/>
  <c r="AG86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AG68" i="26"/>
  <c r="AF68" i="26"/>
  <c r="AE68" i="26"/>
  <c r="AD68" i="26"/>
  <c r="AC68" i="26"/>
  <c r="AB68" i="26"/>
  <c r="AA68" i="26"/>
  <c r="Z68" i="26"/>
  <c r="Y68" i="26"/>
  <c r="X68" i="26"/>
  <c r="W68" i="26"/>
  <c r="V68" i="26"/>
  <c r="U68" i="26"/>
  <c r="T68" i="26"/>
  <c r="AG61" i="26"/>
  <c r="AF61" i="26"/>
  <c r="AE61" i="26"/>
  <c r="AD61" i="26"/>
  <c r="AC61" i="26"/>
  <c r="AB61" i="26"/>
  <c r="AA61" i="26"/>
  <c r="Z61" i="26"/>
  <c r="Y61" i="26"/>
  <c r="X61" i="26"/>
  <c r="W61" i="26"/>
  <c r="V61" i="26"/>
  <c r="U61" i="26"/>
  <c r="T61" i="26"/>
  <c r="E61" i="26"/>
  <c r="J60" i="26"/>
  <c r="E59" i="26"/>
  <c r="AG57" i="26"/>
  <c r="AF57" i="26"/>
  <c r="AE57" i="26"/>
  <c r="AD57" i="26"/>
  <c r="AC57" i="26"/>
  <c r="AB57" i="26"/>
  <c r="AA57" i="26"/>
  <c r="Z57" i="26"/>
  <c r="J57" i="26" s="1"/>
  <c r="Y57" i="26"/>
  <c r="X57" i="26"/>
  <c r="W57" i="26"/>
  <c r="V57" i="26"/>
  <c r="U57" i="26"/>
  <c r="T57" i="26"/>
  <c r="L57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L53" i="26"/>
  <c r="L54" i="26" s="1"/>
  <c r="I53" i="26"/>
  <c r="I55" i="26" s="1"/>
  <c r="Q52" i="26"/>
  <c r="AG50" i="26"/>
  <c r="Q50" i="26" s="1"/>
  <c r="AF50" i="26"/>
  <c r="AE50" i="26"/>
  <c r="AD50" i="26"/>
  <c r="AC50" i="26"/>
  <c r="AB50" i="26"/>
  <c r="AA50" i="26"/>
  <c r="Z50" i="26"/>
  <c r="Y50" i="26"/>
  <c r="I50" i="26" s="1"/>
  <c r="X50" i="26"/>
  <c r="W50" i="26"/>
  <c r="V50" i="26"/>
  <c r="U50" i="26"/>
  <c r="T50" i="26"/>
  <c r="L50" i="26"/>
  <c r="E50" i="26"/>
  <c r="Q49" i="26"/>
  <c r="E49" i="26"/>
  <c r="R49" i="26" s="1"/>
  <c r="AG47" i="26"/>
  <c r="Q47" i="26" s="1"/>
  <c r="AF47" i="26"/>
  <c r="AE47" i="26"/>
  <c r="AD47" i="26"/>
  <c r="AC47" i="26"/>
  <c r="AB47" i="26"/>
  <c r="AA47" i="26"/>
  <c r="Z47" i="26"/>
  <c r="J47" i="26" s="1"/>
  <c r="Y47" i="26"/>
  <c r="X47" i="26"/>
  <c r="W47" i="26"/>
  <c r="V47" i="26"/>
  <c r="U47" i="26"/>
  <c r="T47" i="26"/>
  <c r="I47" i="26"/>
  <c r="I46" i="26"/>
  <c r="E46" i="26"/>
  <c r="AG44" i="26"/>
  <c r="AF44" i="26"/>
  <c r="AE44" i="26"/>
  <c r="AD44" i="26"/>
  <c r="AC44" i="26"/>
  <c r="AB44" i="26"/>
  <c r="AA44" i="26"/>
  <c r="Z44" i="26"/>
  <c r="Y44" i="26"/>
  <c r="I44" i="26" s="1"/>
  <c r="X44" i="26"/>
  <c r="W44" i="26"/>
  <c r="V44" i="26"/>
  <c r="U44" i="26"/>
  <c r="T44" i="26"/>
  <c r="Q44" i="26"/>
  <c r="H44" i="26"/>
  <c r="L43" i="26"/>
  <c r="I43" i="26"/>
  <c r="E43" i="26"/>
  <c r="Q42" i="26"/>
  <c r="Q60" i="26" s="1"/>
  <c r="P42" i="26"/>
  <c r="P59" i="26" s="1"/>
  <c r="O42" i="26"/>
  <c r="O49" i="26" s="1"/>
  <c r="N42" i="26"/>
  <c r="N53" i="26" s="1"/>
  <c r="M42" i="26"/>
  <c r="M52" i="26" s="1"/>
  <c r="L42" i="26"/>
  <c r="L59" i="26" s="1"/>
  <c r="K42" i="26"/>
  <c r="K49" i="26" s="1"/>
  <c r="J42" i="26"/>
  <c r="J44" i="26" s="1"/>
  <c r="I42" i="26"/>
  <c r="I60" i="26" s="1"/>
  <c r="H42" i="26"/>
  <c r="H59" i="26" s="1"/>
  <c r="G42" i="26"/>
  <c r="G60" i="26" s="1"/>
  <c r="F42" i="26"/>
  <c r="F60" i="26" s="1"/>
  <c r="E42" i="26"/>
  <c r="E53" i="26" s="1"/>
  <c r="D42" i="26"/>
  <c r="D59" i="26" s="1"/>
  <c r="AG37" i="26"/>
  <c r="AF37" i="26"/>
  <c r="AE37" i="26"/>
  <c r="AD37" i="26"/>
  <c r="AC37" i="26"/>
  <c r="AB37" i="26"/>
  <c r="AA37" i="26"/>
  <c r="Z37" i="26"/>
  <c r="Y37" i="26"/>
  <c r="X37" i="26"/>
  <c r="W37" i="26"/>
  <c r="V37" i="26"/>
  <c r="U37" i="26"/>
  <c r="T37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Y122" i="25"/>
  <c r="AG284" i="25"/>
  <c r="AF284" i="25"/>
  <c r="AE284" i="25"/>
  <c r="AD284" i="25"/>
  <c r="AC284" i="25"/>
  <c r="AB284" i="25"/>
  <c r="AA284" i="25"/>
  <c r="Z284" i="25"/>
  <c r="Y284" i="25"/>
  <c r="X284" i="25"/>
  <c r="W284" i="25"/>
  <c r="V284" i="25"/>
  <c r="U284" i="25"/>
  <c r="T284" i="25"/>
  <c r="AG276" i="25"/>
  <c r="AF276" i="25"/>
  <c r="AE276" i="25"/>
  <c r="AD276" i="25"/>
  <c r="AC276" i="25"/>
  <c r="AB276" i="25"/>
  <c r="AA276" i="25"/>
  <c r="Z276" i="25"/>
  <c r="Y276" i="25"/>
  <c r="X276" i="25"/>
  <c r="W276" i="25"/>
  <c r="V276" i="25"/>
  <c r="U276" i="25"/>
  <c r="T276" i="25"/>
  <c r="AG270" i="25"/>
  <c r="AF270" i="25"/>
  <c r="AE270" i="25"/>
  <c r="AD270" i="25"/>
  <c r="AC270" i="25"/>
  <c r="AB270" i="25"/>
  <c r="AA270" i="25"/>
  <c r="Z270" i="25"/>
  <c r="Y270" i="25"/>
  <c r="X270" i="25"/>
  <c r="W270" i="25"/>
  <c r="V270" i="25"/>
  <c r="U270" i="25"/>
  <c r="T270" i="25"/>
  <c r="AG266" i="25"/>
  <c r="AF266" i="25"/>
  <c r="AE266" i="25"/>
  <c r="AD266" i="25"/>
  <c r="AC266" i="25"/>
  <c r="AB266" i="25"/>
  <c r="AA266" i="25"/>
  <c r="Z266" i="25"/>
  <c r="Y266" i="25"/>
  <c r="X266" i="25"/>
  <c r="W266" i="25"/>
  <c r="V266" i="25"/>
  <c r="U266" i="25"/>
  <c r="T266" i="25"/>
  <c r="AG259" i="25"/>
  <c r="AF259" i="25"/>
  <c r="AE259" i="25"/>
  <c r="AD259" i="25"/>
  <c r="N259" i="25" s="1"/>
  <c r="AC259" i="25"/>
  <c r="AB259" i="25"/>
  <c r="AA259" i="25"/>
  <c r="Z259" i="25"/>
  <c r="Y259" i="25"/>
  <c r="X259" i="25"/>
  <c r="W259" i="25"/>
  <c r="V259" i="25"/>
  <c r="F259" i="25" s="1"/>
  <c r="U259" i="25"/>
  <c r="T259" i="25"/>
  <c r="P258" i="25"/>
  <c r="L258" i="25"/>
  <c r="H258" i="25"/>
  <c r="D258" i="25"/>
  <c r="O257" i="25"/>
  <c r="K257" i="25"/>
  <c r="H257" i="25"/>
  <c r="G257" i="25"/>
  <c r="D257" i="25"/>
  <c r="AG255" i="25"/>
  <c r="AF255" i="25"/>
  <c r="AE255" i="25"/>
  <c r="O255" i="25" s="1"/>
  <c r="AD255" i="25"/>
  <c r="AC255" i="25"/>
  <c r="AB255" i="25"/>
  <c r="AA255" i="25"/>
  <c r="Z255" i="25"/>
  <c r="Y255" i="25"/>
  <c r="X255" i="25"/>
  <c r="W255" i="25"/>
  <c r="G255" i="25" s="1"/>
  <c r="V255" i="25"/>
  <c r="U255" i="25"/>
  <c r="T255" i="25"/>
  <c r="N255" i="25"/>
  <c r="M255" i="25"/>
  <c r="I255" i="25"/>
  <c r="H255" i="25"/>
  <c r="F255" i="25"/>
  <c r="D255" i="25"/>
  <c r="AG254" i="25"/>
  <c r="AF254" i="25"/>
  <c r="AE254" i="25"/>
  <c r="AD254" i="25"/>
  <c r="AC254" i="25"/>
  <c r="AB254" i="25"/>
  <c r="AA254" i="25"/>
  <c r="Z254" i="25"/>
  <c r="Y254" i="25"/>
  <c r="X254" i="25"/>
  <c r="W254" i="25"/>
  <c r="V254" i="25"/>
  <c r="F254" i="25" s="1"/>
  <c r="U254" i="25"/>
  <c r="T254" i="25"/>
  <c r="P253" i="25"/>
  <c r="Q251" i="25"/>
  <c r="O251" i="25"/>
  <c r="N251" i="25"/>
  <c r="G251" i="25"/>
  <c r="F251" i="25"/>
  <c r="O250" i="25"/>
  <c r="N250" i="25"/>
  <c r="J250" i="25"/>
  <c r="H250" i="25"/>
  <c r="G250" i="25"/>
  <c r="F250" i="25"/>
  <c r="AG248" i="25"/>
  <c r="AF248" i="25"/>
  <c r="AE248" i="25"/>
  <c r="O248" i="25" s="1"/>
  <c r="AD248" i="25"/>
  <c r="AC248" i="25"/>
  <c r="AB248" i="25"/>
  <c r="L248" i="25" s="1"/>
  <c r="AA248" i="25"/>
  <c r="Z248" i="25"/>
  <c r="Y248" i="25"/>
  <c r="X248" i="25"/>
  <c r="W248" i="25"/>
  <c r="G248" i="25" s="1"/>
  <c r="V248" i="25"/>
  <c r="U248" i="25"/>
  <c r="T248" i="25"/>
  <c r="N248" i="25"/>
  <c r="F248" i="25"/>
  <c r="Q247" i="25"/>
  <c r="N247" i="25"/>
  <c r="L247" i="25"/>
  <c r="F247" i="25"/>
  <c r="AG245" i="25"/>
  <c r="AF245" i="25"/>
  <c r="P245" i="25" s="1"/>
  <c r="AE245" i="25"/>
  <c r="O245" i="25" s="1"/>
  <c r="AD245" i="25"/>
  <c r="AC245" i="25"/>
  <c r="AB245" i="25"/>
  <c r="AA245" i="25"/>
  <c r="Z245" i="25"/>
  <c r="Y245" i="25"/>
  <c r="X245" i="25"/>
  <c r="W245" i="25"/>
  <c r="G245" i="25" s="1"/>
  <c r="V245" i="25"/>
  <c r="U245" i="25"/>
  <c r="T245" i="25"/>
  <c r="N245" i="25"/>
  <c r="H245" i="25"/>
  <c r="F245" i="25"/>
  <c r="O244" i="25"/>
  <c r="N244" i="25"/>
  <c r="I244" i="25"/>
  <c r="H244" i="25"/>
  <c r="G244" i="25"/>
  <c r="F244" i="25"/>
  <c r="AG242" i="25"/>
  <c r="AF242" i="25"/>
  <c r="AE242" i="25"/>
  <c r="AD242" i="25"/>
  <c r="N242" i="25" s="1"/>
  <c r="AC242" i="25"/>
  <c r="AB242" i="25"/>
  <c r="AA242" i="25"/>
  <c r="Z242" i="25"/>
  <c r="Y242" i="25"/>
  <c r="X242" i="25"/>
  <c r="W242" i="25"/>
  <c r="V242" i="25"/>
  <c r="F242" i="25" s="1"/>
  <c r="U242" i="25"/>
  <c r="T242" i="25"/>
  <c r="D242" i="25" s="1"/>
  <c r="O242" i="25"/>
  <c r="G242" i="25"/>
  <c r="N241" i="25"/>
  <c r="M241" i="25"/>
  <c r="L241" i="25"/>
  <c r="F241" i="25"/>
  <c r="D241" i="25"/>
  <c r="Q240" i="25"/>
  <c r="P240" i="25"/>
  <c r="P251" i="25" s="1"/>
  <c r="O240" i="25"/>
  <c r="O258" i="25" s="1"/>
  <c r="N240" i="25"/>
  <c r="N257" i="25" s="1"/>
  <c r="M240" i="25"/>
  <c r="M242" i="25" s="1"/>
  <c r="L240" i="25"/>
  <c r="K240" i="25"/>
  <c r="J240" i="25"/>
  <c r="I240" i="25"/>
  <c r="H240" i="25"/>
  <c r="H251" i="25" s="1"/>
  <c r="G240" i="25"/>
  <c r="G258" i="25" s="1"/>
  <c r="F240" i="25"/>
  <c r="F257" i="25" s="1"/>
  <c r="E240" i="25"/>
  <c r="R240" i="25" s="1"/>
  <c r="D240" i="25"/>
  <c r="AG235" i="25"/>
  <c r="AF235" i="25"/>
  <c r="AE235" i="25"/>
  <c r="AD235" i="25"/>
  <c r="AC235" i="25"/>
  <c r="AB235" i="25"/>
  <c r="AA235" i="25"/>
  <c r="Z235" i="25"/>
  <c r="Y235" i="25"/>
  <c r="X235" i="25"/>
  <c r="W235" i="25"/>
  <c r="V235" i="25"/>
  <c r="U235" i="25"/>
  <c r="T235" i="25"/>
  <c r="AG227" i="25"/>
  <c r="AF227" i="25"/>
  <c r="AE227" i="25"/>
  <c r="AD227" i="25"/>
  <c r="AC227" i="25"/>
  <c r="AB227" i="25"/>
  <c r="AA227" i="25"/>
  <c r="Z227" i="25"/>
  <c r="Y227" i="25"/>
  <c r="X227" i="25"/>
  <c r="W227" i="25"/>
  <c r="V227" i="25"/>
  <c r="U227" i="25"/>
  <c r="T227" i="25"/>
  <c r="AG221" i="25"/>
  <c r="AF221" i="25"/>
  <c r="AE221" i="25"/>
  <c r="AD221" i="25"/>
  <c r="AC221" i="25"/>
  <c r="AB221" i="25"/>
  <c r="AA221" i="25"/>
  <c r="Z221" i="25"/>
  <c r="Y221" i="25"/>
  <c r="X221" i="25"/>
  <c r="W221" i="25"/>
  <c r="V221" i="25"/>
  <c r="U221" i="25"/>
  <c r="T221" i="25"/>
  <c r="AG217" i="25"/>
  <c r="AF217" i="25"/>
  <c r="AE217" i="25"/>
  <c r="AD217" i="25"/>
  <c r="AC217" i="25"/>
  <c r="AB217" i="25"/>
  <c r="AA217" i="25"/>
  <c r="Z217" i="25"/>
  <c r="Y217" i="25"/>
  <c r="X217" i="25"/>
  <c r="W217" i="25"/>
  <c r="V217" i="25"/>
  <c r="U217" i="25"/>
  <c r="T217" i="25"/>
  <c r="AG210" i="25"/>
  <c r="AF210" i="25"/>
  <c r="AE210" i="25"/>
  <c r="AD210" i="25"/>
  <c r="AC210" i="25"/>
  <c r="AB210" i="25"/>
  <c r="AA210" i="25"/>
  <c r="Z210" i="25"/>
  <c r="Y210" i="25"/>
  <c r="X210" i="25"/>
  <c r="W210" i="25"/>
  <c r="V210" i="25"/>
  <c r="U210" i="25"/>
  <c r="T210" i="25"/>
  <c r="N210" i="25"/>
  <c r="L210" i="25"/>
  <c r="G210" i="25"/>
  <c r="P209" i="25"/>
  <c r="M209" i="25"/>
  <c r="H209" i="25"/>
  <c r="E209" i="25"/>
  <c r="M208" i="25"/>
  <c r="K208" i="25"/>
  <c r="H208" i="25"/>
  <c r="E208" i="25"/>
  <c r="AG206" i="25"/>
  <c r="AF206" i="25"/>
  <c r="AE206" i="25"/>
  <c r="AD206" i="25"/>
  <c r="AC206" i="25"/>
  <c r="AB206" i="25"/>
  <c r="AA206" i="25"/>
  <c r="Z206" i="25"/>
  <c r="Y206" i="25"/>
  <c r="X206" i="25"/>
  <c r="W206" i="25"/>
  <c r="V206" i="25"/>
  <c r="U206" i="25"/>
  <c r="T206" i="25"/>
  <c r="P206" i="25"/>
  <c r="N206" i="25"/>
  <c r="M206" i="25"/>
  <c r="H206" i="25"/>
  <c r="F206" i="25"/>
  <c r="E206" i="25"/>
  <c r="AG205" i="25"/>
  <c r="AF205" i="25"/>
  <c r="AE205" i="25"/>
  <c r="AD205" i="25"/>
  <c r="AC205" i="25"/>
  <c r="AB205" i="25"/>
  <c r="AA205" i="25"/>
  <c r="Z205" i="25"/>
  <c r="Y205" i="25"/>
  <c r="X205" i="25"/>
  <c r="W205" i="25"/>
  <c r="V205" i="25"/>
  <c r="U205" i="25"/>
  <c r="T205" i="25"/>
  <c r="O205" i="25"/>
  <c r="P203" i="25"/>
  <c r="P202" i="25"/>
  <c r="O202" i="25"/>
  <c r="L202" i="25"/>
  <c r="H202" i="25"/>
  <c r="G202" i="25"/>
  <c r="O201" i="25"/>
  <c r="N201" i="25"/>
  <c r="K201" i="25"/>
  <c r="G201" i="25"/>
  <c r="F201" i="25"/>
  <c r="AG199" i="25"/>
  <c r="AF199" i="25"/>
  <c r="AE199" i="25"/>
  <c r="AD199" i="25"/>
  <c r="AC199" i="25"/>
  <c r="AB199" i="25"/>
  <c r="AA199" i="25"/>
  <c r="Z199" i="25"/>
  <c r="Y199" i="25"/>
  <c r="X199" i="25"/>
  <c r="W199" i="25"/>
  <c r="V199" i="25"/>
  <c r="U199" i="25"/>
  <c r="T199" i="25"/>
  <c r="P199" i="25"/>
  <c r="N199" i="25"/>
  <c r="K199" i="25"/>
  <c r="H199" i="25"/>
  <c r="F199" i="25"/>
  <c r="O198" i="25"/>
  <c r="M198" i="25"/>
  <c r="K198" i="25"/>
  <c r="G198" i="25"/>
  <c r="E198" i="25"/>
  <c r="AG196" i="25"/>
  <c r="AF196" i="25"/>
  <c r="AE196" i="25"/>
  <c r="AD196" i="25"/>
  <c r="AC196" i="25"/>
  <c r="AB196" i="25"/>
  <c r="AA196" i="25"/>
  <c r="Z196" i="25"/>
  <c r="Y196" i="25"/>
  <c r="X196" i="25"/>
  <c r="W196" i="25"/>
  <c r="V196" i="25"/>
  <c r="U196" i="25"/>
  <c r="T196" i="25"/>
  <c r="P196" i="25"/>
  <c r="O196" i="25"/>
  <c r="H196" i="25"/>
  <c r="G196" i="25"/>
  <c r="O195" i="25"/>
  <c r="N195" i="25"/>
  <c r="K195" i="25"/>
  <c r="G195" i="25"/>
  <c r="AG193" i="25"/>
  <c r="AF193" i="25"/>
  <c r="AE193" i="25"/>
  <c r="AD193" i="25"/>
  <c r="AC193" i="25"/>
  <c r="M193" i="25" s="1"/>
  <c r="AB193" i="25"/>
  <c r="AA193" i="25"/>
  <c r="Z193" i="25"/>
  <c r="Y193" i="25"/>
  <c r="X193" i="25"/>
  <c r="W193" i="25"/>
  <c r="V193" i="25"/>
  <c r="U193" i="25"/>
  <c r="E193" i="25" s="1"/>
  <c r="T193" i="25"/>
  <c r="P193" i="25"/>
  <c r="N193" i="25"/>
  <c r="K193" i="25"/>
  <c r="H193" i="25"/>
  <c r="F193" i="25"/>
  <c r="D193" i="25"/>
  <c r="O192" i="25"/>
  <c r="M192" i="25"/>
  <c r="K192" i="25"/>
  <c r="G192" i="25"/>
  <c r="E192" i="25"/>
  <c r="Q191" i="25"/>
  <c r="P191" i="25"/>
  <c r="P198" i="25" s="1"/>
  <c r="O191" i="25"/>
  <c r="O209" i="25" s="1"/>
  <c r="N191" i="25"/>
  <c r="M191" i="25"/>
  <c r="M201" i="25" s="1"/>
  <c r="L191" i="25"/>
  <c r="K191" i="25"/>
  <c r="J191" i="25"/>
  <c r="J202" i="25" s="1"/>
  <c r="I191" i="25"/>
  <c r="H191" i="25"/>
  <c r="H198" i="25" s="1"/>
  <c r="G191" i="25"/>
  <c r="G209" i="25" s="1"/>
  <c r="F191" i="25"/>
  <c r="E191" i="25"/>
  <c r="E201" i="25" s="1"/>
  <c r="D191" i="25"/>
  <c r="AG186" i="25"/>
  <c r="AF186" i="25"/>
  <c r="AE186" i="25"/>
  <c r="AD186" i="25"/>
  <c r="AC186" i="25"/>
  <c r="AB186" i="25"/>
  <c r="AA186" i="25"/>
  <c r="Z186" i="25"/>
  <c r="Y186" i="25"/>
  <c r="X186" i="25"/>
  <c r="W186" i="25"/>
  <c r="V186" i="25"/>
  <c r="U186" i="25"/>
  <c r="T186" i="25"/>
  <c r="AG178" i="25"/>
  <c r="AF178" i="25"/>
  <c r="AE178" i="25"/>
  <c r="AD178" i="25"/>
  <c r="AC178" i="25"/>
  <c r="AB178" i="25"/>
  <c r="AA178" i="25"/>
  <c r="Z178" i="25"/>
  <c r="Y178" i="25"/>
  <c r="X178" i="25"/>
  <c r="W178" i="25"/>
  <c r="V178" i="25"/>
  <c r="U178" i="25"/>
  <c r="T178" i="25"/>
  <c r="AG172" i="25"/>
  <c r="AF172" i="25"/>
  <c r="AE172" i="25"/>
  <c r="AD172" i="25"/>
  <c r="AC172" i="25"/>
  <c r="AB172" i="25"/>
  <c r="AA172" i="25"/>
  <c r="Z172" i="25"/>
  <c r="Y172" i="25"/>
  <c r="X172" i="25"/>
  <c r="W172" i="25"/>
  <c r="V172" i="25"/>
  <c r="U172" i="25"/>
  <c r="T172" i="25"/>
  <c r="AG168" i="25"/>
  <c r="AF168" i="25"/>
  <c r="AE168" i="25"/>
  <c r="AD168" i="25"/>
  <c r="AC168" i="25"/>
  <c r="AB168" i="25"/>
  <c r="AA168" i="25"/>
  <c r="Z168" i="25"/>
  <c r="Y168" i="25"/>
  <c r="X168" i="25"/>
  <c r="W168" i="25"/>
  <c r="V168" i="25"/>
  <c r="U168" i="25"/>
  <c r="T168" i="25"/>
  <c r="AG161" i="25"/>
  <c r="AF161" i="25"/>
  <c r="AE161" i="25"/>
  <c r="AD161" i="25"/>
  <c r="AC161" i="25"/>
  <c r="AB161" i="25"/>
  <c r="AA161" i="25"/>
  <c r="Z161" i="25"/>
  <c r="Y161" i="25"/>
  <c r="X161" i="25"/>
  <c r="W161" i="25"/>
  <c r="V161" i="25"/>
  <c r="U161" i="25"/>
  <c r="T161" i="25"/>
  <c r="Q161" i="25"/>
  <c r="I161" i="25"/>
  <c r="O160" i="25"/>
  <c r="L160" i="25"/>
  <c r="G160" i="25"/>
  <c r="D160" i="25"/>
  <c r="M159" i="25"/>
  <c r="K159" i="25"/>
  <c r="G159" i="25"/>
  <c r="AG157" i="25"/>
  <c r="Q157" i="25" s="1"/>
  <c r="AF157" i="25"/>
  <c r="AE157" i="25"/>
  <c r="AD157" i="25"/>
  <c r="AC157" i="25"/>
  <c r="AB157" i="25"/>
  <c r="AA157" i="25"/>
  <c r="K157" i="25" s="1"/>
  <c r="Z157" i="25"/>
  <c r="Y157" i="25"/>
  <c r="X157" i="25"/>
  <c r="W157" i="25"/>
  <c r="V157" i="25"/>
  <c r="U157" i="25"/>
  <c r="T157" i="25"/>
  <c r="L157" i="25"/>
  <c r="J157" i="25"/>
  <c r="I157" i="25"/>
  <c r="D157" i="25"/>
  <c r="AG156" i="25"/>
  <c r="AF156" i="25"/>
  <c r="AE156" i="25"/>
  <c r="AD156" i="25"/>
  <c r="AC156" i="25"/>
  <c r="AB156" i="25"/>
  <c r="AA156" i="25"/>
  <c r="Z156" i="25"/>
  <c r="Y156" i="25"/>
  <c r="X156" i="25"/>
  <c r="W156" i="25"/>
  <c r="V156" i="25"/>
  <c r="U156" i="25"/>
  <c r="T156" i="25"/>
  <c r="K153" i="25"/>
  <c r="J153" i="25"/>
  <c r="E153" i="25"/>
  <c r="Q152" i="25"/>
  <c r="L152" i="25"/>
  <c r="K152" i="25"/>
  <c r="J152" i="25"/>
  <c r="I152" i="25"/>
  <c r="D152" i="25"/>
  <c r="AG150" i="25"/>
  <c r="Q150" i="25" s="1"/>
  <c r="AF150" i="25"/>
  <c r="AE150" i="25"/>
  <c r="O150" i="25" s="1"/>
  <c r="AD150" i="25"/>
  <c r="AC150" i="25"/>
  <c r="AB150" i="25"/>
  <c r="AA150" i="25"/>
  <c r="Z150" i="25"/>
  <c r="J150" i="25" s="1"/>
  <c r="Y150" i="25"/>
  <c r="I150" i="25" s="1"/>
  <c r="X150" i="25"/>
  <c r="W150" i="25"/>
  <c r="V150" i="25"/>
  <c r="U150" i="25"/>
  <c r="T150" i="25"/>
  <c r="Q149" i="25"/>
  <c r="O149" i="25"/>
  <c r="I149" i="25"/>
  <c r="G149" i="25"/>
  <c r="F149" i="25"/>
  <c r="AG147" i="25"/>
  <c r="AF147" i="25"/>
  <c r="AE147" i="25"/>
  <c r="AD147" i="25"/>
  <c r="AC147" i="25"/>
  <c r="AB147" i="25"/>
  <c r="AA147" i="25"/>
  <c r="K147" i="25" s="1"/>
  <c r="Z147" i="25"/>
  <c r="Y147" i="25"/>
  <c r="X147" i="25"/>
  <c r="W147" i="25"/>
  <c r="V147" i="25"/>
  <c r="U147" i="25"/>
  <c r="T147" i="25"/>
  <c r="J147" i="25"/>
  <c r="D147" i="25"/>
  <c r="Q146" i="25"/>
  <c r="L146" i="25"/>
  <c r="K146" i="25"/>
  <c r="J146" i="25"/>
  <c r="I146" i="25"/>
  <c r="AG144" i="25"/>
  <c r="Q144" i="25" s="1"/>
  <c r="AF144" i="25"/>
  <c r="AE144" i="25"/>
  <c r="O144" i="25" s="1"/>
  <c r="AD144" i="25"/>
  <c r="AC144" i="25"/>
  <c r="AB144" i="25"/>
  <c r="AA144" i="25"/>
  <c r="Z144" i="25"/>
  <c r="Y144" i="25"/>
  <c r="I144" i="25" s="1"/>
  <c r="X144" i="25"/>
  <c r="W144" i="25"/>
  <c r="V144" i="25"/>
  <c r="U144" i="25"/>
  <c r="T144" i="25"/>
  <c r="N144" i="25"/>
  <c r="J144" i="25"/>
  <c r="G144" i="25"/>
  <c r="Q143" i="25"/>
  <c r="O143" i="25"/>
  <c r="N143" i="25"/>
  <c r="I143" i="25"/>
  <c r="G143" i="25"/>
  <c r="Q142" i="25"/>
  <c r="Q153" i="25" s="1"/>
  <c r="P142" i="25"/>
  <c r="O142" i="25"/>
  <c r="N142" i="25"/>
  <c r="M142" i="25"/>
  <c r="M152" i="25" s="1"/>
  <c r="L142" i="25"/>
  <c r="L147" i="25" s="1"/>
  <c r="K142" i="25"/>
  <c r="K160" i="25" s="1"/>
  <c r="J142" i="25"/>
  <c r="J159" i="25" s="1"/>
  <c r="I142" i="25"/>
  <c r="I153" i="25" s="1"/>
  <c r="I156" i="25" s="1"/>
  <c r="H142" i="25"/>
  <c r="H161" i="25" s="1"/>
  <c r="G142" i="25"/>
  <c r="F142" i="25"/>
  <c r="E142" i="25"/>
  <c r="E160" i="25" s="1"/>
  <c r="D142" i="25"/>
  <c r="D159" i="25" s="1"/>
  <c r="AG136" i="25"/>
  <c r="AF136" i="25"/>
  <c r="AE136" i="25"/>
  <c r="AD136" i="25"/>
  <c r="AC136" i="25"/>
  <c r="AB136" i="25"/>
  <c r="AA136" i="25"/>
  <c r="Z136" i="25"/>
  <c r="Y136" i="25"/>
  <c r="X136" i="25"/>
  <c r="W136" i="25"/>
  <c r="V136" i="25"/>
  <c r="U136" i="25"/>
  <c r="T136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AG122" i="25"/>
  <c r="AF122" i="25"/>
  <c r="AE122" i="25"/>
  <c r="AD122" i="25"/>
  <c r="AC122" i="25"/>
  <c r="AB122" i="25"/>
  <c r="AA122" i="25"/>
  <c r="Z122" i="25"/>
  <c r="X122" i="25"/>
  <c r="W122" i="25"/>
  <c r="V122" i="25"/>
  <c r="U122" i="25"/>
  <c r="T122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AG111" i="25"/>
  <c r="AF111" i="25"/>
  <c r="AE111" i="25"/>
  <c r="AD111" i="25"/>
  <c r="AC111" i="25"/>
  <c r="AB111" i="25"/>
  <c r="AA111" i="25"/>
  <c r="Z111" i="25"/>
  <c r="J111" i="25" s="1"/>
  <c r="Y111" i="25"/>
  <c r="X111" i="25"/>
  <c r="W111" i="25"/>
  <c r="V111" i="25"/>
  <c r="U111" i="25"/>
  <c r="T111" i="25"/>
  <c r="O111" i="25"/>
  <c r="N111" i="25"/>
  <c r="G111" i="25"/>
  <c r="F111" i="25"/>
  <c r="Q110" i="25"/>
  <c r="N110" i="25"/>
  <c r="P109" i="25"/>
  <c r="O109" i="25"/>
  <c r="L109" i="25"/>
  <c r="J109" i="25"/>
  <c r="G109" i="25"/>
  <c r="D109" i="25"/>
  <c r="AG107" i="25"/>
  <c r="AF107" i="25"/>
  <c r="AE107" i="25"/>
  <c r="AD107" i="25"/>
  <c r="AC107" i="25"/>
  <c r="AB107" i="25"/>
  <c r="AA107" i="25"/>
  <c r="Z107" i="25"/>
  <c r="J107" i="25" s="1"/>
  <c r="Y107" i="25"/>
  <c r="X107" i="25"/>
  <c r="W107" i="25"/>
  <c r="V107" i="25"/>
  <c r="U107" i="25"/>
  <c r="T107" i="25"/>
  <c r="Q107" i="25"/>
  <c r="O107" i="25"/>
  <c r="L107" i="25"/>
  <c r="G107" i="25"/>
  <c r="D107" i="25"/>
  <c r="AG106" i="25"/>
  <c r="AF106" i="25"/>
  <c r="AE106" i="25"/>
  <c r="AD106" i="25"/>
  <c r="AC106" i="25"/>
  <c r="AB106" i="25"/>
  <c r="AA106" i="25"/>
  <c r="Z106" i="25"/>
  <c r="J106" i="25" s="1"/>
  <c r="Y106" i="25"/>
  <c r="X106" i="25"/>
  <c r="W106" i="25"/>
  <c r="V106" i="25"/>
  <c r="U106" i="25"/>
  <c r="T106" i="25"/>
  <c r="O104" i="25"/>
  <c r="J104" i="25"/>
  <c r="O103" i="25"/>
  <c r="L103" i="25"/>
  <c r="K103" i="25"/>
  <c r="J103" i="25"/>
  <c r="J105" i="25" s="1"/>
  <c r="G103" i="25"/>
  <c r="G105" i="25" s="1"/>
  <c r="D103" i="25"/>
  <c r="K102" i="25"/>
  <c r="J102" i="25"/>
  <c r="AG100" i="25"/>
  <c r="AF100" i="25"/>
  <c r="AE100" i="25"/>
  <c r="AD100" i="25"/>
  <c r="AC100" i="25"/>
  <c r="AB100" i="25"/>
  <c r="AA100" i="25"/>
  <c r="Z100" i="25"/>
  <c r="Y100" i="25"/>
  <c r="X100" i="25"/>
  <c r="H100" i="25" s="1"/>
  <c r="W100" i="25"/>
  <c r="V100" i="25"/>
  <c r="U100" i="25"/>
  <c r="T100" i="25"/>
  <c r="O100" i="25"/>
  <c r="K100" i="25"/>
  <c r="J100" i="25"/>
  <c r="G100" i="25"/>
  <c r="O99" i="25"/>
  <c r="N99" i="25"/>
  <c r="L99" i="25"/>
  <c r="J99" i="25"/>
  <c r="I99" i="25"/>
  <c r="G99" i="25"/>
  <c r="D99" i="25"/>
  <c r="AG97" i="25"/>
  <c r="AF97" i="25"/>
  <c r="AE97" i="25"/>
  <c r="O97" i="25" s="1"/>
  <c r="AD97" i="25"/>
  <c r="AC97" i="25"/>
  <c r="AB97" i="25"/>
  <c r="L97" i="25" s="1"/>
  <c r="AA97" i="25"/>
  <c r="Z97" i="25"/>
  <c r="J97" i="25" s="1"/>
  <c r="Y97" i="25"/>
  <c r="X97" i="25"/>
  <c r="W97" i="25"/>
  <c r="G97" i="25" s="1"/>
  <c r="V97" i="25"/>
  <c r="U97" i="25"/>
  <c r="T97" i="25"/>
  <c r="K97" i="25"/>
  <c r="D97" i="25"/>
  <c r="N96" i="25"/>
  <c r="J96" i="25"/>
  <c r="F96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O94" i="25"/>
  <c r="J94" i="25"/>
  <c r="G94" i="25"/>
  <c r="E94" i="25"/>
  <c r="Q93" i="25"/>
  <c r="O93" i="25"/>
  <c r="N93" i="25"/>
  <c r="L93" i="25"/>
  <c r="J93" i="25"/>
  <c r="I93" i="25"/>
  <c r="G93" i="25"/>
  <c r="F93" i="25"/>
  <c r="D93" i="25"/>
  <c r="Q92" i="25"/>
  <c r="Q99" i="25" s="1"/>
  <c r="P92" i="25"/>
  <c r="P100" i="25" s="1"/>
  <c r="O92" i="25"/>
  <c r="O102" i="25" s="1"/>
  <c r="N92" i="25"/>
  <c r="N103" i="25" s="1"/>
  <c r="M92" i="25"/>
  <c r="M109" i="25" s="1"/>
  <c r="L92" i="25"/>
  <c r="L110" i="25" s="1"/>
  <c r="K92" i="25"/>
  <c r="J92" i="25"/>
  <c r="J110" i="25" s="1"/>
  <c r="I92" i="25"/>
  <c r="I110" i="25" s="1"/>
  <c r="H92" i="25"/>
  <c r="H110" i="25" s="1"/>
  <c r="G92" i="25"/>
  <c r="G102" i="25" s="1"/>
  <c r="F92" i="25"/>
  <c r="F97" i="25" s="1"/>
  <c r="E92" i="25"/>
  <c r="E96" i="25" s="1"/>
  <c r="D92" i="25"/>
  <c r="D110" i="25" s="1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AG68" i="25"/>
  <c r="AF68" i="25"/>
  <c r="AE68" i="25"/>
  <c r="AD68" i="25"/>
  <c r="AC68" i="25"/>
  <c r="AB68" i="25"/>
  <c r="AA68" i="25"/>
  <c r="Z68" i="25"/>
  <c r="Y68" i="25"/>
  <c r="X68" i="25"/>
  <c r="W68" i="25"/>
  <c r="V68" i="25"/>
  <c r="U68" i="25"/>
  <c r="T68" i="25"/>
  <c r="AG61" i="25"/>
  <c r="AF61" i="25"/>
  <c r="AE61" i="25"/>
  <c r="AD61" i="25"/>
  <c r="AC61" i="25"/>
  <c r="AB61" i="25"/>
  <c r="L61" i="25" s="1"/>
  <c r="AA61" i="25"/>
  <c r="Z61" i="25"/>
  <c r="Y61" i="25"/>
  <c r="X61" i="25"/>
  <c r="W61" i="25"/>
  <c r="V61" i="25"/>
  <c r="U61" i="25"/>
  <c r="T61" i="25"/>
  <c r="D61" i="25" s="1"/>
  <c r="Q61" i="25"/>
  <c r="K61" i="25"/>
  <c r="I61" i="25"/>
  <c r="Q59" i="25"/>
  <c r="N59" i="25"/>
  <c r="I59" i="25"/>
  <c r="F59" i="25"/>
  <c r="AG57" i="25"/>
  <c r="AF57" i="25"/>
  <c r="AE57" i="25"/>
  <c r="AD57" i="25"/>
  <c r="AC57" i="25"/>
  <c r="AB57" i="25"/>
  <c r="AA57" i="25"/>
  <c r="Z57" i="25"/>
  <c r="Y57" i="25"/>
  <c r="X57" i="25"/>
  <c r="W57" i="25"/>
  <c r="V57" i="25"/>
  <c r="U57" i="25"/>
  <c r="T57" i="25"/>
  <c r="N57" i="25"/>
  <c r="L57" i="25"/>
  <c r="F57" i="25"/>
  <c r="D57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Q56" i="25"/>
  <c r="I56" i="25"/>
  <c r="Q54" i="25"/>
  <c r="I54" i="25"/>
  <c r="Q53" i="25"/>
  <c r="Q55" i="25" s="1"/>
  <c r="P53" i="25"/>
  <c r="N53" i="25"/>
  <c r="N54" i="25" s="1"/>
  <c r="M53" i="25"/>
  <c r="M54" i="25" s="1"/>
  <c r="I53" i="25"/>
  <c r="I55" i="25" s="1"/>
  <c r="H53" i="25"/>
  <c r="F53" i="25"/>
  <c r="F54" i="25" s="1"/>
  <c r="E53" i="25"/>
  <c r="E54" i="25" s="1"/>
  <c r="O52" i="25"/>
  <c r="M52" i="25"/>
  <c r="L52" i="25"/>
  <c r="G52" i="25"/>
  <c r="E52" i="25"/>
  <c r="D52" i="25"/>
  <c r="AG50" i="25"/>
  <c r="AF50" i="25"/>
  <c r="AE50" i="25"/>
  <c r="AD50" i="25"/>
  <c r="AC50" i="25"/>
  <c r="M50" i="25" s="1"/>
  <c r="AB50" i="25"/>
  <c r="AA50" i="25"/>
  <c r="Z50" i="25"/>
  <c r="Y50" i="25"/>
  <c r="X50" i="25"/>
  <c r="W50" i="25"/>
  <c r="V50" i="25"/>
  <c r="U50" i="25"/>
  <c r="E50" i="25" s="1"/>
  <c r="R50" i="25" s="1"/>
  <c r="T50" i="25"/>
  <c r="Q50" i="25"/>
  <c r="L50" i="25"/>
  <c r="I50" i="25"/>
  <c r="D50" i="25"/>
  <c r="Q49" i="25"/>
  <c r="L49" i="25"/>
  <c r="K49" i="25"/>
  <c r="I49" i="25"/>
  <c r="D49" i="25"/>
  <c r="AG47" i="25"/>
  <c r="Q47" i="25" s="1"/>
  <c r="AF47" i="25"/>
  <c r="AE47" i="25"/>
  <c r="AD47" i="25"/>
  <c r="AC47" i="25"/>
  <c r="AB47" i="25"/>
  <c r="AA47" i="25"/>
  <c r="Z47" i="25"/>
  <c r="Y47" i="25"/>
  <c r="I47" i="25" s="1"/>
  <c r="X47" i="25"/>
  <c r="W47" i="25"/>
  <c r="V47" i="25"/>
  <c r="U47" i="25"/>
  <c r="T47" i="25"/>
  <c r="P47" i="25"/>
  <c r="N47" i="25"/>
  <c r="M47" i="25"/>
  <c r="H47" i="25"/>
  <c r="F47" i="25"/>
  <c r="E47" i="25"/>
  <c r="R47" i="25" s="1"/>
  <c r="O46" i="25"/>
  <c r="M46" i="25"/>
  <c r="L46" i="25"/>
  <c r="G46" i="25"/>
  <c r="E46" i="25"/>
  <c r="D46" i="25"/>
  <c r="AG44" i="25"/>
  <c r="AF44" i="25"/>
  <c r="AE44" i="25"/>
  <c r="AD44" i="25"/>
  <c r="AC44" i="25"/>
  <c r="M44" i="25" s="1"/>
  <c r="AB44" i="25"/>
  <c r="AA44" i="25"/>
  <c r="Z44" i="25"/>
  <c r="Y44" i="25"/>
  <c r="X44" i="25"/>
  <c r="W44" i="25"/>
  <c r="V44" i="25"/>
  <c r="U44" i="25"/>
  <c r="E44" i="25" s="1"/>
  <c r="R44" i="25" s="1"/>
  <c r="T44" i="25"/>
  <c r="Q44" i="25"/>
  <c r="L44" i="25"/>
  <c r="I44" i="25"/>
  <c r="D44" i="25"/>
  <c r="Q43" i="25"/>
  <c r="L43" i="25"/>
  <c r="K43" i="25"/>
  <c r="I43" i="25"/>
  <c r="D43" i="25"/>
  <c r="R42" i="25"/>
  <c r="Q42" i="25"/>
  <c r="Q57" i="25" s="1"/>
  <c r="P42" i="25"/>
  <c r="P61" i="25" s="1"/>
  <c r="O42" i="25"/>
  <c r="O60" i="25" s="1"/>
  <c r="N42" i="25"/>
  <c r="N60" i="25" s="1"/>
  <c r="M42" i="25"/>
  <c r="M59" i="25" s="1"/>
  <c r="L42" i="25"/>
  <c r="L53" i="25" s="1"/>
  <c r="K42" i="25"/>
  <c r="K57" i="25" s="1"/>
  <c r="J42" i="25"/>
  <c r="I42" i="25"/>
  <c r="I57" i="25" s="1"/>
  <c r="H42" i="25"/>
  <c r="H61" i="25" s="1"/>
  <c r="G42" i="25"/>
  <c r="G60" i="25" s="1"/>
  <c r="F42" i="25"/>
  <c r="F60" i="25" s="1"/>
  <c r="E42" i="25"/>
  <c r="E59" i="25" s="1"/>
  <c r="D42" i="25"/>
  <c r="D53" i="25" s="1"/>
  <c r="AG37" i="25"/>
  <c r="AF37" i="25"/>
  <c r="AE37" i="25"/>
  <c r="AD37" i="25"/>
  <c r="AC37" i="25"/>
  <c r="AB37" i="25"/>
  <c r="AA37" i="25"/>
  <c r="Z37" i="25"/>
  <c r="Y37" i="25"/>
  <c r="X37" i="25"/>
  <c r="W37" i="25"/>
  <c r="V37" i="25"/>
  <c r="U37" i="25"/>
  <c r="T37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D212" i="24"/>
  <c r="AG284" i="24"/>
  <c r="AF284" i="24"/>
  <c r="AE284" i="24"/>
  <c r="AD284" i="24"/>
  <c r="AC284" i="24"/>
  <c r="AB284" i="24"/>
  <c r="AA284" i="24"/>
  <c r="Z284" i="24"/>
  <c r="Y284" i="24"/>
  <c r="X284" i="24"/>
  <c r="W284" i="24"/>
  <c r="V284" i="24"/>
  <c r="U284" i="24"/>
  <c r="T284" i="24"/>
  <c r="AG276" i="24"/>
  <c r="AF276" i="24"/>
  <c r="AE276" i="24"/>
  <c r="AD276" i="24"/>
  <c r="AC276" i="24"/>
  <c r="AB276" i="24"/>
  <c r="AA276" i="24"/>
  <c r="Z276" i="24"/>
  <c r="Y276" i="24"/>
  <c r="X276" i="24"/>
  <c r="W276" i="24"/>
  <c r="V276" i="24"/>
  <c r="U276" i="24"/>
  <c r="T276" i="24"/>
  <c r="AG270" i="24"/>
  <c r="AF270" i="24"/>
  <c r="AE270" i="24"/>
  <c r="AD270" i="24"/>
  <c r="AC270" i="24"/>
  <c r="AB270" i="24"/>
  <c r="AA270" i="24"/>
  <c r="Z270" i="24"/>
  <c r="Y270" i="24"/>
  <c r="X270" i="24"/>
  <c r="W270" i="24"/>
  <c r="V270" i="24"/>
  <c r="U270" i="24"/>
  <c r="T270" i="24"/>
  <c r="AG266" i="24"/>
  <c r="AF266" i="24"/>
  <c r="AE266" i="24"/>
  <c r="AD266" i="24"/>
  <c r="AC266" i="24"/>
  <c r="AB266" i="24"/>
  <c r="AA266" i="24"/>
  <c r="Z266" i="24"/>
  <c r="Y266" i="24"/>
  <c r="X266" i="24"/>
  <c r="W266" i="24"/>
  <c r="V266" i="24"/>
  <c r="U266" i="24"/>
  <c r="T266" i="24"/>
  <c r="AG259" i="24"/>
  <c r="AF259" i="24"/>
  <c r="AE259" i="24"/>
  <c r="O259" i="24" s="1"/>
  <c r="AD259" i="24"/>
  <c r="AC259" i="24"/>
  <c r="AB259" i="24"/>
  <c r="AA259" i="24"/>
  <c r="Z259" i="24"/>
  <c r="Y259" i="24"/>
  <c r="X259" i="24"/>
  <c r="W259" i="24"/>
  <c r="G259" i="24" s="1"/>
  <c r="V259" i="24"/>
  <c r="F259" i="24" s="1"/>
  <c r="U259" i="24"/>
  <c r="T259" i="24"/>
  <c r="M259" i="24"/>
  <c r="J259" i="24"/>
  <c r="E259" i="24"/>
  <c r="F258" i="24"/>
  <c r="E258" i="24"/>
  <c r="D258" i="24"/>
  <c r="P257" i="24"/>
  <c r="K257" i="24"/>
  <c r="H257" i="24"/>
  <c r="E257" i="24"/>
  <c r="D257" i="24"/>
  <c r="AG255" i="24"/>
  <c r="Q255" i="24" s="1"/>
  <c r="AF255" i="24"/>
  <c r="AE255" i="24"/>
  <c r="AD255" i="24"/>
  <c r="AC255" i="24"/>
  <c r="AB255" i="24"/>
  <c r="AA255" i="24"/>
  <c r="Z255" i="24"/>
  <c r="J255" i="24" s="1"/>
  <c r="Y255" i="24"/>
  <c r="X255" i="24"/>
  <c r="W255" i="24"/>
  <c r="V255" i="24"/>
  <c r="U255" i="24"/>
  <c r="E255" i="24" s="1"/>
  <c r="T255" i="24"/>
  <c r="P255" i="24"/>
  <c r="M255" i="24"/>
  <c r="H255" i="24"/>
  <c r="AG254" i="24"/>
  <c r="AF254" i="24"/>
  <c r="AE254" i="24"/>
  <c r="AD254" i="24"/>
  <c r="AC254" i="24"/>
  <c r="AB254" i="24"/>
  <c r="AA254" i="24"/>
  <c r="Z254" i="24"/>
  <c r="Y254" i="24"/>
  <c r="X254" i="24"/>
  <c r="W254" i="24"/>
  <c r="V254" i="24"/>
  <c r="U254" i="24"/>
  <c r="T254" i="24"/>
  <c r="O251" i="24"/>
  <c r="K251" i="24"/>
  <c r="J251" i="24"/>
  <c r="G251" i="24"/>
  <c r="D251" i="24"/>
  <c r="N250" i="24"/>
  <c r="K250" i="24"/>
  <c r="J250" i="24"/>
  <c r="F250" i="24"/>
  <c r="AG248" i="24"/>
  <c r="AF248" i="24"/>
  <c r="P248" i="24" s="1"/>
  <c r="AE248" i="24"/>
  <c r="AD248" i="24"/>
  <c r="N248" i="24" s="1"/>
  <c r="AC248" i="24"/>
  <c r="AB248" i="24"/>
  <c r="AA248" i="24"/>
  <c r="Z248" i="24"/>
  <c r="Y248" i="24"/>
  <c r="X248" i="24"/>
  <c r="H248" i="24" s="1"/>
  <c r="W248" i="24"/>
  <c r="V248" i="24"/>
  <c r="F248" i="24" s="1"/>
  <c r="U248" i="24"/>
  <c r="T248" i="24"/>
  <c r="O248" i="24"/>
  <c r="K248" i="24"/>
  <c r="G248" i="24"/>
  <c r="O247" i="24"/>
  <c r="N247" i="24"/>
  <c r="M247" i="24"/>
  <c r="J247" i="24"/>
  <c r="G247" i="24"/>
  <c r="F247" i="24"/>
  <c r="E247" i="24"/>
  <c r="AG245" i="24"/>
  <c r="AF245" i="24"/>
  <c r="AE245" i="24"/>
  <c r="AD245" i="24"/>
  <c r="AC245" i="24"/>
  <c r="AB245" i="24"/>
  <c r="AA245" i="24"/>
  <c r="Z245" i="24"/>
  <c r="Y245" i="24"/>
  <c r="X245" i="24"/>
  <c r="W245" i="24"/>
  <c r="V245" i="24"/>
  <c r="U245" i="24"/>
  <c r="T245" i="24"/>
  <c r="O245" i="24"/>
  <c r="L245" i="24"/>
  <c r="K245" i="24"/>
  <c r="J245" i="24"/>
  <c r="G245" i="24"/>
  <c r="N244" i="24"/>
  <c r="K244" i="24"/>
  <c r="J244" i="24"/>
  <c r="F244" i="24"/>
  <c r="AG242" i="24"/>
  <c r="AF242" i="24"/>
  <c r="AE242" i="24"/>
  <c r="O242" i="24" s="1"/>
  <c r="AD242" i="24"/>
  <c r="AC242" i="24"/>
  <c r="AB242" i="24"/>
  <c r="AA242" i="24"/>
  <c r="Z242" i="24"/>
  <c r="Y242" i="24"/>
  <c r="X242" i="24"/>
  <c r="W242" i="24"/>
  <c r="V242" i="24"/>
  <c r="U242" i="24"/>
  <c r="T242" i="24"/>
  <c r="P242" i="24"/>
  <c r="K242" i="24"/>
  <c r="H242" i="24"/>
  <c r="G242" i="24"/>
  <c r="F242" i="24"/>
  <c r="O241" i="24"/>
  <c r="N241" i="24"/>
  <c r="J241" i="24"/>
  <c r="G241" i="24"/>
  <c r="F241" i="24"/>
  <c r="E241" i="24"/>
  <c r="Q240" i="24"/>
  <c r="P240" i="24"/>
  <c r="P250" i="24" s="1"/>
  <c r="O240" i="24"/>
  <c r="O255" i="24" s="1"/>
  <c r="N240" i="24"/>
  <c r="M240" i="24"/>
  <c r="L240" i="24"/>
  <c r="L251" i="24" s="1"/>
  <c r="K240" i="24"/>
  <c r="K258" i="24" s="1"/>
  <c r="J240" i="24"/>
  <c r="J257" i="24" s="1"/>
  <c r="I240" i="24"/>
  <c r="H240" i="24"/>
  <c r="H250" i="24" s="1"/>
  <c r="G240" i="24"/>
  <c r="G255" i="24" s="1"/>
  <c r="F240" i="24"/>
  <c r="E240" i="24"/>
  <c r="D240" i="24"/>
  <c r="AG235" i="24"/>
  <c r="AF235" i="24"/>
  <c r="AE235" i="24"/>
  <c r="AD235" i="24"/>
  <c r="AC235" i="24"/>
  <c r="AB235" i="24"/>
  <c r="AA235" i="24"/>
  <c r="Z235" i="24"/>
  <c r="Y235" i="24"/>
  <c r="X235" i="24"/>
  <c r="W235" i="24"/>
  <c r="V235" i="24"/>
  <c r="U235" i="24"/>
  <c r="T235" i="24"/>
  <c r="AG227" i="24"/>
  <c r="AF227" i="24"/>
  <c r="AE227" i="24"/>
  <c r="AD227" i="24"/>
  <c r="AC227" i="24"/>
  <c r="AB227" i="24"/>
  <c r="AA227" i="24"/>
  <c r="Z227" i="24"/>
  <c r="Y227" i="24"/>
  <c r="X227" i="24"/>
  <c r="W227" i="24"/>
  <c r="V227" i="24"/>
  <c r="U227" i="24"/>
  <c r="T227" i="24"/>
  <c r="AG221" i="24"/>
  <c r="AF221" i="24"/>
  <c r="AE221" i="24"/>
  <c r="AD221" i="24"/>
  <c r="AC221" i="24"/>
  <c r="AB221" i="24"/>
  <c r="AA221" i="24"/>
  <c r="Z221" i="24"/>
  <c r="Y221" i="24"/>
  <c r="X221" i="24"/>
  <c r="W221" i="24"/>
  <c r="V221" i="24"/>
  <c r="U221" i="24"/>
  <c r="T221" i="24"/>
  <c r="AG217" i="24"/>
  <c r="AF217" i="24"/>
  <c r="AE217" i="24"/>
  <c r="AD217" i="24"/>
  <c r="AC217" i="24"/>
  <c r="AB217" i="24"/>
  <c r="AA217" i="24"/>
  <c r="Z217" i="24"/>
  <c r="Y217" i="24"/>
  <c r="X217" i="24"/>
  <c r="W217" i="24"/>
  <c r="V217" i="24"/>
  <c r="U217" i="24"/>
  <c r="T217" i="24"/>
  <c r="AG210" i="24"/>
  <c r="AF210" i="24"/>
  <c r="AE210" i="24"/>
  <c r="AD210" i="24"/>
  <c r="AC210" i="24"/>
  <c r="AB210" i="24"/>
  <c r="AA210" i="24"/>
  <c r="Z210" i="24"/>
  <c r="Y210" i="24"/>
  <c r="X210" i="24"/>
  <c r="W210" i="24"/>
  <c r="V210" i="24"/>
  <c r="U210" i="24"/>
  <c r="T210" i="24"/>
  <c r="I210" i="24"/>
  <c r="G210" i="24"/>
  <c r="P209" i="24"/>
  <c r="O209" i="24"/>
  <c r="N208" i="24"/>
  <c r="G208" i="24"/>
  <c r="AG206" i="24"/>
  <c r="AF206" i="24"/>
  <c r="AE206" i="24"/>
  <c r="AD206" i="24"/>
  <c r="AC206" i="24"/>
  <c r="AB206" i="24"/>
  <c r="AA206" i="24"/>
  <c r="Z206" i="24"/>
  <c r="Y206" i="24"/>
  <c r="X206" i="24"/>
  <c r="W206" i="24"/>
  <c r="V206" i="24"/>
  <c r="U206" i="24"/>
  <c r="T206" i="24"/>
  <c r="K206" i="24"/>
  <c r="J206" i="24"/>
  <c r="AG205" i="24"/>
  <c r="AF205" i="24"/>
  <c r="AE205" i="24"/>
  <c r="AD205" i="24"/>
  <c r="AC205" i="24"/>
  <c r="AB205" i="24"/>
  <c r="AA205" i="24"/>
  <c r="Z205" i="24"/>
  <c r="Y205" i="24"/>
  <c r="X205" i="24"/>
  <c r="W205" i="24"/>
  <c r="V205" i="24"/>
  <c r="U205" i="24"/>
  <c r="T205" i="24"/>
  <c r="M202" i="24"/>
  <c r="K201" i="24"/>
  <c r="J201" i="24"/>
  <c r="AG199" i="24"/>
  <c r="AF199" i="24"/>
  <c r="AE199" i="24"/>
  <c r="AD199" i="24"/>
  <c r="AC199" i="24"/>
  <c r="AB199" i="24"/>
  <c r="AA199" i="24"/>
  <c r="Z199" i="24"/>
  <c r="Y199" i="24"/>
  <c r="X199" i="24"/>
  <c r="W199" i="24"/>
  <c r="V199" i="24"/>
  <c r="U199" i="24"/>
  <c r="T199" i="24"/>
  <c r="O199" i="24"/>
  <c r="J199" i="24"/>
  <c r="I199" i="24"/>
  <c r="H199" i="24"/>
  <c r="G199" i="24"/>
  <c r="H198" i="24"/>
  <c r="G198" i="24"/>
  <c r="F198" i="24"/>
  <c r="AG196" i="24"/>
  <c r="AF196" i="24"/>
  <c r="AE196" i="24"/>
  <c r="AD196" i="24"/>
  <c r="AC196" i="24"/>
  <c r="AB196" i="24"/>
  <c r="AA196" i="24"/>
  <c r="Z196" i="24"/>
  <c r="Y196" i="24"/>
  <c r="X196" i="24"/>
  <c r="W196" i="24"/>
  <c r="V196" i="24"/>
  <c r="U196" i="24"/>
  <c r="T196" i="24"/>
  <c r="M196" i="24"/>
  <c r="AG193" i="24"/>
  <c r="AF193" i="24"/>
  <c r="AE193" i="24"/>
  <c r="AD193" i="24"/>
  <c r="AC193" i="24"/>
  <c r="AB193" i="24"/>
  <c r="AA193" i="24"/>
  <c r="Z193" i="24"/>
  <c r="Y193" i="24"/>
  <c r="X193" i="24"/>
  <c r="W193" i="24"/>
  <c r="V193" i="24"/>
  <c r="U193" i="24"/>
  <c r="T193" i="24"/>
  <c r="Q193" i="24"/>
  <c r="O193" i="24"/>
  <c r="J193" i="24"/>
  <c r="I193" i="24"/>
  <c r="Q192" i="24"/>
  <c r="O192" i="24"/>
  <c r="N192" i="24"/>
  <c r="J192" i="24"/>
  <c r="I192" i="24"/>
  <c r="G192" i="24"/>
  <c r="E192" i="24"/>
  <c r="R192" i="24" s="1"/>
  <c r="Q191" i="24"/>
  <c r="P191" i="24"/>
  <c r="P193" i="24" s="1"/>
  <c r="O191" i="24"/>
  <c r="N191" i="24"/>
  <c r="N202" i="24" s="1"/>
  <c r="M191" i="24"/>
  <c r="L191" i="24"/>
  <c r="K191" i="24"/>
  <c r="K196" i="24" s="1"/>
  <c r="J191" i="24"/>
  <c r="I191" i="24"/>
  <c r="I198" i="24" s="1"/>
  <c r="H191" i="24"/>
  <c r="H210" i="24" s="1"/>
  <c r="G191" i="24"/>
  <c r="F191" i="24"/>
  <c r="F192" i="24" s="1"/>
  <c r="E191" i="24"/>
  <c r="D191" i="24"/>
  <c r="AG186" i="24"/>
  <c r="AF186" i="24"/>
  <c r="AE186" i="24"/>
  <c r="AD186" i="24"/>
  <c r="AC186" i="24"/>
  <c r="AB186" i="24"/>
  <c r="AA186" i="24"/>
  <c r="Z186" i="24"/>
  <c r="Y186" i="24"/>
  <c r="X186" i="24"/>
  <c r="W186" i="24"/>
  <c r="V186" i="24"/>
  <c r="U186" i="24"/>
  <c r="T186" i="24"/>
  <c r="AG178" i="24"/>
  <c r="AF178" i="24"/>
  <c r="AE178" i="24"/>
  <c r="AD178" i="24"/>
  <c r="AC178" i="24"/>
  <c r="AB178" i="24"/>
  <c r="AA178" i="24"/>
  <c r="Z178" i="24"/>
  <c r="Y178" i="24"/>
  <c r="X178" i="24"/>
  <c r="W178" i="24"/>
  <c r="V178" i="24"/>
  <c r="U178" i="24"/>
  <c r="T178" i="24"/>
  <c r="AG172" i="24"/>
  <c r="AF172" i="24"/>
  <c r="AE172" i="24"/>
  <c r="AD172" i="24"/>
  <c r="AC172" i="24"/>
  <c r="AB172" i="24"/>
  <c r="AA172" i="24"/>
  <c r="Z172" i="24"/>
  <c r="Y172" i="24"/>
  <c r="X172" i="24"/>
  <c r="W172" i="24"/>
  <c r="V172" i="24"/>
  <c r="U172" i="24"/>
  <c r="T172" i="24"/>
  <c r="AG168" i="24"/>
  <c r="AF168" i="24"/>
  <c r="AE168" i="24"/>
  <c r="AD168" i="24"/>
  <c r="AC168" i="24"/>
  <c r="AB168" i="24"/>
  <c r="AA168" i="24"/>
  <c r="Z168" i="24"/>
  <c r="Y168" i="24"/>
  <c r="X168" i="24"/>
  <c r="W168" i="24"/>
  <c r="V168" i="24"/>
  <c r="U168" i="24"/>
  <c r="T168" i="24"/>
  <c r="AG161" i="24"/>
  <c r="AF161" i="24"/>
  <c r="AE161" i="24"/>
  <c r="AD161" i="24"/>
  <c r="AC161" i="24"/>
  <c r="AB161" i="24"/>
  <c r="AA161" i="24"/>
  <c r="Z161" i="24"/>
  <c r="Y161" i="24"/>
  <c r="X161" i="24"/>
  <c r="H161" i="24" s="1"/>
  <c r="W161" i="24"/>
  <c r="V161" i="24"/>
  <c r="U161" i="24"/>
  <c r="T161" i="24"/>
  <c r="N161" i="24"/>
  <c r="J161" i="24"/>
  <c r="F161" i="24"/>
  <c r="N160" i="24"/>
  <c r="M160" i="24"/>
  <c r="G160" i="24"/>
  <c r="F160" i="24"/>
  <c r="N159" i="24"/>
  <c r="L159" i="24"/>
  <c r="F159" i="24"/>
  <c r="AG157" i="24"/>
  <c r="AF157" i="24"/>
  <c r="AE157" i="24"/>
  <c r="AD157" i="24"/>
  <c r="AC157" i="24"/>
  <c r="AB157" i="24"/>
  <c r="AA157" i="24"/>
  <c r="Z157" i="24"/>
  <c r="J157" i="24" s="1"/>
  <c r="Y157" i="24"/>
  <c r="X157" i="24"/>
  <c r="W157" i="24"/>
  <c r="V157" i="24"/>
  <c r="U157" i="24"/>
  <c r="T157" i="24"/>
  <c r="I157" i="24"/>
  <c r="AG156" i="24"/>
  <c r="AF156" i="24"/>
  <c r="AE156" i="24"/>
  <c r="AD156" i="24"/>
  <c r="AC156" i="24"/>
  <c r="AB156" i="24"/>
  <c r="AA156" i="24"/>
  <c r="Z156" i="24"/>
  <c r="Y156" i="24"/>
  <c r="X156" i="24"/>
  <c r="W156" i="24"/>
  <c r="V156" i="24"/>
  <c r="U156" i="24"/>
  <c r="T156" i="24"/>
  <c r="O156" i="24"/>
  <c r="O153" i="24"/>
  <c r="L153" i="24"/>
  <c r="N152" i="24"/>
  <c r="K152" i="24"/>
  <c r="J152" i="24"/>
  <c r="F152" i="24"/>
  <c r="AG150" i="24"/>
  <c r="AF150" i="24"/>
  <c r="AE150" i="24"/>
  <c r="AD150" i="24"/>
  <c r="AC150" i="24"/>
  <c r="AB150" i="24"/>
  <c r="AA150" i="24"/>
  <c r="Z150" i="24"/>
  <c r="Y150" i="24"/>
  <c r="X150" i="24"/>
  <c r="W150" i="24"/>
  <c r="V150" i="24"/>
  <c r="U150" i="24"/>
  <c r="T150" i="24"/>
  <c r="I150" i="24"/>
  <c r="G150" i="24"/>
  <c r="N149" i="24"/>
  <c r="J149" i="24"/>
  <c r="H149" i="24"/>
  <c r="F149" i="24"/>
  <c r="AG147" i="24"/>
  <c r="AF147" i="24"/>
  <c r="AE147" i="24"/>
  <c r="AD147" i="24"/>
  <c r="N147" i="24" s="1"/>
  <c r="AC147" i="24"/>
  <c r="AB147" i="24"/>
  <c r="AA147" i="24"/>
  <c r="Z147" i="24"/>
  <c r="J147" i="24" s="1"/>
  <c r="Y147" i="24"/>
  <c r="X147" i="24"/>
  <c r="W147" i="24"/>
  <c r="V147" i="24"/>
  <c r="F147" i="24" s="1"/>
  <c r="U147" i="24"/>
  <c r="T147" i="24"/>
  <c r="K147" i="24"/>
  <c r="E147" i="24"/>
  <c r="N146" i="24"/>
  <c r="L146" i="24"/>
  <c r="J146" i="24"/>
  <c r="F146" i="24"/>
  <c r="D146" i="24"/>
  <c r="AG144" i="24"/>
  <c r="AF144" i="24"/>
  <c r="AE144" i="24"/>
  <c r="AD144" i="24"/>
  <c r="N144" i="24" s="1"/>
  <c r="AC144" i="24"/>
  <c r="AB144" i="24"/>
  <c r="AA144" i="24"/>
  <c r="Z144" i="24"/>
  <c r="J144" i="24" s="1"/>
  <c r="Y144" i="24"/>
  <c r="X144" i="24"/>
  <c r="W144" i="24"/>
  <c r="V144" i="24"/>
  <c r="F144" i="24" s="1"/>
  <c r="U144" i="24"/>
  <c r="T144" i="24"/>
  <c r="Q144" i="24"/>
  <c r="O144" i="24"/>
  <c r="I144" i="24"/>
  <c r="G144" i="24"/>
  <c r="Q143" i="24"/>
  <c r="P143" i="24"/>
  <c r="N143" i="24"/>
  <c r="L143" i="24"/>
  <c r="J143" i="24"/>
  <c r="I143" i="24"/>
  <c r="H143" i="24"/>
  <c r="F143" i="24"/>
  <c r="D143" i="24"/>
  <c r="Q142" i="24"/>
  <c r="P142" i="24"/>
  <c r="O142" i="24"/>
  <c r="N142" i="24"/>
  <c r="M142" i="24"/>
  <c r="L142" i="24"/>
  <c r="L144" i="24" s="1"/>
  <c r="K142" i="24"/>
  <c r="K143" i="24" s="1"/>
  <c r="J142" i="24"/>
  <c r="I142" i="24"/>
  <c r="I160" i="24" s="1"/>
  <c r="H142" i="24"/>
  <c r="H159" i="24" s="1"/>
  <c r="G142" i="24"/>
  <c r="F142" i="24"/>
  <c r="E142" i="24"/>
  <c r="D142" i="24"/>
  <c r="D159" i="24" s="1"/>
  <c r="AG136" i="24"/>
  <c r="AF136" i="24"/>
  <c r="AE136" i="24"/>
  <c r="AD136" i="24"/>
  <c r="AC136" i="24"/>
  <c r="AB136" i="24"/>
  <c r="AA136" i="24"/>
  <c r="Z136" i="24"/>
  <c r="Y136" i="24"/>
  <c r="X136" i="24"/>
  <c r="W136" i="24"/>
  <c r="V136" i="24"/>
  <c r="U136" i="24"/>
  <c r="T136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K111" i="24"/>
  <c r="O110" i="24"/>
  <c r="N110" i="24"/>
  <c r="D110" i="24"/>
  <c r="G109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J107" i="24"/>
  <c r="H107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G104" i="24"/>
  <c r="O103" i="24"/>
  <c r="N103" i="24"/>
  <c r="G103" i="24"/>
  <c r="F103" i="24"/>
  <c r="N102" i="24"/>
  <c r="M102" i="24"/>
  <c r="K102" i="24"/>
  <c r="F102" i="24"/>
  <c r="E102" i="24"/>
  <c r="AG100" i="24"/>
  <c r="AF100" i="24"/>
  <c r="AE100" i="24"/>
  <c r="AD100" i="24"/>
  <c r="AC100" i="24"/>
  <c r="AB100" i="24"/>
  <c r="AA100" i="24"/>
  <c r="K100" i="24" s="1"/>
  <c r="Z100" i="24"/>
  <c r="Y100" i="24"/>
  <c r="X100" i="24"/>
  <c r="W100" i="24"/>
  <c r="V100" i="24"/>
  <c r="U100" i="24"/>
  <c r="T100" i="24"/>
  <c r="J100" i="24"/>
  <c r="J99" i="24"/>
  <c r="AG97" i="24"/>
  <c r="AF97" i="24"/>
  <c r="AE97" i="24"/>
  <c r="O97" i="24" s="1"/>
  <c r="AD97" i="24"/>
  <c r="AC97" i="24"/>
  <c r="AB97" i="24"/>
  <c r="AA97" i="24"/>
  <c r="Z97" i="24"/>
  <c r="Y97" i="24"/>
  <c r="X97" i="24"/>
  <c r="W97" i="24"/>
  <c r="G97" i="24" s="1"/>
  <c r="V97" i="24"/>
  <c r="U97" i="24"/>
  <c r="T97" i="24"/>
  <c r="N97" i="24"/>
  <c r="M97" i="24"/>
  <c r="J97" i="24"/>
  <c r="F97" i="24"/>
  <c r="E97" i="24"/>
  <c r="N96" i="24"/>
  <c r="M96" i="24"/>
  <c r="K96" i="24"/>
  <c r="F96" i="24"/>
  <c r="E96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K94" i="24"/>
  <c r="J94" i="24"/>
  <c r="M93" i="24"/>
  <c r="J93" i="24"/>
  <c r="E93" i="24"/>
  <c r="Q92" i="24"/>
  <c r="P92" i="24"/>
  <c r="O92" i="24"/>
  <c r="O109" i="24" s="1"/>
  <c r="N92" i="24"/>
  <c r="N109" i="24" s="1"/>
  <c r="M92" i="24"/>
  <c r="M109" i="24" s="1"/>
  <c r="L92" i="24"/>
  <c r="L109" i="24" s="1"/>
  <c r="K92" i="24"/>
  <c r="K110" i="24" s="1"/>
  <c r="J92" i="24"/>
  <c r="J111" i="24" s="1"/>
  <c r="I92" i="24"/>
  <c r="H92" i="24"/>
  <c r="G92" i="24"/>
  <c r="G107" i="24" s="1"/>
  <c r="F92" i="24"/>
  <c r="F99" i="24" s="1"/>
  <c r="E92" i="24"/>
  <c r="E99" i="24" s="1"/>
  <c r="D92" i="24"/>
  <c r="D109" i="24" s="1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AG68" i="24"/>
  <c r="AF68" i="24"/>
  <c r="AE68" i="24"/>
  <c r="AD68" i="24"/>
  <c r="AC68" i="24"/>
  <c r="AB68" i="24"/>
  <c r="AA68" i="24"/>
  <c r="Z68" i="24"/>
  <c r="Y68" i="24"/>
  <c r="X68" i="24"/>
  <c r="W68" i="24"/>
  <c r="V68" i="24"/>
  <c r="U68" i="24"/>
  <c r="T68" i="24"/>
  <c r="AG61" i="24"/>
  <c r="AF61" i="24"/>
  <c r="AE61" i="24"/>
  <c r="AD61" i="24"/>
  <c r="AC61" i="24"/>
  <c r="AB61" i="24"/>
  <c r="AA61" i="24"/>
  <c r="Z61" i="24"/>
  <c r="Y61" i="24"/>
  <c r="X61" i="24"/>
  <c r="W61" i="24"/>
  <c r="V61" i="24"/>
  <c r="U61" i="24"/>
  <c r="T61" i="24"/>
  <c r="P61" i="24"/>
  <c r="H61" i="24"/>
  <c r="O60" i="24"/>
  <c r="N60" i="24"/>
  <c r="G60" i="24"/>
  <c r="M59" i="24"/>
  <c r="E59" i="24"/>
  <c r="AG57" i="24"/>
  <c r="AF57" i="24"/>
  <c r="AE57" i="24"/>
  <c r="AD57" i="24"/>
  <c r="AC57" i="24"/>
  <c r="AB57" i="24"/>
  <c r="AA57" i="24"/>
  <c r="K57" i="24" s="1"/>
  <c r="Z57" i="24"/>
  <c r="Y57" i="24"/>
  <c r="X57" i="24"/>
  <c r="W57" i="24"/>
  <c r="V57" i="24"/>
  <c r="U57" i="24"/>
  <c r="T57" i="24"/>
  <c r="J57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M54" i="24"/>
  <c r="E54" i="24"/>
  <c r="M53" i="24"/>
  <c r="L53" i="24"/>
  <c r="E53" i="24"/>
  <c r="D53" i="24"/>
  <c r="L52" i="24"/>
  <c r="K52" i="24"/>
  <c r="D52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Q50" i="24"/>
  <c r="P50" i="24"/>
  <c r="I50" i="24"/>
  <c r="H50" i="24"/>
  <c r="P49" i="24"/>
  <c r="H49" i="24"/>
  <c r="AG47" i="24"/>
  <c r="AF47" i="24"/>
  <c r="AE47" i="24"/>
  <c r="AD47" i="24"/>
  <c r="AC47" i="24"/>
  <c r="AB47" i="24"/>
  <c r="AA47" i="24"/>
  <c r="Z47" i="24"/>
  <c r="Y47" i="24"/>
  <c r="X47" i="24"/>
  <c r="W47" i="24"/>
  <c r="V47" i="24"/>
  <c r="U47" i="24"/>
  <c r="T47" i="24"/>
  <c r="M47" i="24"/>
  <c r="L47" i="24"/>
  <c r="E47" i="24"/>
  <c r="D47" i="24"/>
  <c r="L46" i="24"/>
  <c r="K46" i="24"/>
  <c r="D46" i="24"/>
  <c r="AG44" i="24"/>
  <c r="Q44" i="24" s="1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P44" i="24"/>
  <c r="I44" i="24"/>
  <c r="H44" i="24"/>
  <c r="P43" i="24"/>
  <c r="O43" i="24"/>
  <c r="H43" i="24"/>
  <c r="G43" i="24"/>
  <c r="Q42" i="24"/>
  <c r="Q57" i="24" s="1"/>
  <c r="P42" i="24"/>
  <c r="P57" i="24" s="1"/>
  <c r="O42" i="24"/>
  <c r="N42" i="24"/>
  <c r="M42" i="24"/>
  <c r="M60" i="24" s="1"/>
  <c r="L42" i="24"/>
  <c r="L59" i="24" s="1"/>
  <c r="K42" i="24"/>
  <c r="K53" i="24" s="1"/>
  <c r="J42" i="24"/>
  <c r="J52" i="24" s="1"/>
  <c r="I42" i="24"/>
  <c r="I57" i="24" s="1"/>
  <c r="H42" i="24"/>
  <c r="H57" i="24" s="1"/>
  <c r="G42" i="24"/>
  <c r="G61" i="24" s="1"/>
  <c r="F42" i="24"/>
  <c r="E42" i="24"/>
  <c r="E60" i="24" s="1"/>
  <c r="D42" i="24"/>
  <c r="D59" i="24" s="1"/>
  <c r="AG37" i="24"/>
  <c r="AF37" i="24"/>
  <c r="AE37" i="24"/>
  <c r="AD37" i="24"/>
  <c r="AC37" i="24"/>
  <c r="AB37" i="24"/>
  <c r="AA37" i="24"/>
  <c r="Z37" i="24"/>
  <c r="Y37" i="24"/>
  <c r="X37" i="24"/>
  <c r="W37" i="24"/>
  <c r="V37" i="24"/>
  <c r="U37" i="24"/>
  <c r="T37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U217" i="23"/>
  <c r="T217" i="23"/>
  <c r="AG284" i="23"/>
  <c r="AF284" i="23"/>
  <c r="AE284" i="23"/>
  <c r="AD284" i="23"/>
  <c r="AC284" i="23"/>
  <c r="AB284" i="23"/>
  <c r="AA284" i="23"/>
  <c r="Z284" i="23"/>
  <c r="Y284" i="23"/>
  <c r="X284" i="23"/>
  <c r="W284" i="23"/>
  <c r="V284" i="23"/>
  <c r="U284" i="23"/>
  <c r="T284" i="23"/>
  <c r="AG276" i="23"/>
  <c r="AF276" i="23"/>
  <c r="AE276" i="23"/>
  <c r="AD276" i="23"/>
  <c r="AC276" i="23"/>
  <c r="AB276" i="23"/>
  <c r="AA276" i="23"/>
  <c r="Z276" i="23"/>
  <c r="Y276" i="23"/>
  <c r="X276" i="23"/>
  <c r="W276" i="23"/>
  <c r="V276" i="23"/>
  <c r="U276" i="23"/>
  <c r="T276" i="23"/>
  <c r="AG270" i="23"/>
  <c r="AF270" i="23"/>
  <c r="AE270" i="23"/>
  <c r="AD270" i="23"/>
  <c r="AC270" i="23"/>
  <c r="AB270" i="23"/>
  <c r="AA270" i="23"/>
  <c r="Z270" i="23"/>
  <c r="Y270" i="23"/>
  <c r="X270" i="23"/>
  <c r="W270" i="23"/>
  <c r="V270" i="23"/>
  <c r="U270" i="23"/>
  <c r="T270" i="23"/>
  <c r="AG266" i="23"/>
  <c r="AF266" i="23"/>
  <c r="AE266" i="23"/>
  <c r="AD266" i="23"/>
  <c r="AC266" i="23"/>
  <c r="AB266" i="23"/>
  <c r="AA266" i="23"/>
  <c r="Z266" i="23"/>
  <c r="Y266" i="23"/>
  <c r="X266" i="23"/>
  <c r="W266" i="23"/>
  <c r="V266" i="23"/>
  <c r="U266" i="23"/>
  <c r="T266" i="23"/>
  <c r="AG259" i="23"/>
  <c r="AF259" i="23"/>
  <c r="AE259" i="23"/>
  <c r="AD259" i="23"/>
  <c r="AC259" i="23"/>
  <c r="AB259" i="23"/>
  <c r="AA259" i="23"/>
  <c r="Z259" i="23"/>
  <c r="Y259" i="23"/>
  <c r="X259" i="23"/>
  <c r="W259" i="23"/>
  <c r="V259" i="23"/>
  <c r="U259" i="23"/>
  <c r="T259" i="23"/>
  <c r="N259" i="23"/>
  <c r="K259" i="23"/>
  <c r="F259" i="23"/>
  <c r="Q257" i="23"/>
  <c r="L257" i="23"/>
  <c r="K257" i="23"/>
  <c r="I257" i="23"/>
  <c r="D257" i="23"/>
  <c r="AG255" i="23"/>
  <c r="AF255" i="23"/>
  <c r="AE255" i="23"/>
  <c r="AD255" i="23"/>
  <c r="AC255" i="23"/>
  <c r="AB255" i="23"/>
  <c r="AA255" i="23"/>
  <c r="Z255" i="23"/>
  <c r="Y255" i="23"/>
  <c r="X255" i="23"/>
  <c r="W255" i="23"/>
  <c r="V255" i="23"/>
  <c r="U255" i="23"/>
  <c r="T255" i="23"/>
  <c r="Q255" i="23"/>
  <c r="P255" i="23"/>
  <c r="N255" i="23"/>
  <c r="I255" i="23"/>
  <c r="H255" i="23"/>
  <c r="F255" i="23"/>
  <c r="AG254" i="23"/>
  <c r="AF254" i="23"/>
  <c r="AE254" i="23"/>
  <c r="AD254" i="23"/>
  <c r="AC254" i="23"/>
  <c r="AB254" i="23"/>
  <c r="AA254" i="23"/>
  <c r="Z254" i="23"/>
  <c r="Y254" i="23"/>
  <c r="X254" i="23"/>
  <c r="W254" i="23"/>
  <c r="V254" i="23"/>
  <c r="U254" i="23"/>
  <c r="T254" i="23"/>
  <c r="P251" i="23"/>
  <c r="P252" i="23" s="1"/>
  <c r="K251" i="23"/>
  <c r="K252" i="23" s="1"/>
  <c r="H251" i="23"/>
  <c r="H252" i="23" s="1"/>
  <c r="Q250" i="23"/>
  <c r="O250" i="23"/>
  <c r="I250" i="23"/>
  <c r="G250" i="23"/>
  <c r="AG248" i="23"/>
  <c r="AF248" i="23"/>
  <c r="AE248" i="23"/>
  <c r="AD248" i="23"/>
  <c r="AC248" i="23"/>
  <c r="AB248" i="23"/>
  <c r="AA248" i="23"/>
  <c r="Z248" i="23"/>
  <c r="Y248" i="23"/>
  <c r="X248" i="23"/>
  <c r="W248" i="23"/>
  <c r="V248" i="23"/>
  <c r="U248" i="23"/>
  <c r="T248" i="23"/>
  <c r="O248" i="23"/>
  <c r="N248" i="23"/>
  <c r="L248" i="23"/>
  <c r="G248" i="23"/>
  <c r="F248" i="23"/>
  <c r="D248" i="23"/>
  <c r="N247" i="23"/>
  <c r="K247" i="23"/>
  <c r="F247" i="23"/>
  <c r="AG245" i="23"/>
  <c r="AF245" i="23"/>
  <c r="AE245" i="23"/>
  <c r="AD245" i="23"/>
  <c r="AC245" i="23"/>
  <c r="AB245" i="23"/>
  <c r="AA245" i="23"/>
  <c r="Z245" i="23"/>
  <c r="Y245" i="23"/>
  <c r="X245" i="23"/>
  <c r="W245" i="23"/>
  <c r="V245" i="23"/>
  <c r="U245" i="23"/>
  <c r="T245" i="23"/>
  <c r="P245" i="23"/>
  <c r="K245" i="23"/>
  <c r="H245" i="23"/>
  <c r="Q244" i="23"/>
  <c r="O244" i="23"/>
  <c r="I244" i="23"/>
  <c r="G244" i="23"/>
  <c r="AG242" i="23"/>
  <c r="AF242" i="23"/>
  <c r="AE242" i="23"/>
  <c r="AD242" i="23"/>
  <c r="AC242" i="23"/>
  <c r="AB242" i="23"/>
  <c r="AA242" i="23"/>
  <c r="Z242" i="23"/>
  <c r="Y242" i="23"/>
  <c r="X242" i="23"/>
  <c r="W242" i="23"/>
  <c r="V242" i="23"/>
  <c r="U242" i="23"/>
  <c r="T242" i="23"/>
  <c r="O242" i="23"/>
  <c r="N242" i="23"/>
  <c r="L242" i="23"/>
  <c r="G242" i="23"/>
  <c r="F242" i="23"/>
  <c r="D242" i="23"/>
  <c r="N241" i="23"/>
  <c r="K241" i="23"/>
  <c r="F241" i="23"/>
  <c r="Q240" i="23"/>
  <c r="Q251" i="23" s="1"/>
  <c r="P240" i="23"/>
  <c r="P250" i="23" s="1"/>
  <c r="O240" i="23"/>
  <c r="O255" i="23" s="1"/>
  <c r="N240" i="23"/>
  <c r="N250" i="23" s="1"/>
  <c r="M240" i="23"/>
  <c r="M259" i="23" s="1"/>
  <c r="L240" i="23"/>
  <c r="L258" i="23" s="1"/>
  <c r="K240" i="23"/>
  <c r="K258" i="23" s="1"/>
  <c r="J240" i="23"/>
  <c r="J251" i="23" s="1"/>
  <c r="I240" i="23"/>
  <c r="I251" i="23" s="1"/>
  <c r="H240" i="23"/>
  <c r="H250" i="23" s="1"/>
  <c r="G240" i="23"/>
  <c r="G255" i="23" s="1"/>
  <c r="F240" i="23"/>
  <c r="F250" i="23" s="1"/>
  <c r="E240" i="23"/>
  <c r="E259" i="23" s="1"/>
  <c r="D240" i="23"/>
  <c r="D258" i="23" s="1"/>
  <c r="AG235" i="23"/>
  <c r="AF235" i="23"/>
  <c r="AE235" i="23"/>
  <c r="AD235" i="23"/>
  <c r="AC235" i="23"/>
  <c r="AB235" i="23"/>
  <c r="AA235" i="23"/>
  <c r="Z235" i="23"/>
  <c r="Y235" i="23"/>
  <c r="X235" i="23"/>
  <c r="W235" i="23"/>
  <c r="V235" i="23"/>
  <c r="U235" i="23"/>
  <c r="T235" i="23"/>
  <c r="AG227" i="23"/>
  <c r="AF227" i="23"/>
  <c r="AE227" i="23"/>
  <c r="AD227" i="23"/>
  <c r="AC227" i="23"/>
  <c r="AB227" i="23"/>
  <c r="AA227" i="23"/>
  <c r="Z227" i="23"/>
  <c r="Y227" i="23"/>
  <c r="X227" i="23"/>
  <c r="W227" i="23"/>
  <c r="V227" i="23"/>
  <c r="U227" i="23"/>
  <c r="T227" i="23"/>
  <c r="AG221" i="23"/>
  <c r="AF221" i="23"/>
  <c r="AE221" i="23"/>
  <c r="AD221" i="23"/>
  <c r="AC221" i="23"/>
  <c r="AB221" i="23"/>
  <c r="AA221" i="23"/>
  <c r="Z221" i="23"/>
  <c r="Y221" i="23"/>
  <c r="X221" i="23"/>
  <c r="W221" i="23"/>
  <c r="V221" i="23"/>
  <c r="U221" i="23"/>
  <c r="T221" i="23"/>
  <c r="AG217" i="23"/>
  <c r="AF217" i="23"/>
  <c r="AE217" i="23"/>
  <c r="AD217" i="23"/>
  <c r="AC217" i="23"/>
  <c r="AB217" i="23"/>
  <c r="AA217" i="23"/>
  <c r="Z217" i="23"/>
  <c r="Y217" i="23"/>
  <c r="X217" i="23"/>
  <c r="W217" i="23"/>
  <c r="V217" i="23"/>
  <c r="AG210" i="23"/>
  <c r="AF210" i="23"/>
  <c r="P210" i="23" s="1"/>
  <c r="AE210" i="23"/>
  <c r="O210" i="23" s="1"/>
  <c r="AD210" i="23"/>
  <c r="AC210" i="23"/>
  <c r="AB210" i="23"/>
  <c r="AA210" i="23"/>
  <c r="Z210" i="23"/>
  <c r="Y210" i="23"/>
  <c r="X210" i="23"/>
  <c r="H210" i="23" s="1"/>
  <c r="W210" i="23"/>
  <c r="G210" i="23" s="1"/>
  <c r="V210" i="23"/>
  <c r="U210" i="23"/>
  <c r="T210" i="23"/>
  <c r="N210" i="23"/>
  <c r="F210" i="23"/>
  <c r="L208" i="23"/>
  <c r="D208" i="23"/>
  <c r="AG206" i="23"/>
  <c r="AF206" i="23"/>
  <c r="AE206" i="23"/>
  <c r="AD206" i="23"/>
  <c r="AC206" i="23"/>
  <c r="AB206" i="23"/>
  <c r="AA206" i="23"/>
  <c r="K206" i="23" s="1"/>
  <c r="Z206" i="23"/>
  <c r="J206" i="23" s="1"/>
  <c r="Y206" i="23"/>
  <c r="X206" i="23"/>
  <c r="W206" i="23"/>
  <c r="V206" i="23"/>
  <c r="U206" i="23"/>
  <c r="T206" i="23"/>
  <c r="Q206" i="23"/>
  <c r="I206" i="23"/>
  <c r="AG205" i="23"/>
  <c r="AF205" i="23"/>
  <c r="AE205" i="23"/>
  <c r="AD205" i="23"/>
  <c r="AC205" i="23"/>
  <c r="AB205" i="23"/>
  <c r="AA205" i="23"/>
  <c r="Z205" i="23"/>
  <c r="Y205" i="23"/>
  <c r="X205" i="23"/>
  <c r="W205" i="23"/>
  <c r="V205" i="23"/>
  <c r="U205" i="23"/>
  <c r="T205" i="23"/>
  <c r="L203" i="23"/>
  <c r="D203" i="23"/>
  <c r="L202" i="23"/>
  <c r="L204" i="23" s="1"/>
  <c r="K202" i="23"/>
  <c r="D202" i="23"/>
  <c r="D204" i="23" s="1"/>
  <c r="L201" i="23"/>
  <c r="K201" i="23"/>
  <c r="J201" i="23"/>
  <c r="D201" i="23"/>
  <c r="AG199" i="23"/>
  <c r="Q199" i="23" s="1"/>
  <c r="AF199" i="23"/>
  <c r="P199" i="23" s="1"/>
  <c r="AE199" i="23"/>
  <c r="AD199" i="23"/>
  <c r="AC199" i="23"/>
  <c r="AB199" i="23"/>
  <c r="AA199" i="23"/>
  <c r="Z199" i="23"/>
  <c r="Y199" i="23"/>
  <c r="I199" i="23" s="1"/>
  <c r="X199" i="23"/>
  <c r="H199" i="23" s="1"/>
  <c r="W199" i="23"/>
  <c r="V199" i="23"/>
  <c r="U199" i="23"/>
  <c r="T199" i="23"/>
  <c r="O199" i="23"/>
  <c r="G199" i="23"/>
  <c r="P198" i="23"/>
  <c r="O198" i="23"/>
  <c r="N198" i="23"/>
  <c r="H198" i="23"/>
  <c r="G198" i="23"/>
  <c r="F198" i="23"/>
  <c r="AG196" i="23"/>
  <c r="AF196" i="23"/>
  <c r="AE196" i="23"/>
  <c r="AD196" i="23"/>
  <c r="AC196" i="23"/>
  <c r="AB196" i="23"/>
  <c r="L196" i="23" s="1"/>
  <c r="AA196" i="23"/>
  <c r="Z196" i="23"/>
  <c r="Y196" i="23"/>
  <c r="X196" i="23"/>
  <c r="W196" i="23"/>
  <c r="V196" i="23"/>
  <c r="U196" i="23"/>
  <c r="T196" i="23"/>
  <c r="D196" i="23" s="1"/>
  <c r="K196" i="23"/>
  <c r="L195" i="23"/>
  <c r="K195" i="23"/>
  <c r="J195" i="23"/>
  <c r="D195" i="23"/>
  <c r="AG193" i="23"/>
  <c r="Q193" i="23" s="1"/>
  <c r="AF193" i="23"/>
  <c r="P193" i="23" s="1"/>
  <c r="AE193" i="23"/>
  <c r="AD193" i="23"/>
  <c r="AC193" i="23"/>
  <c r="AB193" i="23"/>
  <c r="AA193" i="23"/>
  <c r="Z193" i="23"/>
  <c r="Y193" i="23"/>
  <c r="I193" i="23" s="1"/>
  <c r="X193" i="23"/>
  <c r="H193" i="23" s="1"/>
  <c r="W193" i="23"/>
  <c r="V193" i="23"/>
  <c r="U193" i="23"/>
  <c r="T193" i="23"/>
  <c r="O193" i="23"/>
  <c r="G193" i="23"/>
  <c r="P192" i="23"/>
  <c r="O192" i="23"/>
  <c r="N192" i="23"/>
  <c r="H192" i="23"/>
  <c r="G192" i="23"/>
  <c r="F192" i="23"/>
  <c r="Q191" i="23"/>
  <c r="Q201" i="23" s="1"/>
  <c r="P191" i="23"/>
  <c r="P206" i="23" s="1"/>
  <c r="O191" i="23"/>
  <c r="O206" i="23" s="1"/>
  <c r="N191" i="23"/>
  <c r="N199" i="23" s="1"/>
  <c r="M191" i="23"/>
  <c r="M209" i="23" s="1"/>
  <c r="L191" i="23"/>
  <c r="L209" i="23" s="1"/>
  <c r="K191" i="23"/>
  <c r="K208" i="23" s="1"/>
  <c r="J191" i="23"/>
  <c r="J202" i="23" s="1"/>
  <c r="I191" i="23"/>
  <c r="I201" i="23" s="1"/>
  <c r="H191" i="23"/>
  <c r="H206" i="23" s="1"/>
  <c r="G191" i="23"/>
  <c r="G206" i="23" s="1"/>
  <c r="F191" i="23"/>
  <c r="F199" i="23" s="1"/>
  <c r="E191" i="23"/>
  <c r="E209" i="23" s="1"/>
  <c r="D191" i="23"/>
  <c r="D209" i="23" s="1"/>
  <c r="AG186" i="23"/>
  <c r="AF186" i="23"/>
  <c r="AE186" i="23"/>
  <c r="AD186" i="23"/>
  <c r="AC186" i="23"/>
  <c r="AB186" i="23"/>
  <c r="AA186" i="23"/>
  <c r="Z186" i="23"/>
  <c r="Y186" i="23"/>
  <c r="X186" i="23"/>
  <c r="W186" i="23"/>
  <c r="V186" i="23"/>
  <c r="U186" i="23"/>
  <c r="T186" i="23"/>
  <c r="AG178" i="23"/>
  <c r="AF178" i="23"/>
  <c r="AE178" i="23"/>
  <c r="AD178" i="23"/>
  <c r="AC178" i="23"/>
  <c r="AB178" i="23"/>
  <c r="AA178" i="23"/>
  <c r="Z178" i="23"/>
  <c r="Y178" i="23"/>
  <c r="X178" i="23"/>
  <c r="W178" i="23"/>
  <c r="V178" i="23"/>
  <c r="U178" i="23"/>
  <c r="T178" i="23"/>
  <c r="AG172" i="23"/>
  <c r="AF172" i="23"/>
  <c r="AE172" i="23"/>
  <c r="AD172" i="23"/>
  <c r="AC172" i="23"/>
  <c r="AB172" i="23"/>
  <c r="AA172" i="23"/>
  <c r="Z172" i="23"/>
  <c r="Y172" i="23"/>
  <c r="X172" i="23"/>
  <c r="W172" i="23"/>
  <c r="V172" i="23"/>
  <c r="U172" i="23"/>
  <c r="T172" i="23"/>
  <c r="AG168" i="23"/>
  <c r="AF168" i="23"/>
  <c r="AE168" i="23"/>
  <c r="AD168" i="23"/>
  <c r="AC168" i="23"/>
  <c r="AB168" i="23"/>
  <c r="AA168" i="23"/>
  <c r="Z168" i="23"/>
  <c r="Y168" i="23"/>
  <c r="X168" i="23"/>
  <c r="W168" i="23"/>
  <c r="V168" i="23"/>
  <c r="U168" i="23"/>
  <c r="T168" i="23"/>
  <c r="AG161" i="23"/>
  <c r="AF161" i="23"/>
  <c r="P161" i="23" s="1"/>
  <c r="AE161" i="23"/>
  <c r="AD161" i="23"/>
  <c r="AC161" i="23"/>
  <c r="AB161" i="23"/>
  <c r="L161" i="23" s="1"/>
  <c r="AA161" i="23"/>
  <c r="Z161" i="23"/>
  <c r="Y161" i="23"/>
  <c r="X161" i="23"/>
  <c r="H161" i="23" s="1"/>
  <c r="W161" i="23"/>
  <c r="V161" i="23"/>
  <c r="U161" i="23"/>
  <c r="T161" i="23"/>
  <c r="D161" i="23" s="1"/>
  <c r="O161" i="23"/>
  <c r="G161" i="23"/>
  <c r="K160" i="23"/>
  <c r="R159" i="23"/>
  <c r="Q159" i="23"/>
  <c r="M159" i="23"/>
  <c r="I159" i="23"/>
  <c r="E159" i="23"/>
  <c r="AG157" i="23"/>
  <c r="AF157" i="23"/>
  <c r="AE157" i="23"/>
  <c r="O157" i="23" s="1"/>
  <c r="AD157" i="23"/>
  <c r="AC157" i="23"/>
  <c r="AB157" i="23"/>
  <c r="AA157" i="23"/>
  <c r="Z157" i="23"/>
  <c r="Y157" i="23"/>
  <c r="X157" i="23"/>
  <c r="W157" i="23"/>
  <c r="V157" i="23"/>
  <c r="U157" i="23"/>
  <c r="T157" i="23"/>
  <c r="N157" i="23"/>
  <c r="G157" i="23"/>
  <c r="AG156" i="23"/>
  <c r="AF156" i="23"/>
  <c r="AE156" i="23"/>
  <c r="AD156" i="23"/>
  <c r="AC156" i="23"/>
  <c r="AB156" i="23"/>
  <c r="AA156" i="23"/>
  <c r="Z156" i="23"/>
  <c r="Y156" i="23"/>
  <c r="X156" i="23"/>
  <c r="W156" i="23"/>
  <c r="V156" i="23"/>
  <c r="U156" i="23"/>
  <c r="T156" i="23"/>
  <c r="O156" i="23"/>
  <c r="M154" i="23"/>
  <c r="I154" i="23"/>
  <c r="E154" i="23"/>
  <c r="Q153" i="23"/>
  <c r="P153" i="23"/>
  <c r="M153" i="23"/>
  <c r="L153" i="23"/>
  <c r="I153" i="23"/>
  <c r="H153" i="23"/>
  <c r="E153" i="23"/>
  <c r="E156" i="23" s="1"/>
  <c r="D153" i="23"/>
  <c r="P152" i="23"/>
  <c r="O152" i="23"/>
  <c r="L152" i="23"/>
  <c r="H152" i="23"/>
  <c r="G152" i="23"/>
  <c r="D152" i="23"/>
  <c r="AG150" i="23"/>
  <c r="Q150" i="23" s="1"/>
  <c r="AF150" i="23"/>
  <c r="AE150" i="23"/>
  <c r="AD150" i="23"/>
  <c r="AC150" i="23"/>
  <c r="AB150" i="23"/>
  <c r="AA150" i="23"/>
  <c r="Z150" i="23"/>
  <c r="Y150" i="23"/>
  <c r="I150" i="23" s="1"/>
  <c r="X150" i="23"/>
  <c r="W150" i="23"/>
  <c r="V150" i="23"/>
  <c r="U150" i="23"/>
  <c r="E150" i="23" s="1"/>
  <c r="R150" i="23" s="1"/>
  <c r="T150" i="23"/>
  <c r="P150" i="23"/>
  <c r="M150" i="23"/>
  <c r="L150" i="23"/>
  <c r="H150" i="23"/>
  <c r="D150" i="23"/>
  <c r="P149" i="23"/>
  <c r="O149" i="23"/>
  <c r="L149" i="23"/>
  <c r="K149" i="23"/>
  <c r="H149" i="23"/>
  <c r="G149" i="23"/>
  <c r="D149" i="23"/>
  <c r="AG147" i="23"/>
  <c r="AF147" i="23"/>
  <c r="AE147" i="23"/>
  <c r="AD147" i="23"/>
  <c r="AC147" i="23"/>
  <c r="M147" i="23" s="1"/>
  <c r="AB147" i="23"/>
  <c r="AA147" i="23"/>
  <c r="Z147" i="23"/>
  <c r="Y147" i="23"/>
  <c r="X147" i="23"/>
  <c r="W147" i="23"/>
  <c r="V147" i="23"/>
  <c r="U147" i="23"/>
  <c r="E147" i="23" s="1"/>
  <c r="T147" i="23"/>
  <c r="Q147" i="23"/>
  <c r="P147" i="23"/>
  <c r="L147" i="23"/>
  <c r="I147" i="23"/>
  <c r="H147" i="23"/>
  <c r="D147" i="23"/>
  <c r="P146" i="23"/>
  <c r="O146" i="23"/>
  <c r="L146" i="23"/>
  <c r="H146" i="23"/>
  <c r="G146" i="23"/>
  <c r="D146" i="23"/>
  <c r="AG144" i="23"/>
  <c r="Q144" i="23" s="1"/>
  <c r="AF144" i="23"/>
  <c r="AE144" i="23"/>
  <c r="AD144" i="23"/>
  <c r="AC144" i="23"/>
  <c r="M144" i="23" s="1"/>
  <c r="AB144" i="23"/>
  <c r="AA144" i="23"/>
  <c r="Z144" i="23"/>
  <c r="Y144" i="23"/>
  <c r="I144" i="23" s="1"/>
  <c r="X144" i="23"/>
  <c r="W144" i="23"/>
  <c r="V144" i="23"/>
  <c r="U144" i="23"/>
  <c r="T144" i="23"/>
  <c r="P144" i="23"/>
  <c r="L144" i="23"/>
  <c r="H144" i="23"/>
  <c r="E144" i="23"/>
  <c r="R144" i="23" s="1"/>
  <c r="D144" i="23"/>
  <c r="P143" i="23"/>
  <c r="O143" i="23"/>
  <c r="L143" i="23"/>
  <c r="H143" i="23"/>
  <c r="G143" i="23"/>
  <c r="D143" i="23"/>
  <c r="R142" i="23"/>
  <c r="Q142" i="23"/>
  <c r="Q152" i="23" s="1"/>
  <c r="P142" i="23"/>
  <c r="O142" i="23"/>
  <c r="O153" i="23" s="1"/>
  <c r="N142" i="23"/>
  <c r="M142" i="23"/>
  <c r="M161" i="23" s="1"/>
  <c r="L142" i="23"/>
  <c r="L160" i="23" s="1"/>
  <c r="K142" i="23"/>
  <c r="J142" i="23"/>
  <c r="I142" i="23"/>
  <c r="I152" i="23" s="1"/>
  <c r="H142" i="23"/>
  <c r="G142" i="23"/>
  <c r="G153" i="23" s="1"/>
  <c r="F142" i="23"/>
  <c r="E142" i="23"/>
  <c r="E161" i="23" s="1"/>
  <c r="D142" i="23"/>
  <c r="D160" i="23" s="1"/>
  <c r="AG136" i="23"/>
  <c r="AF136" i="23"/>
  <c r="AE136" i="23"/>
  <c r="AD136" i="23"/>
  <c r="AC136" i="23"/>
  <c r="AB136" i="23"/>
  <c r="AA136" i="23"/>
  <c r="Z136" i="23"/>
  <c r="Y136" i="23"/>
  <c r="X136" i="23"/>
  <c r="W136" i="23"/>
  <c r="V136" i="23"/>
  <c r="U136" i="23"/>
  <c r="T136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Q92" i="23"/>
  <c r="Q109" i="23" s="1"/>
  <c r="P92" i="23"/>
  <c r="P103" i="23" s="1"/>
  <c r="O92" i="23"/>
  <c r="O102" i="23" s="1"/>
  <c r="N92" i="23"/>
  <c r="N107" i="23" s="1"/>
  <c r="M92" i="23"/>
  <c r="M107" i="23" s="1"/>
  <c r="L92" i="23"/>
  <c r="L100" i="23" s="1"/>
  <c r="K92" i="23"/>
  <c r="K111" i="23" s="1"/>
  <c r="J92" i="23"/>
  <c r="J110" i="23" s="1"/>
  <c r="I92" i="23"/>
  <c r="H92" i="23"/>
  <c r="H103" i="23" s="1"/>
  <c r="G92" i="23"/>
  <c r="F92" i="23"/>
  <c r="F107" i="23" s="1"/>
  <c r="E92" i="23"/>
  <c r="R92" i="23" s="1"/>
  <c r="D92" i="23"/>
  <c r="D100" i="23" s="1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AG68" i="23"/>
  <c r="AF68" i="23"/>
  <c r="AE68" i="23"/>
  <c r="AD68" i="23"/>
  <c r="AC68" i="23"/>
  <c r="AB68" i="23"/>
  <c r="AA68" i="23"/>
  <c r="Z68" i="23"/>
  <c r="Y68" i="23"/>
  <c r="X68" i="23"/>
  <c r="W68" i="23"/>
  <c r="V68" i="23"/>
  <c r="U68" i="23"/>
  <c r="T68" i="23"/>
  <c r="AG61" i="23"/>
  <c r="AF61" i="23"/>
  <c r="AE61" i="23"/>
  <c r="AD61" i="23"/>
  <c r="AC61" i="23"/>
  <c r="AB61" i="23"/>
  <c r="AA61" i="23"/>
  <c r="Z61" i="23"/>
  <c r="Y61" i="23"/>
  <c r="X61" i="23"/>
  <c r="W61" i="23"/>
  <c r="V61" i="23"/>
  <c r="U61" i="23"/>
  <c r="T61" i="23"/>
  <c r="N61" i="23"/>
  <c r="F61" i="23"/>
  <c r="K59" i="23"/>
  <c r="D59" i="23"/>
  <c r="AG57" i="23"/>
  <c r="Q57" i="23" s="1"/>
  <c r="AF57" i="23"/>
  <c r="AE57" i="23"/>
  <c r="AD57" i="23"/>
  <c r="AC57" i="23"/>
  <c r="AB57" i="23"/>
  <c r="AA57" i="23"/>
  <c r="Z57" i="23"/>
  <c r="Y57" i="23"/>
  <c r="I57" i="23" s="1"/>
  <c r="X57" i="23"/>
  <c r="W57" i="23"/>
  <c r="V57" i="23"/>
  <c r="U57" i="23"/>
  <c r="T57" i="23"/>
  <c r="P57" i="23"/>
  <c r="N57" i="23"/>
  <c r="H57" i="23"/>
  <c r="F57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Q54" i="23"/>
  <c r="K54" i="23"/>
  <c r="I54" i="23"/>
  <c r="P53" i="23"/>
  <c r="K53" i="23"/>
  <c r="K55" i="23" s="1"/>
  <c r="H53" i="23"/>
  <c r="Q52" i="23"/>
  <c r="O52" i="23"/>
  <c r="I52" i="23"/>
  <c r="G52" i="23"/>
  <c r="AG50" i="23"/>
  <c r="AF50" i="23"/>
  <c r="AE50" i="23"/>
  <c r="O50" i="23" s="1"/>
  <c r="AD50" i="23"/>
  <c r="AC50" i="23"/>
  <c r="AB50" i="23"/>
  <c r="AA50" i="23"/>
  <c r="Z50" i="23"/>
  <c r="Y50" i="23"/>
  <c r="X50" i="23"/>
  <c r="W50" i="23"/>
  <c r="G50" i="23" s="1"/>
  <c r="V50" i="23"/>
  <c r="U50" i="23"/>
  <c r="T50" i="23"/>
  <c r="N50" i="23"/>
  <c r="F50" i="23"/>
  <c r="N49" i="23"/>
  <c r="K49" i="23"/>
  <c r="F49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P47" i="23"/>
  <c r="K47" i="23"/>
  <c r="J47" i="23"/>
  <c r="H47" i="23"/>
  <c r="Q46" i="23"/>
  <c r="O46" i="23"/>
  <c r="I46" i="23"/>
  <c r="G46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O44" i="23"/>
  <c r="N44" i="23"/>
  <c r="L44" i="23"/>
  <c r="G44" i="23"/>
  <c r="F44" i="23"/>
  <c r="Q43" i="23"/>
  <c r="N43" i="23"/>
  <c r="K43" i="23"/>
  <c r="I43" i="23"/>
  <c r="F43" i="23"/>
  <c r="Q42" i="23"/>
  <c r="Q53" i="23" s="1"/>
  <c r="P42" i="23"/>
  <c r="P52" i="23" s="1"/>
  <c r="O42" i="23"/>
  <c r="O57" i="23" s="1"/>
  <c r="N42" i="23"/>
  <c r="N52" i="23" s="1"/>
  <c r="M42" i="23"/>
  <c r="M43" i="23" s="1"/>
  <c r="L42" i="23"/>
  <c r="K42" i="23"/>
  <c r="K60" i="23" s="1"/>
  <c r="J42" i="23"/>
  <c r="J46" i="23" s="1"/>
  <c r="I42" i="23"/>
  <c r="I53" i="23" s="1"/>
  <c r="H42" i="23"/>
  <c r="H52" i="23" s="1"/>
  <c r="G42" i="23"/>
  <c r="G57" i="23" s="1"/>
  <c r="F42" i="23"/>
  <c r="F52" i="23" s="1"/>
  <c r="E42" i="23"/>
  <c r="D42" i="23"/>
  <c r="AG37" i="23"/>
  <c r="AF37" i="23"/>
  <c r="AE37" i="23"/>
  <c r="AD37" i="23"/>
  <c r="AC37" i="23"/>
  <c r="AB37" i="23"/>
  <c r="AA37" i="23"/>
  <c r="Z37" i="23"/>
  <c r="Y37" i="23"/>
  <c r="X37" i="23"/>
  <c r="W37" i="23"/>
  <c r="V37" i="23"/>
  <c r="U37" i="23"/>
  <c r="T37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U136" i="15"/>
  <c r="V136" i="15"/>
  <c r="W136" i="15"/>
  <c r="X136" i="15"/>
  <c r="Y136" i="15"/>
  <c r="Z136" i="15"/>
  <c r="AA136" i="15"/>
  <c r="AB136" i="15"/>
  <c r="AC136" i="15"/>
  <c r="AD136" i="15"/>
  <c r="AE136" i="15"/>
  <c r="AF136" i="15"/>
  <c r="AG136" i="15"/>
  <c r="T136" i="15"/>
  <c r="U128" i="15"/>
  <c r="V128" i="15"/>
  <c r="W128" i="15"/>
  <c r="X128" i="15"/>
  <c r="Y128" i="15"/>
  <c r="Z128" i="15"/>
  <c r="AA128" i="15"/>
  <c r="AB128" i="15"/>
  <c r="AC128" i="15"/>
  <c r="AD128" i="15"/>
  <c r="AE128" i="15"/>
  <c r="AF128" i="15"/>
  <c r="AG128" i="15"/>
  <c r="T128" i="15"/>
  <c r="U122" i="15"/>
  <c r="V122" i="15"/>
  <c r="W122" i="15"/>
  <c r="X122" i="15"/>
  <c r="Y122" i="15"/>
  <c r="Z122" i="15"/>
  <c r="AA122" i="15"/>
  <c r="AB122" i="15"/>
  <c r="AC122" i="15"/>
  <c r="AD122" i="15"/>
  <c r="AE122" i="15"/>
  <c r="AF122" i="15"/>
  <c r="AG122" i="15"/>
  <c r="T122" i="15"/>
  <c r="U118" i="15"/>
  <c r="V118" i="15"/>
  <c r="W118" i="15"/>
  <c r="X118" i="15"/>
  <c r="Y118" i="15"/>
  <c r="Z118" i="15"/>
  <c r="AA118" i="15"/>
  <c r="AB118" i="15"/>
  <c r="AC118" i="15"/>
  <c r="AD118" i="15"/>
  <c r="AE118" i="15"/>
  <c r="AF118" i="15"/>
  <c r="AG118" i="15"/>
  <c r="T118" i="15"/>
  <c r="U86" i="15"/>
  <c r="V86" i="15"/>
  <c r="W86" i="15"/>
  <c r="X86" i="15"/>
  <c r="Y86" i="15"/>
  <c r="Z86" i="15"/>
  <c r="AA86" i="15"/>
  <c r="AB86" i="15"/>
  <c r="AC86" i="15"/>
  <c r="AD86" i="15"/>
  <c r="AE86" i="15"/>
  <c r="AF86" i="15"/>
  <c r="AG86" i="15"/>
  <c r="T86" i="15"/>
  <c r="U78" i="15"/>
  <c r="V78" i="15"/>
  <c r="W78" i="15"/>
  <c r="X78" i="15"/>
  <c r="Y78" i="15"/>
  <c r="Z78" i="15"/>
  <c r="AA78" i="15"/>
  <c r="AB78" i="15"/>
  <c r="AC78" i="15"/>
  <c r="AD78" i="15"/>
  <c r="AE78" i="15"/>
  <c r="AF78" i="15"/>
  <c r="AG78" i="15"/>
  <c r="T78" i="15"/>
  <c r="U72" i="15"/>
  <c r="V72" i="15"/>
  <c r="W72" i="15"/>
  <c r="X72" i="15"/>
  <c r="Y72" i="15"/>
  <c r="Z72" i="15"/>
  <c r="AA72" i="15"/>
  <c r="AB72" i="15"/>
  <c r="AC72" i="15"/>
  <c r="AD72" i="15"/>
  <c r="AE72" i="15"/>
  <c r="AF72" i="15"/>
  <c r="AG72" i="15"/>
  <c r="T72" i="15"/>
  <c r="U68" i="15"/>
  <c r="V68" i="15"/>
  <c r="W68" i="15"/>
  <c r="X68" i="15"/>
  <c r="Y68" i="15"/>
  <c r="Z68" i="15"/>
  <c r="AA68" i="15"/>
  <c r="AB68" i="15"/>
  <c r="AC68" i="15"/>
  <c r="AD68" i="15"/>
  <c r="AE68" i="15"/>
  <c r="AF68" i="15"/>
  <c r="AG68" i="15"/>
  <c r="T68" i="15"/>
  <c r="U37" i="15"/>
  <c r="V37" i="15"/>
  <c r="W37" i="15"/>
  <c r="X37" i="15"/>
  <c r="Y37" i="15"/>
  <c r="Z37" i="15"/>
  <c r="AA37" i="15"/>
  <c r="AB37" i="15"/>
  <c r="AC37" i="15"/>
  <c r="AD37" i="15"/>
  <c r="AE37" i="15"/>
  <c r="AF37" i="15"/>
  <c r="AG37" i="15"/>
  <c r="T37" i="15"/>
  <c r="U29" i="15"/>
  <c r="V29" i="15"/>
  <c r="W29" i="15"/>
  <c r="X29" i="15"/>
  <c r="Y29" i="15"/>
  <c r="Z29" i="15"/>
  <c r="AA29" i="15"/>
  <c r="AB29" i="15"/>
  <c r="AC29" i="15"/>
  <c r="AD29" i="15"/>
  <c r="AE29" i="15"/>
  <c r="AF29" i="15"/>
  <c r="AG29" i="15"/>
  <c r="T29" i="15"/>
  <c r="U23" i="15"/>
  <c r="V23" i="15"/>
  <c r="W23" i="15"/>
  <c r="X23" i="15"/>
  <c r="Y23" i="15"/>
  <c r="Z23" i="15"/>
  <c r="AA23" i="15"/>
  <c r="AB23" i="15"/>
  <c r="AC23" i="15"/>
  <c r="AD23" i="15"/>
  <c r="AE23" i="15"/>
  <c r="AF23" i="15"/>
  <c r="AG23" i="15"/>
  <c r="T23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T44" i="15"/>
  <c r="U44" i="15"/>
  <c r="V44" i="15"/>
  <c r="W44" i="15"/>
  <c r="X44" i="15"/>
  <c r="Y44" i="15"/>
  <c r="Z44" i="15"/>
  <c r="AA44" i="15"/>
  <c r="AB44" i="15"/>
  <c r="AC44" i="15"/>
  <c r="AD44" i="15"/>
  <c r="AE44" i="15"/>
  <c r="AF44" i="15"/>
  <c r="AG44" i="15"/>
  <c r="T47" i="15"/>
  <c r="U47" i="15"/>
  <c r="V47" i="15"/>
  <c r="W47" i="15"/>
  <c r="X47" i="15"/>
  <c r="Y47" i="15"/>
  <c r="Z47" i="15"/>
  <c r="AA47" i="15"/>
  <c r="AB47" i="15"/>
  <c r="AC47" i="15"/>
  <c r="AD47" i="15"/>
  <c r="AE47" i="15"/>
  <c r="AF47" i="15"/>
  <c r="AG47" i="15"/>
  <c r="T50" i="15"/>
  <c r="U50" i="15"/>
  <c r="V50" i="15"/>
  <c r="W50" i="15"/>
  <c r="X50" i="15"/>
  <c r="Y50" i="15"/>
  <c r="Z50" i="15"/>
  <c r="AA50" i="15"/>
  <c r="AB50" i="15"/>
  <c r="AC50" i="15"/>
  <c r="AD50" i="15"/>
  <c r="AE50" i="15"/>
  <c r="AF50" i="15"/>
  <c r="AG50" i="15"/>
  <c r="T56" i="15"/>
  <c r="U56" i="15"/>
  <c r="V56" i="15"/>
  <c r="W56" i="15"/>
  <c r="X56" i="15"/>
  <c r="Y56" i="15"/>
  <c r="Z56" i="15"/>
  <c r="AA56" i="15"/>
  <c r="AB56" i="15"/>
  <c r="AC56" i="15"/>
  <c r="AD56" i="15"/>
  <c r="AE56" i="15"/>
  <c r="AF56" i="15"/>
  <c r="AG56" i="15"/>
  <c r="T57" i="15"/>
  <c r="U57" i="15"/>
  <c r="V57" i="15"/>
  <c r="W57" i="15"/>
  <c r="X57" i="15"/>
  <c r="Y57" i="15"/>
  <c r="Z57" i="15"/>
  <c r="AA57" i="15"/>
  <c r="AB57" i="15"/>
  <c r="AC57" i="15"/>
  <c r="AD57" i="15"/>
  <c r="AE57" i="15"/>
  <c r="AF57" i="15"/>
  <c r="AG57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D42" i="15"/>
  <c r="D49" i="15" s="1"/>
  <c r="E42" i="15"/>
  <c r="E49" i="15" s="1"/>
  <c r="F42" i="15"/>
  <c r="F52" i="15" s="1"/>
  <c r="G42" i="15"/>
  <c r="G43" i="15" s="1"/>
  <c r="H42" i="15"/>
  <c r="H60" i="15" s="1"/>
  <c r="I42" i="15"/>
  <c r="I46" i="15" s="1"/>
  <c r="J42" i="15"/>
  <c r="K42" i="15"/>
  <c r="K52" i="15" s="1"/>
  <c r="L42" i="15"/>
  <c r="L52" i="15" s="1"/>
  <c r="M42" i="15"/>
  <c r="M52" i="15" s="1"/>
  <c r="N42" i="15"/>
  <c r="N46" i="15" s="1"/>
  <c r="O42" i="15"/>
  <c r="O49" i="15" s="1"/>
  <c r="P42" i="15"/>
  <c r="P59" i="15" s="1"/>
  <c r="Q42" i="15"/>
  <c r="Q46" i="15" s="1"/>
  <c r="D46" i="15"/>
  <c r="J49" i="15"/>
  <c r="J52" i="15"/>
  <c r="F57" i="15"/>
  <c r="J59" i="15"/>
  <c r="I60" i="15"/>
  <c r="J60" i="15"/>
  <c r="J61" i="15"/>
  <c r="B6" i="14"/>
  <c r="B7" i="14" s="1"/>
  <c r="D43" i="14"/>
  <c r="D41" i="14"/>
  <c r="E163" i="24" s="1"/>
  <c r="E175" i="24" s="1"/>
  <c r="E41" i="14"/>
  <c r="D25" i="14"/>
  <c r="C55" i="14"/>
  <c r="D55" i="14" s="1"/>
  <c r="C43" i="14"/>
  <c r="C35" i="14"/>
  <c r="C41" i="14" s="1"/>
  <c r="D163" i="24" s="1"/>
  <c r="C25" i="14"/>
  <c r="D212" i="26" s="1"/>
  <c r="C21" i="14"/>
  <c r="C5" i="14"/>
  <c r="C4" i="14"/>
  <c r="C3" i="14"/>
  <c r="B17" i="14"/>
  <c r="C17" i="14" s="1"/>
  <c r="C23" i="14" s="1"/>
  <c r="B65" i="14"/>
  <c r="B66" i="14" s="1"/>
  <c r="B43" i="14"/>
  <c r="B44" i="14" s="1"/>
  <c r="B55" i="14"/>
  <c r="B34" i="14"/>
  <c r="B33" i="14"/>
  <c r="B35" i="14"/>
  <c r="B45" i="14"/>
  <c r="C45" i="14" s="1"/>
  <c r="C47" i="14" s="1"/>
  <c r="B11" i="14"/>
  <c r="B15" i="14"/>
  <c r="D15" i="14" s="1"/>
  <c r="E113" i="15" s="1"/>
  <c r="D10" i="14"/>
  <c r="E10" i="14" s="1"/>
  <c r="F10" i="14" s="1"/>
  <c r="G10" i="14" s="1"/>
  <c r="H10" i="14" s="1"/>
  <c r="I10" i="14" s="1"/>
  <c r="J10" i="14" s="1"/>
  <c r="K10" i="14" s="1"/>
  <c r="L10" i="14" s="1"/>
  <c r="M10" i="14" s="1"/>
  <c r="N10" i="14" s="1"/>
  <c r="O10" i="14" s="1"/>
  <c r="P10" i="14" s="1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K61" i="15" l="1"/>
  <c r="Q60" i="15"/>
  <c r="K44" i="15"/>
  <c r="J44" i="15"/>
  <c r="D163" i="26"/>
  <c r="D23" i="14"/>
  <c r="D63" i="23"/>
  <c r="E261" i="25"/>
  <c r="E261" i="24"/>
  <c r="E281" i="24" s="1"/>
  <c r="E261" i="23"/>
  <c r="E55" i="14"/>
  <c r="D230" i="24"/>
  <c r="D214" i="24"/>
  <c r="D213" i="24"/>
  <c r="D224" i="24"/>
  <c r="D219" i="24"/>
  <c r="E212" i="26"/>
  <c r="E25" i="14"/>
  <c r="E136" i="15"/>
  <c r="E212" i="24"/>
  <c r="E43" i="14"/>
  <c r="D113" i="15"/>
  <c r="D185" i="24"/>
  <c r="D174" i="24"/>
  <c r="D165" i="24"/>
  <c r="D175" i="24"/>
  <c r="D180" i="24"/>
  <c r="D171" i="24"/>
  <c r="D182" i="24"/>
  <c r="D166" i="24"/>
  <c r="D164" i="24"/>
  <c r="D176" i="24"/>
  <c r="D170" i="24"/>
  <c r="D181" i="24"/>
  <c r="D261" i="25"/>
  <c r="D261" i="24"/>
  <c r="D261" i="23"/>
  <c r="E181" i="24"/>
  <c r="E177" i="24"/>
  <c r="E171" i="24"/>
  <c r="E166" i="24"/>
  <c r="E167" i="24"/>
  <c r="E165" i="24"/>
  <c r="E172" i="24"/>
  <c r="E180" i="24"/>
  <c r="E176" i="24"/>
  <c r="E170" i="24"/>
  <c r="D229" i="26"/>
  <c r="D220" i="26"/>
  <c r="D219" i="26"/>
  <c r="D231" i="26"/>
  <c r="D214" i="26"/>
  <c r="C7" i="14"/>
  <c r="F41" i="14"/>
  <c r="F163" i="24"/>
  <c r="D113" i="26"/>
  <c r="D134" i="26" s="1"/>
  <c r="D21" i="14"/>
  <c r="C19" i="14"/>
  <c r="C27" i="14"/>
  <c r="C37" i="14"/>
  <c r="B57" i="14"/>
  <c r="C6" i="14"/>
  <c r="C39" i="14"/>
  <c r="D266" i="25"/>
  <c r="D276" i="25"/>
  <c r="E55" i="26"/>
  <c r="E54" i="26"/>
  <c r="M43" i="26"/>
  <c r="E44" i="26"/>
  <c r="R44" i="26" s="1"/>
  <c r="M44" i="26"/>
  <c r="L46" i="26"/>
  <c r="L47" i="26"/>
  <c r="I49" i="26"/>
  <c r="M50" i="26"/>
  <c r="E52" i="26"/>
  <c r="R52" i="26" s="1"/>
  <c r="M53" i="26"/>
  <c r="P57" i="26"/>
  <c r="I59" i="26"/>
  <c r="G61" i="26"/>
  <c r="R59" i="26"/>
  <c r="O43" i="26"/>
  <c r="M46" i="26"/>
  <c r="L49" i="26"/>
  <c r="P50" i="26"/>
  <c r="I52" i="26"/>
  <c r="Q53" i="26"/>
  <c r="M59" i="26"/>
  <c r="I61" i="26"/>
  <c r="R42" i="26"/>
  <c r="Q43" i="26"/>
  <c r="R43" i="26" s="1"/>
  <c r="P46" i="26"/>
  <c r="E47" i="26"/>
  <c r="M47" i="26"/>
  <c r="M49" i="26"/>
  <c r="L52" i="26"/>
  <c r="O59" i="26"/>
  <c r="M61" i="26"/>
  <c r="D43" i="26"/>
  <c r="D44" i="26"/>
  <c r="Q46" i="26"/>
  <c r="P49" i="26"/>
  <c r="Q59" i="26"/>
  <c r="Q61" i="26"/>
  <c r="G209" i="26"/>
  <c r="G199" i="26"/>
  <c r="G193" i="26"/>
  <c r="O206" i="26"/>
  <c r="O199" i="26"/>
  <c r="O193" i="26"/>
  <c r="D47" i="26"/>
  <c r="D57" i="26"/>
  <c r="H43" i="26"/>
  <c r="D46" i="26"/>
  <c r="H47" i="26"/>
  <c r="D50" i="26"/>
  <c r="F57" i="26"/>
  <c r="K60" i="26"/>
  <c r="R46" i="26"/>
  <c r="R50" i="26"/>
  <c r="D61" i="26"/>
  <c r="L93" i="26"/>
  <c r="F97" i="26"/>
  <c r="I103" i="26"/>
  <c r="I104" i="26" s="1"/>
  <c r="G107" i="26"/>
  <c r="J109" i="26"/>
  <c r="I143" i="26"/>
  <c r="I146" i="26"/>
  <c r="Q147" i="26"/>
  <c r="F149" i="26"/>
  <c r="Q149" i="26"/>
  <c r="I150" i="26"/>
  <c r="Q150" i="26"/>
  <c r="Q152" i="26"/>
  <c r="I157" i="26"/>
  <c r="J157" i="26"/>
  <c r="D159" i="26"/>
  <c r="G161" i="26"/>
  <c r="O161" i="26"/>
  <c r="D170" i="26"/>
  <c r="D178" i="26"/>
  <c r="H193" i="26"/>
  <c r="P193" i="26"/>
  <c r="N198" i="26"/>
  <c r="L201" i="26"/>
  <c r="N208" i="26"/>
  <c r="E219" i="26"/>
  <c r="D223" i="26"/>
  <c r="E94" i="26"/>
  <c r="G97" i="26"/>
  <c r="Q103" i="26"/>
  <c r="O107" i="26"/>
  <c r="D111" i="26"/>
  <c r="D128" i="26"/>
  <c r="L143" i="26"/>
  <c r="J146" i="26"/>
  <c r="D147" i="26"/>
  <c r="L147" i="26"/>
  <c r="G149" i="26"/>
  <c r="G150" i="26"/>
  <c r="J150" i="26"/>
  <c r="D152" i="26"/>
  <c r="D153" i="26"/>
  <c r="Q157" i="26"/>
  <c r="K157" i="26"/>
  <c r="J159" i="26"/>
  <c r="H161" i="26"/>
  <c r="P161" i="26"/>
  <c r="D164" i="26"/>
  <c r="I193" i="26"/>
  <c r="P198" i="26"/>
  <c r="D202" i="26"/>
  <c r="F210" i="26"/>
  <c r="D213" i="26"/>
  <c r="E223" i="26"/>
  <c r="F255" i="26"/>
  <c r="F241" i="26"/>
  <c r="F250" i="26"/>
  <c r="F244" i="26"/>
  <c r="F247" i="26"/>
  <c r="N255" i="26"/>
  <c r="N250" i="26"/>
  <c r="N244" i="26"/>
  <c r="N251" i="26"/>
  <c r="N247" i="26"/>
  <c r="N245" i="26"/>
  <c r="N241" i="26"/>
  <c r="N259" i="26"/>
  <c r="E294" i="26"/>
  <c r="E307" i="26"/>
  <c r="I349" i="26"/>
  <c r="I342" i="26"/>
  <c r="I348" i="26"/>
  <c r="Q349" i="26"/>
  <c r="Q340" i="26"/>
  <c r="Q353" i="26"/>
  <c r="Q346" i="26"/>
  <c r="Q342" i="26"/>
  <c r="I346" i="26"/>
  <c r="Q348" i="26"/>
  <c r="I353" i="26"/>
  <c r="J94" i="26"/>
  <c r="E96" i="26"/>
  <c r="I97" i="26"/>
  <c r="L111" i="26"/>
  <c r="H149" i="26"/>
  <c r="H152" i="26"/>
  <c r="L159" i="26"/>
  <c r="F192" i="26"/>
  <c r="J193" i="26"/>
  <c r="G250" i="26"/>
  <c r="G257" i="26"/>
  <c r="G248" i="26"/>
  <c r="G242" i="26"/>
  <c r="G255" i="26"/>
  <c r="G251" i="26"/>
  <c r="F252" i="26"/>
  <c r="F254" i="26"/>
  <c r="M94" i="26"/>
  <c r="F96" i="26"/>
  <c r="N97" i="26"/>
  <c r="O143" i="26"/>
  <c r="L146" i="26"/>
  <c r="I149" i="26"/>
  <c r="I152" i="26"/>
  <c r="J153" i="26"/>
  <c r="F161" i="26"/>
  <c r="D165" i="26"/>
  <c r="D180" i="26"/>
  <c r="H192" i="26"/>
  <c r="Q193" i="26"/>
  <c r="J195" i="26"/>
  <c r="H199" i="26"/>
  <c r="P199" i="26"/>
  <c r="L202" i="26"/>
  <c r="N210" i="26"/>
  <c r="J398" i="26"/>
  <c r="J401" i="26" s="1"/>
  <c r="J404" i="26"/>
  <c r="J391" i="26"/>
  <c r="H96" i="26"/>
  <c r="O97" i="26"/>
  <c r="D99" i="26"/>
  <c r="D118" i="26"/>
  <c r="D133" i="26"/>
  <c r="D143" i="26"/>
  <c r="P143" i="26"/>
  <c r="H144" i="26"/>
  <c r="P144" i="26"/>
  <c r="P146" i="26"/>
  <c r="L149" i="26"/>
  <c r="J152" i="26"/>
  <c r="K153" i="26"/>
  <c r="K154" i="26" s="1"/>
  <c r="N161" i="26"/>
  <c r="D176" i="26"/>
  <c r="I192" i="26"/>
  <c r="K195" i="26"/>
  <c r="I199" i="26"/>
  <c r="I206" i="26"/>
  <c r="P210" i="26"/>
  <c r="D225" i="26"/>
  <c r="E226" i="26"/>
  <c r="D230" i="26"/>
  <c r="E231" i="26"/>
  <c r="M96" i="26"/>
  <c r="Q97" i="26"/>
  <c r="L99" i="26"/>
  <c r="F143" i="26"/>
  <c r="Q143" i="26"/>
  <c r="I144" i="26"/>
  <c r="Q144" i="26"/>
  <c r="Q146" i="26"/>
  <c r="N149" i="26"/>
  <c r="K152" i="26"/>
  <c r="L153" i="26"/>
  <c r="D174" i="26"/>
  <c r="D175" i="26"/>
  <c r="E210" i="26"/>
  <c r="M210" i="26"/>
  <c r="N192" i="26"/>
  <c r="L195" i="26"/>
  <c r="F198" i="26"/>
  <c r="J199" i="26"/>
  <c r="D201" i="26"/>
  <c r="K206" i="26"/>
  <c r="J206" i="26"/>
  <c r="D208" i="26"/>
  <c r="D215" i="26"/>
  <c r="E216" i="26"/>
  <c r="D224" i="26"/>
  <c r="E225" i="26"/>
  <c r="E230" i="26"/>
  <c r="F245" i="26"/>
  <c r="D93" i="26"/>
  <c r="N96" i="26"/>
  <c r="E100" i="26"/>
  <c r="H102" i="26"/>
  <c r="D146" i="26"/>
  <c r="L152" i="26"/>
  <c r="J201" i="26"/>
  <c r="F208" i="26"/>
  <c r="K257" i="26"/>
  <c r="K251" i="26"/>
  <c r="K252" i="26" s="1"/>
  <c r="K245" i="26"/>
  <c r="F242" i="26"/>
  <c r="N242" i="26"/>
  <c r="J245" i="26"/>
  <c r="F248" i="26"/>
  <c r="N248" i="26"/>
  <c r="Q290" i="26"/>
  <c r="N296" i="26"/>
  <c r="L306" i="26"/>
  <c r="N308" i="26"/>
  <c r="F339" i="26"/>
  <c r="K340" i="26"/>
  <c r="N346" i="26"/>
  <c r="H349" i="26"/>
  <c r="K353" i="26"/>
  <c r="F357" i="26"/>
  <c r="G402" i="26"/>
  <c r="J247" i="26"/>
  <c r="J251" i="26"/>
  <c r="I255" i="26"/>
  <c r="I291" i="26"/>
  <c r="P296" i="26"/>
  <c r="F300" i="26"/>
  <c r="N306" i="26"/>
  <c r="H339" i="26"/>
  <c r="N340" i="26"/>
  <c r="J343" i="26"/>
  <c r="F345" i="26"/>
  <c r="O346" i="26"/>
  <c r="F348" i="26"/>
  <c r="J349" i="26"/>
  <c r="J350" i="26" s="1"/>
  <c r="P353" i="26"/>
  <c r="D355" i="26"/>
  <c r="H357" i="26"/>
  <c r="H388" i="26"/>
  <c r="O389" i="26"/>
  <c r="D391" i="26"/>
  <c r="I392" i="26"/>
  <c r="G395" i="26"/>
  <c r="P397" i="26"/>
  <c r="I402" i="26"/>
  <c r="H402" i="26"/>
  <c r="P402" i="26"/>
  <c r="Q404" i="26"/>
  <c r="Q241" i="26"/>
  <c r="O255" i="26"/>
  <c r="D257" i="26"/>
  <c r="J291" i="26"/>
  <c r="F294" i="26"/>
  <c r="N294" i="26"/>
  <c r="Q296" i="26"/>
  <c r="K300" i="26"/>
  <c r="O306" i="26"/>
  <c r="J339" i="26"/>
  <c r="F342" i="26"/>
  <c r="K343" i="26"/>
  <c r="H345" i="26"/>
  <c r="H348" i="26"/>
  <c r="K349" i="26"/>
  <c r="K350" i="26" s="1"/>
  <c r="F355" i="26"/>
  <c r="N357" i="26"/>
  <c r="L388" i="26"/>
  <c r="Q389" i="26"/>
  <c r="H391" i="26"/>
  <c r="P392" i="26"/>
  <c r="D394" i="26"/>
  <c r="I395" i="26"/>
  <c r="Q397" i="26"/>
  <c r="N402" i="26"/>
  <c r="D406" i="26"/>
  <c r="Q255" i="26"/>
  <c r="O291" i="26"/>
  <c r="D293" i="26"/>
  <c r="G297" i="26"/>
  <c r="N300" i="26"/>
  <c r="N302" i="26" s="1"/>
  <c r="D304" i="26"/>
  <c r="N339" i="26"/>
  <c r="H342" i="26"/>
  <c r="N345" i="26"/>
  <c r="P349" i="26"/>
  <c r="H355" i="26"/>
  <c r="P357" i="26"/>
  <c r="N388" i="26"/>
  <c r="I391" i="26"/>
  <c r="Q392" i="26"/>
  <c r="F394" i="26"/>
  <c r="M395" i="26"/>
  <c r="H398" i="26"/>
  <c r="H400" i="26" s="1"/>
  <c r="O402" i="26"/>
  <c r="D404" i="26"/>
  <c r="F406" i="26"/>
  <c r="D241" i="26"/>
  <c r="J242" i="26"/>
  <c r="J248" i="26"/>
  <c r="O251" i="26"/>
  <c r="J257" i="26"/>
  <c r="J293" i="26"/>
  <c r="P339" i="26"/>
  <c r="P345" i="26"/>
  <c r="O395" i="26"/>
  <c r="I398" i="26"/>
  <c r="I399" i="26" s="1"/>
  <c r="Q402" i="26"/>
  <c r="O242" i="26"/>
  <c r="J244" i="26"/>
  <c r="G245" i="26"/>
  <c r="O245" i="26"/>
  <c r="O248" i="26"/>
  <c r="J250" i="26"/>
  <c r="L257" i="26"/>
  <c r="H290" i="26"/>
  <c r="L293" i="26"/>
  <c r="J297" i="26"/>
  <c r="D299" i="26"/>
  <c r="K304" i="26"/>
  <c r="F308" i="26"/>
  <c r="G353" i="26"/>
  <c r="O353" i="26"/>
  <c r="F340" i="26"/>
  <c r="J342" i="26"/>
  <c r="F346" i="26"/>
  <c r="N348" i="26"/>
  <c r="F353" i="26"/>
  <c r="N353" i="26"/>
  <c r="L355" i="26"/>
  <c r="E389" i="26"/>
  <c r="R389" i="26" s="1"/>
  <c r="F389" i="26"/>
  <c r="N389" i="26"/>
  <c r="L391" i="26"/>
  <c r="L394" i="26"/>
  <c r="Q395" i="26"/>
  <c r="R395" i="26" s="1"/>
  <c r="H397" i="26"/>
  <c r="P398" i="26"/>
  <c r="I404" i="26"/>
  <c r="L406" i="26"/>
  <c r="I241" i="26"/>
  <c r="O257" i="26"/>
  <c r="J299" i="26"/>
  <c r="L304" i="26"/>
  <c r="D306" i="26"/>
  <c r="H308" i="26"/>
  <c r="Q308" i="26"/>
  <c r="N342" i="26"/>
  <c r="P348" i="26"/>
  <c r="H353" i="26"/>
  <c r="N355" i="26"/>
  <c r="G389" i="26"/>
  <c r="I397" i="26"/>
  <c r="Q398" i="26"/>
  <c r="Q399" i="26" s="1"/>
  <c r="J400" i="26"/>
  <c r="K392" i="26"/>
  <c r="K398" i="26"/>
  <c r="E405" i="26"/>
  <c r="R405" i="26" s="1"/>
  <c r="M405" i="26"/>
  <c r="G388" i="26"/>
  <c r="O388" i="26"/>
  <c r="H389" i="26"/>
  <c r="P389" i="26"/>
  <c r="K391" i="26"/>
  <c r="D392" i="26"/>
  <c r="L392" i="26"/>
  <c r="G394" i="26"/>
  <c r="O394" i="26"/>
  <c r="H395" i="26"/>
  <c r="P395" i="26"/>
  <c r="K397" i="26"/>
  <c r="D398" i="26"/>
  <c r="L398" i="26"/>
  <c r="J402" i="26"/>
  <c r="E404" i="26"/>
  <c r="R404" i="26" s="1"/>
  <c r="M404" i="26"/>
  <c r="F405" i="26"/>
  <c r="N405" i="26"/>
  <c r="G406" i="26"/>
  <c r="O406" i="26"/>
  <c r="E392" i="26"/>
  <c r="R392" i="26" s="1"/>
  <c r="M392" i="26"/>
  <c r="E398" i="26"/>
  <c r="M398" i="26"/>
  <c r="K402" i="26"/>
  <c r="G405" i="26"/>
  <c r="O405" i="26"/>
  <c r="I388" i="26"/>
  <c r="Q388" i="26"/>
  <c r="J389" i="26"/>
  <c r="E391" i="26"/>
  <c r="R391" i="26" s="1"/>
  <c r="M391" i="26"/>
  <c r="F392" i="26"/>
  <c r="N392" i="26"/>
  <c r="I394" i="26"/>
  <c r="Q394" i="26"/>
  <c r="J395" i="26"/>
  <c r="E397" i="26"/>
  <c r="R397" i="26" s="1"/>
  <c r="M397" i="26"/>
  <c r="F398" i="26"/>
  <c r="N398" i="26"/>
  <c r="P400" i="26"/>
  <c r="D402" i="26"/>
  <c r="L402" i="26"/>
  <c r="G404" i="26"/>
  <c r="O404" i="26"/>
  <c r="H405" i="26"/>
  <c r="P405" i="26"/>
  <c r="I406" i="26"/>
  <c r="Q406" i="26"/>
  <c r="R406" i="26" s="1"/>
  <c r="J388" i="26"/>
  <c r="K389" i="26"/>
  <c r="F391" i="26"/>
  <c r="N391" i="26"/>
  <c r="G392" i="26"/>
  <c r="O392" i="26"/>
  <c r="J394" i="26"/>
  <c r="K395" i="26"/>
  <c r="G398" i="26"/>
  <c r="O398" i="26"/>
  <c r="I400" i="26"/>
  <c r="E402" i="26"/>
  <c r="M402" i="26"/>
  <c r="J406" i="26"/>
  <c r="K405" i="26"/>
  <c r="R387" i="26"/>
  <c r="K388" i="26"/>
  <c r="D389" i="26"/>
  <c r="L389" i="26"/>
  <c r="G391" i="26"/>
  <c r="O391" i="26"/>
  <c r="K394" i="26"/>
  <c r="D395" i="26"/>
  <c r="L395" i="26"/>
  <c r="J405" i="26"/>
  <c r="K406" i="26"/>
  <c r="E388" i="26"/>
  <c r="M388" i="26"/>
  <c r="J392" i="26"/>
  <c r="E394" i="26"/>
  <c r="R394" i="26" s="1"/>
  <c r="M394" i="26"/>
  <c r="E357" i="26"/>
  <c r="E345" i="26"/>
  <c r="E339" i="26"/>
  <c r="E346" i="26"/>
  <c r="R346" i="26" s="1"/>
  <c r="E340" i="26"/>
  <c r="R340" i="26" s="1"/>
  <c r="R338" i="26"/>
  <c r="E353" i="26"/>
  <c r="R353" i="26" s="1"/>
  <c r="E348" i="26"/>
  <c r="R348" i="26" s="1"/>
  <c r="E342" i="26"/>
  <c r="R342" i="26" s="1"/>
  <c r="E356" i="26"/>
  <c r="E349" i="26"/>
  <c r="E343" i="26"/>
  <c r="E355" i="26"/>
  <c r="M357" i="26"/>
  <c r="M345" i="26"/>
  <c r="M339" i="26"/>
  <c r="M346" i="26"/>
  <c r="M340" i="26"/>
  <c r="M353" i="26"/>
  <c r="M348" i="26"/>
  <c r="M342" i="26"/>
  <c r="M349" i="26"/>
  <c r="M343" i="26"/>
  <c r="M355" i="26"/>
  <c r="M356" i="26"/>
  <c r="F352" i="26"/>
  <c r="F350" i="26"/>
  <c r="F351" i="26"/>
  <c r="N350" i="26"/>
  <c r="N352" i="26"/>
  <c r="N351" i="26"/>
  <c r="I350" i="26"/>
  <c r="I351" i="26"/>
  <c r="I352" i="26"/>
  <c r="Q350" i="26"/>
  <c r="Q351" i="26"/>
  <c r="Q352" i="26"/>
  <c r="G339" i="26"/>
  <c r="O339" i="26"/>
  <c r="H340" i="26"/>
  <c r="P340" i="26"/>
  <c r="K342" i="26"/>
  <c r="D343" i="26"/>
  <c r="L343" i="26"/>
  <c r="G345" i="26"/>
  <c r="O345" i="26"/>
  <c r="H346" i="26"/>
  <c r="P346" i="26"/>
  <c r="K348" i="26"/>
  <c r="D349" i="26"/>
  <c r="L349" i="26"/>
  <c r="J353" i="26"/>
  <c r="F356" i="26"/>
  <c r="N356" i="26"/>
  <c r="G357" i="26"/>
  <c r="O357" i="26"/>
  <c r="D342" i="26"/>
  <c r="L342" i="26"/>
  <c r="D348" i="26"/>
  <c r="L348" i="26"/>
  <c r="G356" i="26"/>
  <c r="O356" i="26"/>
  <c r="I339" i="26"/>
  <c r="Q339" i="26"/>
  <c r="J340" i="26"/>
  <c r="F343" i="26"/>
  <c r="N343" i="26"/>
  <c r="I345" i="26"/>
  <c r="Q345" i="26"/>
  <c r="J346" i="26"/>
  <c r="D353" i="26"/>
  <c r="L353" i="26"/>
  <c r="G355" i="26"/>
  <c r="O355" i="26"/>
  <c r="I357" i="26"/>
  <c r="Q357" i="26"/>
  <c r="G343" i="26"/>
  <c r="O343" i="26"/>
  <c r="J345" i="26"/>
  <c r="K346" i="26"/>
  <c r="G349" i="26"/>
  <c r="O349" i="26"/>
  <c r="J352" i="26"/>
  <c r="I356" i="26"/>
  <c r="Q356" i="26"/>
  <c r="J357" i="26"/>
  <c r="K339" i="26"/>
  <c r="D340" i="26"/>
  <c r="L340" i="26"/>
  <c r="G342" i="26"/>
  <c r="O342" i="26"/>
  <c r="K345" i="26"/>
  <c r="D346" i="26"/>
  <c r="L346" i="26"/>
  <c r="G348" i="26"/>
  <c r="O348" i="26"/>
  <c r="J351" i="26"/>
  <c r="K352" i="26"/>
  <c r="I355" i="26"/>
  <c r="Q355" i="26"/>
  <c r="J356" i="26"/>
  <c r="K357" i="26"/>
  <c r="D339" i="26"/>
  <c r="L339" i="26"/>
  <c r="I343" i="26"/>
  <c r="Q343" i="26"/>
  <c r="D345" i="26"/>
  <c r="L345" i="26"/>
  <c r="K351" i="26"/>
  <c r="D357" i="26"/>
  <c r="L357" i="26"/>
  <c r="N303" i="26"/>
  <c r="J301" i="26"/>
  <c r="J302" i="26"/>
  <c r="J303" i="26"/>
  <c r="E308" i="26"/>
  <c r="R308" i="26" s="1"/>
  <c r="E296" i="26"/>
  <c r="R296" i="26" s="1"/>
  <c r="E290" i="26"/>
  <c r="R290" i="26" s="1"/>
  <c r="E297" i="26"/>
  <c r="R297" i="26" s="1"/>
  <c r="E291" i="26"/>
  <c r="R291" i="26" s="1"/>
  <c r="R289" i="26"/>
  <c r="E304" i="26"/>
  <c r="R304" i="26" s="1"/>
  <c r="E306" i="26"/>
  <c r="M308" i="26"/>
  <c r="M296" i="26"/>
  <c r="M290" i="26"/>
  <c r="M297" i="26"/>
  <c r="M291" i="26"/>
  <c r="M304" i="26"/>
  <c r="M306" i="26"/>
  <c r="E293" i="26"/>
  <c r="M294" i="26"/>
  <c r="E300" i="26"/>
  <c r="H307" i="26"/>
  <c r="P308" i="26"/>
  <c r="N301" i="26"/>
  <c r="F303" i="26"/>
  <c r="M307" i="26"/>
  <c r="G304" i="26"/>
  <c r="G299" i="26"/>
  <c r="G293" i="26"/>
  <c r="G300" i="26"/>
  <c r="G294" i="26"/>
  <c r="G308" i="26"/>
  <c r="G296" i="26"/>
  <c r="G290" i="26"/>
  <c r="O304" i="26"/>
  <c r="O299" i="26"/>
  <c r="O293" i="26"/>
  <c r="O300" i="26"/>
  <c r="O294" i="26"/>
  <c r="O308" i="26"/>
  <c r="O296" i="26"/>
  <c r="O290" i="26"/>
  <c r="K301" i="26"/>
  <c r="K302" i="26"/>
  <c r="K303" i="26"/>
  <c r="G306" i="26"/>
  <c r="O307" i="26"/>
  <c r="H304" i="26"/>
  <c r="H299" i="26"/>
  <c r="H293" i="26"/>
  <c r="H300" i="26"/>
  <c r="H294" i="26"/>
  <c r="H306" i="26"/>
  <c r="H297" i="26"/>
  <c r="H291" i="26"/>
  <c r="P304" i="26"/>
  <c r="P299" i="26"/>
  <c r="P293" i="26"/>
  <c r="P300" i="26"/>
  <c r="P294" i="26"/>
  <c r="P306" i="26"/>
  <c r="P297" i="26"/>
  <c r="P291" i="26"/>
  <c r="G291" i="26"/>
  <c r="M293" i="26"/>
  <c r="E299" i="26"/>
  <c r="R299" i="26" s="1"/>
  <c r="M300" i="26"/>
  <c r="P307" i="26"/>
  <c r="K293" i="26"/>
  <c r="D294" i="26"/>
  <c r="L294" i="26"/>
  <c r="K299" i="26"/>
  <c r="D300" i="26"/>
  <c r="L300" i="26"/>
  <c r="J304" i="26"/>
  <c r="F307" i="26"/>
  <c r="N307" i="26"/>
  <c r="J290" i="26"/>
  <c r="K291" i="26"/>
  <c r="F293" i="26"/>
  <c r="N293" i="26"/>
  <c r="J296" i="26"/>
  <c r="K297" i="26"/>
  <c r="F299" i="26"/>
  <c r="N299" i="26"/>
  <c r="I307" i="26"/>
  <c r="Q307" i="26"/>
  <c r="R307" i="26" s="1"/>
  <c r="J308" i="26"/>
  <c r="K290" i="26"/>
  <c r="D291" i="26"/>
  <c r="L291" i="26"/>
  <c r="K296" i="26"/>
  <c r="D297" i="26"/>
  <c r="L297" i="26"/>
  <c r="F304" i="26"/>
  <c r="N304" i="26"/>
  <c r="I306" i="26"/>
  <c r="Q306" i="26"/>
  <c r="J307" i="26"/>
  <c r="K308" i="26"/>
  <c r="D290" i="26"/>
  <c r="L290" i="26"/>
  <c r="I294" i="26"/>
  <c r="Q294" i="26"/>
  <c r="R294" i="26" s="1"/>
  <c r="D296" i="26"/>
  <c r="L296" i="26"/>
  <c r="I300" i="26"/>
  <c r="Q300" i="26"/>
  <c r="J306" i="26"/>
  <c r="K307" i="26"/>
  <c r="D308" i="26"/>
  <c r="L308" i="26"/>
  <c r="F291" i="26"/>
  <c r="N291" i="26"/>
  <c r="I293" i="26"/>
  <c r="Q293" i="26"/>
  <c r="J294" i="26"/>
  <c r="M258" i="26"/>
  <c r="G241" i="26"/>
  <c r="O241" i="26"/>
  <c r="H242" i="26"/>
  <c r="P242" i="26"/>
  <c r="K244" i="26"/>
  <c r="D245" i="26"/>
  <c r="L245" i="26"/>
  <c r="G247" i="26"/>
  <c r="O247" i="26"/>
  <c r="H248" i="26"/>
  <c r="P248" i="26"/>
  <c r="K250" i="26"/>
  <c r="D251" i="26"/>
  <c r="L251" i="26"/>
  <c r="F253" i="26"/>
  <c r="N253" i="26"/>
  <c r="G254" i="26"/>
  <c r="O254" i="26"/>
  <c r="J255" i="26"/>
  <c r="E257" i="26"/>
  <c r="R257" i="26" s="1"/>
  <c r="M257" i="26"/>
  <c r="F258" i="26"/>
  <c r="N258" i="26"/>
  <c r="G259" i="26"/>
  <c r="O259" i="26"/>
  <c r="H241" i="26"/>
  <c r="P241" i="26"/>
  <c r="I242" i="26"/>
  <c r="Q242" i="26"/>
  <c r="D244" i="26"/>
  <c r="L244" i="26"/>
  <c r="E245" i="26"/>
  <c r="M245" i="26"/>
  <c r="H247" i="26"/>
  <c r="P247" i="26"/>
  <c r="I248" i="26"/>
  <c r="Q248" i="26"/>
  <c r="D250" i="26"/>
  <c r="L250" i="26"/>
  <c r="E251" i="26"/>
  <c r="M251" i="26"/>
  <c r="K255" i="26"/>
  <c r="F257" i="26"/>
  <c r="N257" i="26"/>
  <c r="G258" i="26"/>
  <c r="O258" i="26"/>
  <c r="H259" i="26"/>
  <c r="P259" i="26"/>
  <c r="E244" i="26"/>
  <c r="M244" i="26"/>
  <c r="I247" i="26"/>
  <c r="Q247" i="26"/>
  <c r="E250" i="26"/>
  <c r="R250" i="26" s="1"/>
  <c r="M250" i="26"/>
  <c r="D255" i="26"/>
  <c r="L255" i="26"/>
  <c r="H258" i="26"/>
  <c r="P258" i="26"/>
  <c r="I259" i="26"/>
  <c r="Q259" i="26"/>
  <c r="R259" i="26" s="1"/>
  <c r="K242" i="26"/>
  <c r="K248" i="26"/>
  <c r="J254" i="26"/>
  <c r="E255" i="26"/>
  <c r="R255" i="26" s="1"/>
  <c r="M255" i="26"/>
  <c r="H257" i="26"/>
  <c r="P257" i="26"/>
  <c r="I258" i="26"/>
  <c r="Q258" i="26"/>
  <c r="E258" i="26"/>
  <c r="R258" i="26" s="1"/>
  <c r="R240" i="26"/>
  <c r="K241" i="26"/>
  <c r="D242" i="26"/>
  <c r="L242" i="26"/>
  <c r="G244" i="26"/>
  <c r="O244" i="26"/>
  <c r="H245" i="26"/>
  <c r="P245" i="26"/>
  <c r="K247" i="26"/>
  <c r="D248" i="26"/>
  <c r="L248" i="26"/>
  <c r="H251" i="26"/>
  <c r="P251" i="26"/>
  <c r="K254" i="26"/>
  <c r="I257" i="26"/>
  <c r="Q257" i="26"/>
  <c r="K259" i="26"/>
  <c r="E242" i="26"/>
  <c r="M242" i="26"/>
  <c r="H244" i="26"/>
  <c r="P244" i="26"/>
  <c r="I245" i="26"/>
  <c r="Q245" i="26"/>
  <c r="D247" i="26"/>
  <c r="L247" i="26"/>
  <c r="E248" i="26"/>
  <c r="M248" i="26"/>
  <c r="H250" i="26"/>
  <c r="P250" i="26"/>
  <c r="I251" i="26"/>
  <c r="Q251" i="26"/>
  <c r="K253" i="26"/>
  <c r="K258" i="26"/>
  <c r="D259" i="26"/>
  <c r="L259" i="26"/>
  <c r="E241" i="26"/>
  <c r="M241" i="26"/>
  <c r="I244" i="26"/>
  <c r="Q244" i="26"/>
  <c r="E247" i="26"/>
  <c r="M247" i="26"/>
  <c r="J203" i="26"/>
  <c r="J204" i="26"/>
  <c r="J205" i="26"/>
  <c r="R210" i="26"/>
  <c r="E209" i="26"/>
  <c r="M209" i="26"/>
  <c r="G192" i="26"/>
  <c r="O192" i="26"/>
  <c r="G198" i="26"/>
  <c r="O198" i="26"/>
  <c r="E208" i="26"/>
  <c r="M208" i="26"/>
  <c r="F209" i="26"/>
  <c r="N209" i="26"/>
  <c r="G210" i="26"/>
  <c r="O210" i="26"/>
  <c r="E202" i="26"/>
  <c r="E195" i="26"/>
  <c r="M195" i="26"/>
  <c r="F196" i="26"/>
  <c r="N196" i="26"/>
  <c r="E201" i="26"/>
  <c r="R201" i="26" s="1"/>
  <c r="M201" i="26"/>
  <c r="F202" i="26"/>
  <c r="N202" i="26"/>
  <c r="G208" i="26"/>
  <c r="O208" i="26"/>
  <c r="H209" i="26"/>
  <c r="P209" i="26"/>
  <c r="D235" i="26"/>
  <c r="J192" i="26"/>
  <c r="K193" i="26"/>
  <c r="F195" i="26"/>
  <c r="N195" i="26"/>
  <c r="G196" i="26"/>
  <c r="O196" i="26"/>
  <c r="J198" i="26"/>
  <c r="K199" i="26"/>
  <c r="F201" i="26"/>
  <c r="N201" i="26"/>
  <c r="G202" i="26"/>
  <c r="O202" i="26"/>
  <c r="E206" i="26"/>
  <c r="R206" i="26" s="1"/>
  <c r="M206" i="26"/>
  <c r="H208" i="26"/>
  <c r="P208" i="26"/>
  <c r="I209" i="26"/>
  <c r="Q209" i="26"/>
  <c r="J210" i="26"/>
  <c r="D234" i="26"/>
  <c r="E235" i="26"/>
  <c r="O209" i="26"/>
  <c r="R191" i="26"/>
  <c r="K192" i="26"/>
  <c r="D193" i="26"/>
  <c r="L193" i="26"/>
  <c r="G195" i="26"/>
  <c r="O195" i="26"/>
  <c r="H196" i="26"/>
  <c r="P196" i="26"/>
  <c r="K198" i="26"/>
  <c r="D199" i="26"/>
  <c r="L199" i="26"/>
  <c r="G201" i="26"/>
  <c r="O201" i="26"/>
  <c r="H202" i="26"/>
  <c r="P202" i="26"/>
  <c r="K205" i="26"/>
  <c r="F206" i="26"/>
  <c r="N206" i="26"/>
  <c r="I208" i="26"/>
  <c r="Q208" i="26"/>
  <c r="J209" i="26"/>
  <c r="K210" i="26"/>
  <c r="D233" i="26"/>
  <c r="E234" i="26"/>
  <c r="E196" i="26"/>
  <c r="D192" i="26"/>
  <c r="L192" i="26"/>
  <c r="E193" i="26"/>
  <c r="R193" i="26" s="1"/>
  <c r="M193" i="26"/>
  <c r="H195" i="26"/>
  <c r="P195" i="26"/>
  <c r="I196" i="26"/>
  <c r="Q196" i="26"/>
  <c r="D198" i="26"/>
  <c r="L198" i="26"/>
  <c r="E199" i="26"/>
  <c r="R199" i="26" s="1"/>
  <c r="M199" i="26"/>
  <c r="H201" i="26"/>
  <c r="P201" i="26"/>
  <c r="I202" i="26"/>
  <c r="Q202" i="26"/>
  <c r="K204" i="26"/>
  <c r="D205" i="26"/>
  <c r="L205" i="26"/>
  <c r="G206" i="26"/>
  <c r="J208" i="26"/>
  <c r="K209" i="26"/>
  <c r="D210" i="26"/>
  <c r="L210" i="26"/>
  <c r="D217" i="26"/>
  <c r="D227" i="26"/>
  <c r="D232" i="26"/>
  <c r="E233" i="26"/>
  <c r="M196" i="26"/>
  <c r="M202" i="26"/>
  <c r="E192" i="26"/>
  <c r="R192" i="26" s="1"/>
  <c r="M192" i="26"/>
  <c r="F193" i="26"/>
  <c r="N193" i="26"/>
  <c r="I195" i="26"/>
  <c r="Q195" i="26"/>
  <c r="J196" i="26"/>
  <c r="E198" i="26"/>
  <c r="R198" i="26" s="1"/>
  <c r="M198" i="26"/>
  <c r="D216" i="26"/>
  <c r="E217" i="26"/>
  <c r="D221" i="26"/>
  <c r="D222" i="26" s="1"/>
  <c r="D226" i="26"/>
  <c r="E227" i="26"/>
  <c r="M159" i="26"/>
  <c r="N160" i="26"/>
  <c r="E147" i="26"/>
  <c r="R147" i="26" s="1"/>
  <c r="M147" i="26"/>
  <c r="E153" i="26"/>
  <c r="M153" i="26"/>
  <c r="F159" i="26"/>
  <c r="N159" i="26"/>
  <c r="G160" i="26"/>
  <c r="O160" i="26"/>
  <c r="E159" i="26"/>
  <c r="R159" i="26" s="1"/>
  <c r="E146" i="26"/>
  <c r="R146" i="26" s="1"/>
  <c r="M146" i="26"/>
  <c r="F147" i="26"/>
  <c r="N147" i="26"/>
  <c r="E152" i="26"/>
  <c r="R152" i="26" s="1"/>
  <c r="M152" i="26"/>
  <c r="F153" i="26"/>
  <c r="N153" i="26"/>
  <c r="I156" i="26"/>
  <c r="Q156" i="26"/>
  <c r="D157" i="26"/>
  <c r="L157" i="26"/>
  <c r="G159" i="26"/>
  <c r="O159" i="26"/>
  <c r="H160" i="26"/>
  <c r="P160" i="26"/>
  <c r="D186" i="26"/>
  <c r="F160" i="26"/>
  <c r="J143" i="26"/>
  <c r="K144" i="26"/>
  <c r="F146" i="26"/>
  <c r="N146" i="26"/>
  <c r="G147" i="26"/>
  <c r="O147" i="26"/>
  <c r="J149" i="26"/>
  <c r="K150" i="26"/>
  <c r="F152" i="26"/>
  <c r="N152" i="26"/>
  <c r="G153" i="26"/>
  <c r="O153" i="26"/>
  <c r="I155" i="26"/>
  <c r="Q155" i="26"/>
  <c r="J156" i="26"/>
  <c r="E157" i="26"/>
  <c r="R157" i="26" s="1"/>
  <c r="M157" i="26"/>
  <c r="H159" i="26"/>
  <c r="P159" i="26"/>
  <c r="I160" i="26"/>
  <c r="Q160" i="26"/>
  <c r="J161" i="26"/>
  <c r="D185" i="26"/>
  <c r="R142" i="26"/>
  <c r="K143" i="26"/>
  <c r="D144" i="26"/>
  <c r="L144" i="26"/>
  <c r="G146" i="26"/>
  <c r="O146" i="26"/>
  <c r="H147" i="26"/>
  <c r="P147" i="26"/>
  <c r="K149" i="26"/>
  <c r="D150" i="26"/>
  <c r="L150" i="26"/>
  <c r="G152" i="26"/>
  <c r="O152" i="26"/>
  <c r="H153" i="26"/>
  <c r="P153" i="26"/>
  <c r="K156" i="26"/>
  <c r="F157" i="26"/>
  <c r="N157" i="26"/>
  <c r="K161" i="26"/>
  <c r="D184" i="26"/>
  <c r="M160" i="26"/>
  <c r="E144" i="26"/>
  <c r="R144" i="26" s="1"/>
  <c r="M144" i="26"/>
  <c r="E150" i="26"/>
  <c r="R150" i="26" s="1"/>
  <c r="M150" i="26"/>
  <c r="K155" i="26"/>
  <c r="D156" i="26"/>
  <c r="L156" i="26"/>
  <c r="K160" i="26"/>
  <c r="D161" i="26"/>
  <c r="L161" i="26"/>
  <c r="D183" i="26"/>
  <c r="E160" i="26"/>
  <c r="E143" i="26"/>
  <c r="R143" i="26" s="1"/>
  <c r="M143" i="26"/>
  <c r="F144" i="26"/>
  <c r="N144" i="26"/>
  <c r="E149" i="26"/>
  <c r="M149" i="26"/>
  <c r="D167" i="26"/>
  <c r="D172" i="26"/>
  <c r="D177" i="26"/>
  <c r="N56" i="26"/>
  <c r="N54" i="26"/>
  <c r="N55" i="26"/>
  <c r="R47" i="26"/>
  <c r="J61" i="26"/>
  <c r="J49" i="26"/>
  <c r="J43" i="26"/>
  <c r="J52" i="26"/>
  <c r="J46" i="26"/>
  <c r="G46" i="26"/>
  <c r="F50" i="26"/>
  <c r="D52" i="26"/>
  <c r="O52" i="26"/>
  <c r="J53" i="26"/>
  <c r="Q54" i="26"/>
  <c r="R54" i="26" s="1"/>
  <c r="L55" i="26"/>
  <c r="G57" i="26"/>
  <c r="F59" i="26"/>
  <c r="L60" i="26"/>
  <c r="H61" i="26"/>
  <c r="K50" i="26"/>
  <c r="K44" i="26"/>
  <c r="K53" i="26"/>
  <c r="K47" i="26"/>
  <c r="H46" i="26"/>
  <c r="N47" i="26"/>
  <c r="H50" i="26"/>
  <c r="P52" i="26"/>
  <c r="I56" i="26"/>
  <c r="H57" i="26"/>
  <c r="G59" i="26"/>
  <c r="N60" i="26"/>
  <c r="P43" i="26"/>
  <c r="L44" i="26"/>
  <c r="P47" i="26"/>
  <c r="G52" i="26"/>
  <c r="I54" i="26"/>
  <c r="D60" i="26"/>
  <c r="O60" i="26"/>
  <c r="K61" i="26"/>
  <c r="E57" i="26"/>
  <c r="M57" i="26"/>
  <c r="G43" i="26"/>
  <c r="K46" i="26"/>
  <c r="F47" i="26"/>
  <c r="D49" i="26"/>
  <c r="J50" i="26"/>
  <c r="H52" i="26"/>
  <c r="D53" i="26"/>
  <c r="L56" i="26"/>
  <c r="K57" i="26"/>
  <c r="J59" i="26"/>
  <c r="P60" i="26"/>
  <c r="L61" i="26"/>
  <c r="F52" i="26"/>
  <c r="F46" i="26"/>
  <c r="F61" i="26"/>
  <c r="F49" i="26"/>
  <c r="F43" i="26"/>
  <c r="N52" i="26"/>
  <c r="N46" i="26"/>
  <c r="N61" i="26"/>
  <c r="N49" i="26"/>
  <c r="N43" i="26"/>
  <c r="N44" i="26"/>
  <c r="P53" i="26"/>
  <c r="K59" i="26"/>
  <c r="G53" i="26"/>
  <c r="G47" i="26"/>
  <c r="G50" i="26"/>
  <c r="G44" i="26"/>
  <c r="O53" i="26"/>
  <c r="O47" i="26"/>
  <c r="O50" i="26"/>
  <c r="O44" i="26"/>
  <c r="P44" i="26"/>
  <c r="G49" i="26"/>
  <c r="K52" i="26"/>
  <c r="F53" i="26"/>
  <c r="N57" i="26"/>
  <c r="H60" i="26"/>
  <c r="O61" i="26"/>
  <c r="H104" i="26"/>
  <c r="H105" i="26"/>
  <c r="H106" i="26"/>
  <c r="P104" i="26"/>
  <c r="P105" i="26"/>
  <c r="P106" i="26"/>
  <c r="K43" i="26"/>
  <c r="F44" i="26"/>
  <c r="O46" i="26"/>
  <c r="H49" i="26"/>
  <c r="N50" i="26"/>
  <c r="H53" i="26"/>
  <c r="R53" i="26"/>
  <c r="E56" i="26"/>
  <c r="O57" i="26"/>
  <c r="N59" i="26"/>
  <c r="R61" i="26"/>
  <c r="P61" i="26"/>
  <c r="I57" i="26"/>
  <c r="Q57" i="26"/>
  <c r="E60" i="26"/>
  <c r="R60" i="26" s="1"/>
  <c r="M60" i="26"/>
  <c r="Q104" i="26"/>
  <c r="Q105" i="26"/>
  <c r="Q106" i="26"/>
  <c r="R96" i="26"/>
  <c r="K111" i="26"/>
  <c r="K99" i="26"/>
  <c r="K93" i="26"/>
  <c r="K100" i="26"/>
  <c r="K94" i="26"/>
  <c r="K107" i="26"/>
  <c r="K102" i="26"/>
  <c r="K96" i="26"/>
  <c r="K103" i="26"/>
  <c r="K97" i="26"/>
  <c r="K109" i="26"/>
  <c r="K110" i="26"/>
  <c r="E93" i="26"/>
  <c r="M93" i="26"/>
  <c r="F94" i="26"/>
  <c r="N94" i="26"/>
  <c r="I96" i="26"/>
  <c r="Q96" i="26"/>
  <c r="J97" i="26"/>
  <c r="E99" i="26"/>
  <c r="R99" i="26" s="1"/>
  <c r="M99" i="26"/>
  <c r="F100" i="26"/>
  <c r="N100" i="26"/>
  <c r="I102" i="26"/>
  <c r="Q102" i="26"/>
  <c r="J103" i="26"/>
  <c r="H107" i="26"/>
  <c r="P107" i="26"/>
  <c r="D110" i="26"/>
  <c r="L110" i="26"/>
  <c r="E111" i="26"/>
  <c r="M111" i="26"/>
  <c r="D117" i="26"/>
  <c r="D122" i="26"/>
  <c r="D127" i="26"/>
  <c r="D132" i="26"/>
  <c r="F93" i="26"/>
  <c r="N93" i="26"/>
  <c r="G94" i="26"/>
  <c r="O94" i="26"/>
  <c r="J96" i="26"/>
  <c r="F99" i="26"/>
  <c r="N99" i="26"/>
  <c r="G100" i="26"/>
  <c r="O100" i="26"/>
  <c r="J102" i="26"/>
  <c r="I107" i="26"/>
  <c r="Q107" i="26"/>
  <c r="D109" i="26"/>
  <c r="L109" i="26"/>
  <c r="E110" i="26"/>
  <c r="R110" i="26" s="1"/>
  <c r="M110" i="26"/>
  <c r="F111" i="26"/>
  <c r="N111" i="26"/>
  <c r="D116" i="26"/>
  <c r="D121" i="26"/>
  <c r="D126" i="26"/>
  <c r="D131" i="26"/>
  <c r="G93" i="26"/>
  <c r="O93" i="26"/>
  <c r="H94" i="26"/>
  <c r="P94" i="26"/>
  <c r="D97" i="26"/>
  <c r="L97" i="26"/>
  <c r="G99" i="26"/>
  <c r="O99" i="26"/>
  <c r="H100" i="26"/>
  <c r="P100" i="26"/>
  <c r="D103" i="26"/>
  <c r="L103" i="26"/>
  <c r="J107" i="26"/>
  <c r="E109" i="26"/>
  <c r="R109" i="26" s="1"/>
  <c r="M109" i="26"/>
  <c r="F110" i="26"/>
  <c r="N110" i="26"/>
  <c r="G111" i="26"/>
  <c r="O111" i="26"/>
  <c r="D115" i="26"/>
  <c r="D120" i="26"/>
  <c r="D125" i="26"/>
  <c r="D130" i="26"/>
  <c r="H93" i="26"/>
  <c r="P93" i="26"/>
  <c r="I94" i="26"/>
  <c r="Q94" i="26"/>
  <c r="R94" i="26" s="1"/>
  <c r="D96" i="26"/>
  <c r="L96" i="26"/>
  <c r="E97" i="26"/>
  <c r="R97" i="26" s="1"/>
  <c r="M97" i="26"/>
  <c r="H99" i="26"/>
  <c r="P99" i="26"/>
  <c r="I100" i="26"/>
  <c r="Q100" i="26"/>
  <c r="R100" i="26" s="1"/>
  <c r="D102" i="26"/>
  <c r="L102" i="26"/>
  <c r="E103" i="26"/>
  <c r="M103" i="26"/>
  <c r="F109" i="26"/>
  <c r="N109" i="26"/>
  <c r="G110" i="26"/>
  <c r="O110" i="26"/>
  <c r="H111" i="26"/>
  <c r="P111" i="26"/>
  <c r="D114" i="26"/>
  <c r="D124" i="26"/>
  <c r="I93" i="26"/>
  <c r="Q93" i="26"/>
  <c r="I99" i="26"/>
  <c r="Q99" i="26"/>
  <c r="J100" i="26"/>
  <c r="E102" i="26"/>
  <c r="R102" i="26" s="1"/>
  <c r="M102" i="26"/>
  <c r="F103" i="26"/>
  <c r="N103" i="26"/>
  <c r="D107" i="26"/>
  <c r="L107" i="26"/>
  <c r="G109" i="26"/>
  <c r="O109" i="26"/>
  <c r="H110" i="26"/>
  <c r="P110" i="26"/>
  <c r="I111" i="26"/>
  <c r="Q111" i="26"/>
  <c r="D136" i="26"/>
  <c r="J99" i="26"/>
  <c r="F102" i="26"/>
  <c r="N102" i="26"/>
  <c r="G103" i="26"/>
  <c r="O103" i="26"/>
  <c r="E107" i="26"/>
  <c r="R107" i="26" s="1"/>
  <c r="H109" i="26"/>
  <c r="P109" i="26"/>
  <c r="I110" i="26"/>
  <c r="Q110" i="26"/>
  <c r="J111" i="26"/>
  <c r="D135" i="26"/>
  <c r="D94" i="26"/>
  <c r="L94" i="26"/>
  <c r="G96" i="26"/>
  <c r="O96" i="26"/>
  <c r="H97" i="26"/>
  <c r="P97" i="26"/>
  <c r="R54" i="25"/>
  <c r="N104" i="25"/>
  <c r="N105" i="25"/>
  <c r="N106" i="25"/>
  <c r="J57" i="25"/>
  <c r="J52" i="25"/>
  <c r="J46" i="25"/>
  <c r="J53" i="25"/>
  <c r="J47" i="25"/>
  <c r="J59" i="25"/>
  <c r="J61" i="25"/>
  <c r="J49" i="25"/>
  <c r="J43" i="25"/>
  <c r="J50" i="25"/>
  <c r="J44" i="25"/>
  <c r="H56" i="25"/>
  <c r="H54" i="25"/>
  <c r="H55" i="25"/>
  <c r="D54" i="25"/>
  <c r="D55" i="25"/>
  <c r="D56" i="25"/>
  <c r="L54" i="25"/>
  <c r="L55" i="25"/>
  <c r="L56" i="25"/>
  <c r="R52" i="25"/>
  <c r="J60" i="25"/>
  <c r="J203" i="25"/>
  <c r="J205" i="25"/>
  <c r="J204" i="25"/>
  <c r="R59" i="25"/>
  <c r="O105" i="25"/>
  <c r="O106" i="25"/>
  <c r="P56" i="25"/>
  <c r="P54" i="25"/>
  <c r="P55" i="25"/>
  <c r="G59" i="25"/>
  <c r="O59" i="25"/>
  <c r="H60" i="25"/>
  <c r="P60" i="25"/>
  <c r="M102" i="25"/>
  <c r="L105" i="25"/>
  <c r="L106" i="25"/>
  <c r="L104" i="25"/>
  <c r="M107" i="25"/>
  <c r="L203" i="25"/>
  <c r="L205" i="25"/>
  <c r="L204" i="25"/>
  <c r="K44" i="25"/>
  <c r="F46" i="25"/>
  <c r="N46" i="25"/>
  <c r="G47" i="25"/>
  <c r="O47" i="25"/>
  <c r="K50" i="25"/>
  <c r="F52" i="25"/>
  <c r="N52" i="25"/>
  <c r="G53" i="25"/>
  <c r="O53" i="25"/>
  <c r="E57" i="25"/>
  <c r="R57" i="25" s="1"/>
  <c r="M57" i="25"/>
  <c r="H59" i="25"/>
  <c r="P59" i="25"/>
  <c r="I60" i="25"/>
  <c r="Q60" i="25"/>
  <c r="K109" i="25"/>
  <c r="K110" i="25"/>
  <c r="K111" i="25"/>
  <c r="K99" i="25"/>
  <c r="K93" i="25"/>
  <c r="K107" i="25"/>
  <c r="P94" i="25"/>
  <c r="N102" i="25"/>
  <c r="P110" i="25"/>
  <c r="Q111" i="25"/>
  <c r="H150" i="25"/>
  <c r="I198" i="25"/>
  <c r="I192" i="25"/>
  <c r="I209" i="25"/>
  <c r="I199" i="25"/>
  <c r="I193" i="25"/>
  <c r="I206" i="25"/>
  <c r="I202" i="25"/>
  <c r="I196" i="25"/>
  <c r="I210" i="25"/>
  <c r="I195" i="25"/>
  <c r="I201" i="25"/>
  <c r="I208" i="25"/>
  <c r="Q210" i="25"/>
  <c r="Q198" i="25"/>
  <c r="Q192" i="25"/>
  <c r="R192" i="25" s="1"/>
  <c r="Q199" i="25"/>
  <c r="Q193" i="25"/>
  <c r="Q209" i="25"/>
  <c r="Q206" i="25"/>
  <c r="R206" i="25" s="1"/>
  <c r="Q202" i="25"/>
  <c r="Q196" i="25"/>
  <c r="Q208" i="25"/>
  <c r="Q201" i="25"/>
  <c r="R201" i="25" s="1"/>
  <c r="Q195" i="25"/>
  <c r="R191" i="25"/>
  <c r="R198" i="25"/>
  <c r="H46" i="25"/>
  <c r="P46" i="25"/>
  <c r="H52" i="25"/>
  <c r="P52" i="25"/>
  <c r="G57" i="25"/>
  <c r="O57" i="25"/>
  <c r="K60" i="25"/>
  <c r="E111" i="25"/>
  <c r="R111" i="25" s="1"/>
  <c r="E99" i="25"/>
  <c r="R99" i="25" s="1"/>
  <c r="E93" i="25"/>
  <c r="R93" i="25" s="1"/>
  <c r="E100" i="25"/>
  <c r="R92" i="25"/>
  <c r="E103" i="25"/>
  <c r="E97" i="25"/>
  <c r="R97" i="25" s="1"/>
  <c r="M111" i="25"/>
  <c r="M99" i="25"/>
  <c r="M93" i="25"/>
  <c r="M100" i="25"/>
  <c r="M103" i="25"/>
  <c r="M97" i="25"/>
  <c r="D105" i="25"/>
  <c r="D106" i="25"/>
  <c r="D104" i="25"/>
  <c r="E107" i="25"/>
  <c r="R107" i="25" s="1"/>
  <c r="E109" i="25"/>
  <c r="E110" i="25"/>
  <c r="R110" i="25" s="1"/>
  <c r="E43" i="25"/>
  <c r="R43" i="25" s="1"/>
  <c r="M43" i="25"/>
  <c r="F44" i="25"/>
  <c r="N44" i="25"/>
  <c r="I46" i="25"/>
  <c r="Q46" i="25"/>
  <c r="R46" i="25" s="1"/>
  <c r="E49" i="25"/>
  <c r="R49" i="25" s="1"/>
  <c r="M49" i="25"/>
  <c r="F50" i="25"/>
  <c r="N50" i="25"/>
  <c r="I52" i="25"/>
  <c r="Q52" i="25"/>
  <c r="R53" i="25"/>
  <c r="E56" i="25"/>
  <c r="R56" i="25" s="1"/>
  <c r="M56" i="25"/>
  <c r="H57" i="25"/>
  <c r="P57" i="25"/>
  <c r="K59" i="25"/>
  <c r="D60" i="25"/>
  <c r="L60" i="25"/>
  <c r="E61" i="25"/>
  <c r="R61" i="25" s="1"/>
  <c r="M61" i="25"/>
  <c r="F100" i="25"/>
  <c r="F94" i="25"/>
  <c r="F107" i="25"/>
  <c r="F109" i="25"/>
  <c r="N100" i="25"/>
  <c r="N94" i="25"/>
  <c r="N107" i="25"/>
  <c r="N109" i="25"/>
  <c r="H94" i="25"/>
  <c r="K96" i="25"/>
  <c r="E102" i="25"/>
  <c r="F103" i="25"/>
  <c r="F110" i="25"/>
  <c r="F43" i="25"/>
  <c r="N43" i="25"/>
  <c r="G44" i="25"/>
  <c r="O44" i="25"/>
  <c r="K47" i="25"/>
  <c r="F49" i="25"/>
  <c r="N49" i="25"/>
  <c r="G50" i="25"/>
  <c r="O50" i="25"/>
  <c r="K53" i="25"/>
  <c r="E55" i="25"/>
  <c r="R55" i="25" s="1"/>
  <c r="M55" i="25"/>
  <c r="F56" i="25"/>
  <c r="N56" i="25"/>
  <c r="D59" i="25"/>
  <c r="L59" i="25"/>
  <c r="E60" i="25"/>
  <c r="R60" i="25" s="1"/>
  <c r="M60" i="25"/>
  <c r="F61" i="25"/>
  <c r="N61" i="25"/>
  <c r="M96" i="25"/>
  <c r="N97" i="25"/>
  <c r="F102" i="25"/>
  <c r="G104" i="25"/>
  <c r="G106" i="25"/>
  <c r="I107" i="25"/>
  <c r="H109" i="25"/>
  <c r="I111" i="25"/>
  <c r="G43" i="25"/>
  <c r="O43" i="25"/>
  <c r="H44" i="25"/>
  <c r="P44" i="25"/>
  <c r="K46" i="25"/>
  <c r="D47" i="25"/>
  <c r="L47" i="25"/>
  <c r="G49" i="25"/>
  <c r="O49" i="25"/>
  <c r="H50" i="25"/>
  <c r="P50" i="25"/>
  <c r="K52" i="25"/>
  <c r="F55" i="25"/>
  <c r="N55" i="25"/>
  <c r="G61" i="25"/>
  <c r="O61" i="25"/>
  <c r="H107" i="25"/>
  <c r="H102" i="25"/>
  <c r="H96" i="25"/>
  <c r="H103" i="25"/>
  <c r="H97" i="25"/>
  <c r="H111" i="25"/>
  <c r="H99" i="25"/>
  <c r="H93" i="25"/>
  <c r="P107" i="25"/>
  <c r="P102" i="25"/>
  <c r="P96" i="25"/>
  <c r="P103" i="25"/>
  <c r="P97" i="25"/>
  <c r="P111" i="25"/>
  <c r="P99" i="25"/>
  <c r="P93" i="25"/>
  <c r="K94" i="25"/>
  <c r="F99" i="25"/>
  <c r="E156" i="25"/>
  <c r="E155" i="25"/>
  <c r="E154" i="25"/>
  <c r="R154" i="25" s="1"/>
  <c r="R153" i="25"/>
  <c r="H43" i="25"/>
  <c r="P43" i="25"/>
  <c r="H49" i="25"/>
  <c r="P49" i="25"/>
  <c r="I102" i="25"/>
  <c r="I96" i="25"/>
  <c r="I103" i="25"/>
  <c r="I97" i="25"/>
  <c r="I109" i="25"/>
  <c r="I100" i="25"/>
  <c r="I94" i="25"/>
  <c r="Q102" i="25"/>
  <c r="Q96" i="25"/>
  <c r="R96" i="25" s="1"/>
  <c r="Q103" i="25"/>
  <c r="Q97" i="25"/>
  <c r="Q109" i="25"/>
  <c r="Q100" i="25"/>
  <c r="Q94" i="25"/>
  <c r="R94" i="25" s="1"/>
  <c r="M94" i="25"/>
  <c r="K104" i="25"/>
  <c r="K105" i="25"/>
  <c r="K106" i="25"/>
  <c r="M110" i="25"/>
  <c r="H152" i="25"/>
  <c r="H146" i="25"/>
  <c r="H153" i="25"/>
  <c r="H147" i="25"/>
  <c r="H159" i="25"/>
  <c r="H143" i="25"/>
  <c r="H157" i="25"/>
  <c r="H160" i="25"/>
  <c r="H149" i="25"/>
  <c r="H144" i="25"/>
  <c r="P152" i="25"/>
  <c r="P146" i="25"/>
  <c r="P153" i="25"/>
  <c r="P147" i="25"/>
  <c r="P159" i="25"/>
  <c r="P161" i="25"/>
  <c r="P150" i="25"/>
  <c r="P160" i="25"/>
  <c r="P149" i="25"/>
  <c r="P144" i="25"/>
  <c r="P143" i="25"/>
  <c r="P157" i="25"/>
  <c r="F157" i="25"/>
  <c r="F152" i="25"/>
  <c r="F146" i="25"/>
  <c r="N157" i="25"/>
  <c r="N152" i="25"/>
  <c r="N146" i="25"/>
  <c r="E147" i="25"/>
  <c r="F150" i="25"/>
  <c r="N153" i="25"/>
  <c r="F161" i="25"/>
  <c r="H204" i="25"/>
  <c r="H205" i="25"/>
  <c r="D96" i="25"/>
  <c r="L96" i="25"/>
  <c r="D102" i="25"/>
  <c r="L102" i="25"/>
  <c r="G110" i="25"/>
  <c r="O110" i="25"/>
  <c r="G157" i="25"/>
  <c r="G152" i="25"/>
  <c r="G146" i="25"/>
  <c r="G153" i="25"/>
  <c r="G147" i="25"/>
  <c r="O157" i="25"/>
  <c r="O152" i="25"/>
  <c r="O146" i="25"/>
  <c r="O153" i="25"/>
  <c r="O147" i="25"/>
  <c r="M143" i="25"/>
  <c r="F147" i="25"/>
  <c r="G150" i="25"/>
  <c r="E152" i="25"/>
  <c r="R152" i="25" s="1"/>
  <c r="D153" i="25"/>
  <c r="L159" i="25"/>
  <c r="G161" i="25"/>
  <c r="R193" i="25"/>
  <c r="N254" i="25"/>
  <c r="I154" i="25"/>
  <c r="I155" i="25"/>
  <c r="Q154" i="25"/>
  <c r="Q155" i="25"/>
  <c r="M149" i="25"/>
  <c r="F153" i="25"/>
  <c r="N159" i="25"/>
  <c r="M160" i="25"/>
  <c r="J209" i="25"/>
  <c r="J199" i="25"/>
  <c r="J193" i="25"/>
  <c r="J201" i="25"/>
  <c r="J195" i="25"/>
  <c r="J210" i="25"/>
  <c r="J208" i="25"/>
  <c r="J206" i="25"/>
  <c r="J198" i="25"/>
  <c r="J192" i="25"/>
  <c r="O203" i="25"/>
  <c r="O204" i="25"/>
  <c r="D94" i="25"/>
  <c r="L94" i="25"/>
  <c r="G96" i="25"/>
  <c r="O96" i="25"/>
  <c r="D100" i="25"/>
  <c r="L100" i="25"/>
  <c r="E143" i="25"/>
  <c r="R143" i="25" s="1"/>
  <c r="M146" i="25"/>
  <c r="N149" i="25"/>
  <c r="J154" i="25"/>
  <c r="J155" i="25"/>
  <c r="J156" i="25"/>
  <c r="O159" i="25"/>
  <c r="N160" i="25"/>
  <c r="M161" i="25"/>
  <c r="R209" i="25"/>
  <c r="D111" i="25"/>
  <c r="L111" i="25"/>
  <c r="F143" i="25"/>
  <c r="M147" i="25"/>
  <c r="N150" i="25"/>
  <c r="K155" i="25"/>
  <c r="K156" i="25"/>
  <c r="E159" i="25"/>
  <c r="N161" i="25"/>
  <c r="D206" i="25"/>
  <c r="D201" i="25"/>
  <c r="D195" i="25"/>
  <c r="D208" i="25"/>
  <c r="D209" i="25"/>
  <c r="D198" i="25"/>
  <c r="D192" i="25"/>
  <c r="D202" i="25"/>
  <c r="D196" i="25"/>
  <c r="D210" i="25"/>
  <c r="L206" i="25"/>
  <c r="L201" i="25"/>
  <c r="L195" i="25"/>
  <c r="L208" i="25"/>
  <c r="L198" i="25"/>
  <c r="L192" i="25"/>
  <c r="L199" i="25"/>
  <c r="L193" i="25"/>
  <c r="J196" i="25"/>
  <c r="D199" i="25"/>
  <c r="H203" i="25"/>
  <c r="D161" i="25"/>
  <c r="D149" i="25"/>
  <c r="D143" i="25"/>
  <c r="D150" i="25"/>
  <c r="D144" i="25"/>
  <c r="L161" i="25"/>
  <c r="L149" i="25"/>
  <c r="L143" i="25"/>
  <c r="L150" i="25"/>
  <c r="L144" i="25"/>
  <c r="F144" i="25"/>
  <c r="D146" i="25"/>
  <c r="N147" i="25"/>
  <c r="E149" i="25"/>
  <c r="R149" i="25" s="1"/>
  <c r="L153" i="25"/>
  <c r="K154" i="25"/>
  <c r="Q156" i="25"/>
  <c r="F159" i="25"/>
  <c r="O161" i="25"/>
  <c r="L196" i="25"/>
  <c r="L209" i="25"/>
  <c r="E150" i="25"/>
  <c r="R150" i="25" s="1"/>
  <c r="E144" i="25"/>
  <c r="R144" i="25" s="1"/>
  <c r="R142" i="25"/>
  <c r="E157" i="25"/>
  <c r="R157" i="25" s="1"/>
  <c r="M150" i="25"/>
  <c r="M144" i="25"/>
  <c r="M157" i="25"/>
  <c r="E146" i="25"/>
  <c r="R146" i="25" s="1"/>
  <c r="M153" i="25"/>
  <c r="F160" i="25"/>
  <c r="E161" i="25"/>
  <c r="R161" i="25" s="1"/>
  <c r="G203" i="25"/>
  <c r="G204" i="25"/>
  <c r="G205" i="25"/>
  <c r="R208" i="25"/>
  <c r="J143" i="25"/>
  <c r="K144" i="25"/>
  <c r="J149" i="25"/>
  <c r="K150" i="25"/>
  <c r="I160" i="25"/>
  <c r="Q160" i="25"/>
  <c r="R160" i="25" s="1"/>
  <c r="J161" i="25"/>
  <c r="P204" i="25"/>
  <c r="P205" i="25"/>
  <c r="O253" i="25"/>
  <c r="O254" i="25"/>
  <c r="O252" i="25"/>
  <c r="K143" i="25"/>
  <c r="K149" i="25"/>
  <c r="I159" i="25"/>
  <c r="Q159" i="25"/>
  <c r="J160" i="25"/>
  <c r="K161" i="25"/>
  <c r="F210" i="25"/>
  <c r="F202" i="25"/>
  <c r="F196" i="25"/>
  <c r="F208" i="25"/>
  <c r="F209" i="25"/>
  <c r="F198" i="25"/>
  <c r="F192" i="25"/>
  <c r="N208" i="25"/>
  <c r="N202" i="25"/>
  <c r="N196" i="25"/>
  <c r="N198" i="25"/>
  <c r="N192" i="25"/>
  <c r="N209" i="25"/>
  <c r="I147" i="25"/>
  <c r="Q147" i="25"/>
  <c r="F195" i="25"/>
  <c r="K210" i="25"/>
  <c r="H195" i="25"/>
  <c r="P195" i="25"/>
  <c r="E199" i="25"/>
  <c r="R199" i="25" s="1"/>
  <c r="M199" i="25"/>
  <c r="H201" i="25"/>
  <c r="P201" i="25"/>
  <c r="G206" i="25"/>
  <c r="O206" i="25"/>
  <c r="Q252" i="25"/>
  <c r="Q254" i="25"/>
  <c r="Q253" i="25"/>
  <c r="H254" i="25"/>
  <c r="H252" i="25"/>
  <c r="H253" i="25"/>
  <c r="P254" i="25"/>
  <c r="P252" i="25"/>
  <c r="M244" i="25"/>
  <c r="M258" i="25"/>
  <c r="G193" i="25"/>
  <c r="O193" i="25"/>
  <c r="K196" i="25"/>
  <c r="G199" i="25"/>
  <c r="O199" i="25"/>
  <c r="K202" i="25"/>
  <c r="M210" i="25"/>
  <c r="I248" i="25"/>
  <c r="I242" i="25"/>
  <c r="I259" i="25"/>
  <c r="I251" i="25"/>
  <c r="I247" i="25"/>
  <c r="I258" i="25"/>
  <c r="I245" i="25"/>
  <c r="I241" i="25"/>
  <c r="I250" i="25"/>
  <c r="Q248" i="25"/>
  <c r="Q242" i="25"/>
  <c r="Q257" i="25"/>
  <c r="Q255" i="25"/>
  <c r="Q259" i="25"/>
  <c r="Q258" i="25"/>
  <c r="Q245" i="25"/>
  <c r="Q241" i="25"/>
  <c r="E247" i="25"/>
  <c r="R247" i="25" s="1"/>
  <c r="Q250" i="25"/>
  <c r="I257" i="25"/>
  <c r="J255" i="25"/>
  <c r="J251" i="25"/>
  <c r="J247" i="25"/>
  <c r="J258" i="25"/>
  <c r="J245" i="25"/>
  <c r="J241" i="25"/>
  <c r="J257" i="25"/>
  <c r="J244" i="25"/>
  <c r="J242" i="25"/>
  <c r="J248" i="25"/>
  <c r="H192" i="25"/>
  <c r="P192" i="25"/>
  <c r="E196" i="25"/>
  <c r="R196" i="25" s="1"/>
  <c r="M196" i="25"/>
  <c r="E202" i="25"/>
  <c r="M202" i="25"/>
  <c r="K206" i="25"/>
  <c r="O208" i="25"/>
  <c r="E210" i="25"/>
  <c r="R210" i="25" s="1"/>
  <c r="O210" i="25"/>
  <c r="K255" i="25"/>
  <c r="K250" i="25"/>
  <c r="K244" i="25"/>
  <c r="K251" i="25"/>
  <c r="K258" i="25"/>
  <c r="K245" i="25"/>
  <c r="K241" i="25"/>
  <c r="K248" i="25"/>
  <c r="K242" i="25"/>
  <c r="Q244" i="25"/>
  <c r="K247" i="25"/>
  <c r="J259" i="25"/>
  <c r="H210" i="25"/>
  <c r="P210" i="25"/>
  <c r="E195" i="25"/>
  <c r="R195" i="25" s="1"/>
  <c r="M195" i="25"/>
  <c r="G208" i="25"/>
  <c r="P208" i="25"/>
  <c r="K209" i="25"/>
  <c r="G253" i="25"/>
  <c r="G254" i="25"/>
  <c r="G252" i="25"/>
  <c r="K259" i="25"/>
  <c r="E251" i="25"/>
  <c r="E245" i="25"/>
  <c r="E257" i="25"/>
  <c r="R257" i="25" s="1"/>
  <c r="E250" i="25"/>
  <c r="R250" i="25" s="1"/>
  <c r="E248" i="25"/>
  <c r="E259" i="25"/>
  <c r="R259" i="25" s="1"/>
  <c r="E255" i="25"/>
  <c r="R255" i="25" s="1"/>
  <c r="E244" i="25"/>
  <c r="E242" i="25"/>
  <c r="R242" i="25" s="1"/>
  <c r="E258" i="25"/>
  <c r="E241" i="25"/>
  <c r="R241" i="25" s="1"/>
  <c r="M251" i="25"/>
  <c r="M245" i="25"/>
  <c r="M257" i="25"/>
  <c r="M250" i="25"/>
  <c r="M248" i="25"/>
  <c r="M247" i="25"/>
  <c r="N252" i="25"/>
  <c r="N253" i="25"/>
  <c r="M259" i="25"/>
  <c r="D250" i="25"/>
  <c r="D244" i="25"/>
  <c r="D251" i="25"/>
  <c r="D245" i="25"/>
  <c r="L250" i="25"/>
  <c r="L244" i="25"/>
  <c r="L251" i="25"/>
  <c r="L245" i="25"/>
  <c r="L242" i="25"/>
  <c r="D247" i="25"/>
  <c r="F252" i="25"/>
  <c r="F253" i="25"/>
  <c r="L255" i="25"/>
  <c r="L259" i="25"/>
  <c r="D264" i="25"/>
  <c r="D270" i="25"/>
  <c r="E272" i="25"/>
  <c r="L257" i="25"/>
  <c r="D259" i="25"/>
  <c r="D248" i="25"/>
  <c r="D283" i="25"/>
  <c r="D272" i="25"/>
  <c r="D262" i="25"/>
  <c r="D278" i="25"/>
  <c r="D273" i="25"/>
  <c r="D268" i="25"/>
  <c r="D263" i="25"/>
  <c r="D265" i="25"/>
  <c r="D274" i="25"/>
  <c r="D282" i="25"/>
  <c r="H259" i="25"/>
  <c r="H247" i="25"/>
  <c r="H241" i="25"/>
  <c r="H248" i="25"/>
  <c r="H242" i="25"/>
  <c r="P259" i="25"/>
  <c r="P247" i="25"/>
  <c r="P241" i="25"/>
  <c r="P248" i="25"/>
  <c r="P242" i="25"/>
  <c r="P244" i="25"/>
  <c r="P255" i="25"/>
  <c r="P257" i="25"/>
  <c r="E284" i="25"/>
  <c r="E278" i="25"/>
  <c r="E273" i="25"/>
  <c r="E268" i="25"/>
  <c r="E263" i="25"/>
  <c r="E279" i="25"/>
  <c r="E274" i="25"/>
  <c r="E269" i="25"/>
  <c r="E264" i="25"/>
  <c r="E265" i="25"/>
  <c r="E282" i="25"/>
  <c r="P250" i="25"/>
  <c r="E275" i="25"/>
  <c r="G241" i="25"/>
  <c r="O241" i="25"/>
  <c r="G247" i="25"/>
  <c r="O247" i="25"/>
  <c r="F258" i="25"/>
  <c r="N258" i="25"/>
  <c r="G259" i="25"/>
  <c r="O259" i="25"/>
  <c r="E214" i="24"/>
  <c r="E229" i="24"/>
  <c r="E213" i="24"/>
  <c r="E215" i="24"/>
  <c r="E216" i="24"/>
  <c r="E221" i="24"/>
  <c r="F167" i="24"/>
  <c r="F178" i="24"/>
  <c r="F182" i="24"/>
  <c r="F166" i="24"/>
  <c r="F172" i="24"/>
  <c r="F171" i="24"/>
  <c r="F173" i="24" s="1"/>
  <c r="F174" i="24"/>
  <c r="F181" i="24"/>
  <c r="F184" i="24"/>
  <c r="F177" i="24"/>
  <c r="F164" i="24"/>
  <c r="R255" i="24"/>
  <c r="D254" i="24"/>
  <c r="L254" i="24"/>
  <c r="N259" i="24"/>
  <c r="L253" i="24"/>
  <c r="G49" i="24"/>
  <c r="H109" i="24"/>
  <c r="H111" i="24"/>
  <c r="H99" i="24"/>
  <c r="H93" i="24"/>
  <c r="H100" i="24"/>
  <c r="H94" i="24"/>
  <c r="H110" i="24"/>
  <c r="H102" i="24"/>
  <c r="H96" i="24"/>
  <c r="H103" i="24"/>
  <c r="H97" i="24"/>
  <c r="P109" i="24"/>
  <c r="P99" i="24"/>
  <c r="P93" i="24"/>
  <c r="P107" i="24"/>
  <c r="P100" i="24"/>
  <c r="P94" i="24"/>
  <c r="P111" i="24"/>
  <c r="P102" i="24"/>
  <c r="P96" i="24"/>
  <c r="P110" i="24"/>
  <c r="P103" i="24"/>
  <c r="P97" i="24"/>
  <c r="O105" i="24"/>
  <c r="O106" i="24"/>
  <c r="O104" i="24"/>
  <c r="F61" i="24"/>
  <c r="F49" i="24"/>
  <c r="F43" i="24"/>
  <c r="F50" i="24"/>
  <c r="F44" i="24"/>
  <c r="F57" i="24"/>
  <c r="F52" i="24"/>
  <c r="F46" i="24"/>
  <c r="F53" i="24"/>
  <c r="F47" i="24"/>
  <c r="N61" i="24"/>
  <c r="N49" i="24"/>
  <c r="N43" i="24"/>
  <c r="N50" i="24"/>
  <c r="N44" i="24"/>
  <c r="N57" i="24"/>
  <c r="N52" i="24"/>
  <c r="N46" i="24"/>
  <c r="N53" i="24"/>
  <c r="N47" i="24"/>
  <c r="D54" i="24"/>
  <c r="D55" i="24"/>
  <c r="D56" i="24"/>
  <c r="F59" i="24"/>
  <c r="I110" i="24"/>
  <c r="I107" i="24"/>
  <c r="I100" i="24"/>
  <c r="I94" i="24"/>
  <c r="I102" i="24"/>
  <c r="I96" i="24"/>
  <c r="I103" i="24"/>
  <c r="I97" i="24"/>
  <c r="I111" i="24"/>
  <c r="I99" i="24"/>
  <c r="I93" i="24"/>
  <c r="I109" i="24"/>
  <c r="Q110" i="24"/>
  <c r="Q107" i="24"/>
  <c r="Q109" i="24"/>
  <c r="Q100" i="24"/>
  <c r="Q94" i="24"/>
  <c r="Q111" i="24"/>
  <c r="Q102" i="24"/>
  <c r="R102" i="24" s="1"/>
  <c r="Q96" i="24"/>
  <c r="Q103" i="24"/>
  <c r="Q97" i="24"/>
  <c r="R97" i="24" s="1"/>
  <c r="Q93" i="24"/>
  <c r="R93" i="24" s="1"/>
  <c r="Q99" i="24"/>
  <c r="R99" i="24" s="1"/>
  <c r="G50" i="24"/>
  <c r="G44" i="24"/>
  <c r="G57" i="24"/>
  <c r="G52" i="24"/>
  <c r="G46" i="24"/>
  <c r="G53" i="24"/>
  <c r="G47" i="24"/>
  <c r="G59" i="24"/>
  <c r="O50" i="24"/>
  <c r="O44" i="24"/>
  <c r="O57" i="24"/>
  <c r="O52" i="24"/>
  <c r="O46" i="24"/>
  <c r="O53" i="24"/>
  <c r="O47" i="24"/>
  <c r="O59" i="24"/>
  <c r="O49" i="24"/>
  <c r="E55" i="24"/>
  <c r="E56" i="24"/>
  <c r="O61" i="24"/>
  <c r="K54" i="24"/>
  <c r="K55" i="24"/>
  <c r="K56" i="24"/>
  <c r="L54" i="24"/>
  <c r="L55" i="24"/>
  <c r="L56" i="24"/>
  <c r="N59" i="24"/>
  <c r="M55" i="24"/>
  <c r="M56" i="24"/>
  <c r="F60" i="24"/>
  <c r="R96" i="24"/>
  <c r="I43" i="24"/>
  <c r="Q43" i="24"/>
  <c r="J44" i="24"/>
  <c r="E46" i="24"/>
  <c r="M46" i="24"/>
  <c r="I49" i="24"/>
  <c r="Q49" i="24"/>
  <c r="J50" i="24"/>
  <c r="E52" i="24"/>
  <c r="R52" i="24" s="1"/>
  <c r="M52" i="24"/>
  <c r="D57" i="24"/>
  <c r="L57" i="24"/>
  <c r="H60" i="24"/>
  <c r="P60" i="24"/>
  <c r="I61" i="24"/>
  <c r="Q61" i="24"/>
  <c r="J43" i="24"/>
  <c r="K44" i="24"/>
  <c r="J49" i="24"/>
  <c r="K50" i="24"/>
  <c r="E57" i="24"/>
  <c r="R57" i="24" s="1"/>
  <c r="M57" i="24"/>
  <c r="H59" i="24"/>
  <c r="P59" i="24"/>
  <c r="I60" i="24"/>
  <c r="Q60" i="24"/>
  <c r="R60" i="24" s="1"/>
  <c r="J61" i="24"/>
  <c r="R42" i="24"/>
  <c r="K43" i="24"/>
  <c r="D44" i="24"/>
  <c r="L44" i="24"/>
  <c r="H47" i="24"/>
  <c r="P47" i="24"/>
  <c r="K49" i="24"/>
  <c r="D50" i="24"/>
  <c r="L50" i="24"/>
  <c r="H53" i="24"/>
  <c r="P53" i="24"/>
  <c r="I59" i="24"/>
  <c r="Q59" i="24"/>
  <c r="R59" i="24" s="1"/>
  <c r="J60" i="24"/>
  <c r="K61" i="24"/>
  <c r="N205" i="24"/>
  <c r="N203" i="24"/>
  <c r="N204" i="24"/>
  <c r="D43" i="24"/>
  <c r="L43" i="24"/>
  <c r="E44" i="24"/>
  <c r="R44" i="24" s="1"/>
  <c r="M44" i="24"/>
  <c r="H46" i="24"/>
  <c r="P46" i="24"/>
  <c r="I47" i="24"/>
  <c r="Q47" i="24"/>
  <c r="R47" i="24" s="1"/>
  <c r="D49" i="24"/>
  <c r="L49" i="24"/>
  <c r="E50" i="24"/>
  <c r="R50" i="24" s="1"/>
  <c r="M50" i="24"/>
  <c r="H52" i="24"/>
  <c r="P52" i="24"/>
  <c r="I53" i="24"/>
  <c r="Q53" i="24"/>
  <c r="J59" i="24"/>
  <c r="K60" i="24"/>
  <c r="D61" i="24"/>
  <c r="L61" i="24"/>
  <c r="F104" i="24"/>
  <c r="F105" i="24"/>
  <c r="F106" i="24"/>
  <c r="E43" i="24"/>
  <c r="M43" i="24"/>
  <c r="I46" i="24"/>
  <c r="Q46" i="24"/>
  <c r="J47" i="24"/>
  <c r="E49" i="24"/>
  <c r="R49" i="24" s="1"/>
  <c r="M49" i="24"/>
  <c r="I52" i="24"/>
  <c r="Q52" i="24"/>
  <c r="J53" i="24"/>
  <c r="K59" i="24"/>
  <c r="D60" i="24"/>
  <c r="L60" i="24"/>
  <c r="E61" i="24"/>
  <c r="R61" i="24" s="1"/>
  <c r="M61" i="24"/>
  <c r="G105" i="24"/>
  <c r="G106" i="24"/>
  <c r="J46" i="24"/>
  <c r="K47" i="24"/>
  <c r="N106" i="24"/>
  <c r="N104" i="24"/>
  <c r="N105" i="24"/>
  <c r="R92" i="24"/>
  <c r="K93" i="24"/>
  <c r="D94" i="24"/>
  <c r="L94" i="24"/>
  <c r="G96" i="24"/>
  <c r="O96" i="24"/>
  <c r="K99" i="24"/>
  <c r="D100" i="24"/>
  <c r="L100" i="24"/>
  <c r="G102" i="24"/>
  <c r="O102" i="24"/>
  <c r="K107" i="24"/>
  <c r="J109" i="24"/>
  <c r="F110" i="24"/>
  <c r="L111" i="24"/>
  <c r="L155" i="24"/>
  <c r="L156" i="24"/>
  <c r="L154" i="24"/>
  <c r="J252" i="24"/>
  <c r="J253" i="24"/>
  <c r="J254" i="24"/>
  <c r="D93" i="24"/>
  <c r="L93" i="24"/>
  <c r="E94" i="24"/>
  <c r="M94" i="24"/>
  <c r="D99" i="24"/>
  <c r="L99" i="24"/>
  <c r="E100" i="24"/>
  <c r="R100" i="24" s="1"/>
  <c r="M100" i="24"/>
  <c r="L107" i="24"/>
  <c r="K109" i="24"/>
  <c r="G110" i="24"/>
  <c r="M111" i="24"/>
  <c r="E161" i="24"/>
  <c r="E150" i="24"/>
  <c r="E152" i="24"/>
  <c r="E159" i="24"/>
  <c r="E149" i="24"/>
  <c r="E143" i="24"/>
  <c r="R143" i="24" s="1"/>
  <c r="E160" i="24"/>
  <c r="R160" i="24" s="1"/>
  <c r="E144" i="24"/>
  <c r="R144" i="24" s="1"/>
  <c r="E153" i="24"/>
  <c r="R142" i="24"/>
  <c r="E146" i="24"/>
  <c r="E157" i="24"/>
  <c r="M161" i="24"/>
  <c r="M149" i="24"/>
  <c r="M150" i="24"/>
  <c r="M152" i="24"/>
  <c r="M143" i="24"/>
  <c r="M144" i="24"/>
  <c r="M157" i="24"/>
  <c r="M159" i="24"/>
  <c r="M146" i="24"/>
  <c r="M153" i="24"/>
  <c r="M147" i="24"/>
  <c r="O154" i="24"/>
  <c r="O155" i="24"/>
  <c r="F94" i="24"/>
  <c r="N94" i="24"/>
  <c r="M99" i="24"/>
  <c r="F100" i="24"/>
  <c r="N100" i="24"/>
  <c r="J103" i="24"/>
  <c r="N107" i="24"/>
  <c r="D111" i="24"/>
  <c r="O111" i="24"/>
  <c r="M204" i="24"/>
  <c r="M205" i="24"/>
  <c r="M203" i="24"/>
  <c r="E107" i="24"/>
  <c r="R107" i="24" s="1"/>
  <c r="E110" i="24"/>
  <c r="R110" i="24" s="1"/>
  <c r="M107" i="24"/>
  <c r="M110" i="24"/>
  <c r="F93" i="24"/>
  <c r="N93" i="24"/>
  <c r="G94" i="24"/>
  <c r="O94" i="24"/>
  <c r="J96" i="24"/>
  <c r="K97" i="24"/>
  <c r="N99" i="24"/>
  <c r="G100" i="24"/>
  <c r="O100" i="24"/>
  <c r="J102" i="24"/>
  <c r="K103" i="24"/>
  <c r="D107" i="24"/>
  <c r="O107" i="24"/>
  <c r="J110" i="24"/>
  <c r="E111" i="24"/>
  <c r="R111" i="24" s="1"/>
  <c r="G157" i="24"/>
  <c r="G152" i="24"/>
  <c r="G159" i="24"/>
  <c r="G161" i="24"/>
  <c r="G153" i="24"/>
  <c r="G146" i="24"/>
  <c r="G147" i="24"/>
  <c r="G149" i="24"/>
  <c r="G143" i="24"/>
  <c r="O157" i="24"/>
  <c r="O152" i="24"/>
  <c r="O159" i="24"/>
  <c r="O149" i="24"/>
  <c r="O146" i="24"/>
  <c r="O160" i="24"/>
  <c r="O150" i="24"/>
  <c r="O147" i="24"/>
  <c r="O161" i="24"/>
  <c r="O143" i="24"/>
  <c r="F111" i="24"/>
  <c r="N111" i="24"/>
  <c r="G93" i="24"/>
  <c r="O93" i="24"/>
  <c r="D97" i="24"/>
  <c r="L97" i="24"/>
  <c r="G99" i="24"/>
  <c r="O99" i="24"/>
  <c r="D103" i="24"/>
  <c r="L103" i="24"/>
  <c r="F107" i="24"/>
  <c r="E109" i="24"/>
  <c r="R109" i="24" s="1"/>
  <c r="G111" i="24"/>
  <c r="P144" i="24"/>
  <c r="D208" i="24"/>
  <c r="D209" i="24"/>
  <c r="D210" i="24"/>
  <c r="D198" i="24"/>
  <c r="D199" i="24"/>
  <c r="D193" i="24"/>
  <c r="D192" i="24"/>
  <c r="D201" i="24"/>
  <c r="D202" i="24"/>
  <c r="D195" i="24"/>
  <c r="D206" i="24"/>
  <c r="D196" i="24"/>
  <c r="L208" i="24"/>
  <c r="L209" i="24"/>
  <c r="L210" i="24"/>
  <c r="L198" i="24"/>
  <c r="L199" i="24"/>
  <c r="L193" i="24"/>
  <c r="L196" i="24"/>
  <c r="L192" i="24"/>
  <c r="L206" i="24"/>
  <c r="L202" i="24"/>
  <c r="L201" i="24"/>
  <c r="L195" i="24"/>
  <c r="D96" i="24"/>
  <c r="L96" i="24"/>
  <c r="D102" i="24"/>
  <c r="L102" i="24"/>
  <c r="E103" i="24"/>
  <c r="M103" i="24"/>
  <c r="F109" i="24"/>
  <c r="L110" i="24"/>
  <c r="F150" i="24"/>
  <c r="F157" i="24"/>
  <c r="F153" i="24"/>
  <c r="N150" i="24"/>
  <c r="N157" i="24"/>
  <c r="N153" i="24"/>
  <c r="H144" i="24"/>
  <c r="K146" i="24"/>
  <c r="D147" i="24"/>
  <c r="L147" i="24"/>
  <c r="H150" i="24"/>
  <c r="L152" i="24"/>
  <c r="H157" i="24"/>
  <c r="H152" i="24"/>
  <c r="H153" i="24"/>
  <c r="H160" i="24"/>
  <c r="P157" i="24"/>
  <c r="P152" i="24"/>
  <c r="P153" i="24"/>
  <c r="P160" i="24"/>
  <c r="K150" i="24"/>
  <c r="E209" i="24"/>
  <c r="E210" i="24"/>
  <c r="E198" i="24"/>
  <c r="E199" i="24"/>
  <c r="R199" i="24" s="1"/>
  <c r="E193" i="24"/>
  <c r="R193" i="24" s="1"/>
  <c r="E206" i="24"/>
  <c r="E201" i="24"/>
  <c r="E208" i="24"/>
  <c r="E202" i="24"/>
  <c r="R191" i="24"/>
  <c r="E195" i="24"/>
  <c r="E196" i="24"/>
  <c r="R196" i="24" s="1"/>
  <c r="M209" i="24"/>
  <c r="M210" i="24"/>
  <c r="M198" i="24"/>
  <c r="M199" i="24"/>
  <c r="M193" i="24"/>
  <c r="M206" i="24"/>
  <c r="M201" i="24"/>
  <c r="I251" i="24"/>
  <c r="I245" i="24"/>
  <c r="I257" i="24"/>
  <c r="I259" i="24"/>
  <c r="I247" i="24"/>
  <c r="I241" i="24"/>
  <c r="I248" i="24"/>
  <c r="I242" i="24"/>
  <c r="I255" i="24"/>
  <c r="I258" i="24"/>
  <c r="I244" i="24"/>
  <c r="I250" i="24"/>
  <c r="Q251" i="24"/>
  <c r="Q245" i="24"/>
  <c r="Q257" i="24"/>
  <c r="R257" i="24" s="1"/>
  <c r="Q259" i="24"/>
  <c r="R259" i="24" s="1"/>
  <c r="Q247" i="24"/>
  <c r="R247" i="24" s="1"/>
  <c r="Q241" i="24"/>
  <c r="R241" i="24" s="1"/>
  <c r="Q248" i="24"/>
  <c r="Q242" i="24"/>
  <c r="Q258" i="24"/>
  <c r="R258" i="24" s="1"/>
  <c r="Q250" i="24"/>
  <c r="Q244" i="24"/>
  <c r="I152" i="24"/>
  <c r="I153" i="24"/>
  <c r="I159" i="24"/>
  <c r="I161" i="24"/>
  <c r="I149" i="24"/>
  <c r="Q152" i="24"/>
  <c r="Q153" i="24"/>
  <c r="Q159" i="24"/>
  <c r="Q161" i="24"/>
  <c r="Q149" i="24"/>
  <c r="K144" i="24"/>
  <c r="D153" i="24"/>
  <c r="K157" i="24"/>
  <c r="P161" i="24"/>
  <c r="F210" i="24"/>
  <c r="F199" i="24"/>
  <c r="F206" i="24"/>
  <c r="F201" i="24"/>
  <c r="F195" i="24"/>
  <c r="F208" i="24"/>
  <c r="F202" i="24"/>
  <c r="F196" i="24"/>
  <c r="F193" i="24"/>
  <c r="F209" i="24"/>
  <c r="N210" i="24"/>
  <c r="N199" i="24"/>
  <c r="N193" i="24"/>
  <c r="N206" i="24"/>
  <c r="N201" i="24"/>
  <c r="N195" i="24"/>
  <c r="N209" i="24"/>
  <c r="N198" i="24"/>
  <c r="M195" i="24"/>
  <c r="J153" i="24"/>
  <c r="J159" i="24"/>
  <c r="J160" i="24"/>
  <c r="J150" i="24"/>
  <c r="D144" i="24"/>
  <c r="H147" i="24"/>
  <c r="P147" i="24"/>
  <c r="P150" i="24"/>
  <c r="D152" i="24"/>
  <c r="P159" i="24"/>
  <c r="Q160" i="24"/>
  <c r="E183" i="24"/>
  <c r="E178" i="24"/>
  <c r="E168" i="24"/>
  <c r="E184" i="24"/>
  <c r="E185" i="24"/>
  <c r="E173" i="24"/>
  <c r="E186" i="24"/>
  <c r="E174" i="24"/>
  <c r="E164" i="24"/>
  <c r="E182" i="24"/>
  <c r="M192" i="24"/>
  <c r="K159" i="24"/>
  <c r="K160" i="24"/>
  <c r="K161" i="24"/>
  <c r="K149" i="24"/>
  <c r="H146" i="24"/>
  <c r="P146" i="24"/>
  <c r="I147" i="24"/>
  <c r="Q147" i="24"/>
  <c r="R147" i="24" s="1"/>
  <c r="D149" i="24"/>
  <c r="P149" i="24"/>
  <c r="Q150" i="24"/>
  <c r="Q157" i="24"/>
  <c r="D160" i="24"/>
  <c r="D161" i="24"/>
  <c r="D150" i="24"/>
  <c r="D157" i="24"/>
  <c r="L160" i="24"/>
  <c r="L161" i="24"/>
  <c r="L149" i="24"/>
  <c r="L150" i="24"/>
  <c r="L157" i="24"/>
  <c r="I146" i="24"/>
  <c r="Q146" i="24"/>
  <c r="K153" i="24"/>
  <c r="N196" i="24"/>
  <c r="M208" i="24"/>
  <c r="G252" i="24"/>
  <c r="G253" i="24"/>
  <c r="G254" i="24"/>
  <c r="F165" i="24"/>
  <c r="F170" i="24"/>
  <c r="F175" i="24"/>
  <c r="F180" i="24"/>
  <c r="D186" i="24"/>
  <c r="G206" i="24"/>
  <c r="G201" i="24"/>
  <c r="G195" i="24"/>
  <c r="G202" i="24"/>
  <c r="G196" i="24"/>
  <c r="O206" i="24"/>
  <c r="O201" i="24"/>
  <c r="O195" i="24"/>
  <c r="O202" i="24"/>
  <c r="O196" i="24"/>
  <c r="H192" i="24"/>
  <c r="P192" i="24"/>
  <c r="O208" i="24"/>
  <c r="K253" i="24"/>
  <c r="K254" i="24"/>
  <c r="H206" i="24"/>
  <c r="H201" i="24"/>
  <c r="H195" i="24"/>
  <c r="H202" i="24"/>
  <c r="H196" i="24"/>
  <c r="H208" i="24"/>
  <c r="P206" i="24"/>
  <c r="P201" i="24"/>
  <c r="P195" i="24"/>
  <c r="P202" i="24"/>
  <c r="P196" i="24"/>
  <c r="P208" i="24"/>
  <c r="O254" i="24"/>
  <c r="D184" i="24"/>
  <c r="F186" i="24"/>
  <c r="I206" i="24"/>
  <c r="I201" i="24"/>
  <c r="I195" i="24"/>
  <c r="I202" i="24"/>
  <c r="I196" i="24"/>
  <c r="I208" i="24"/>
  <c r="I209" i="24"/>
  <c r="Q206" i="24"/>
  <c r="Q201" i="24"/>
  <c r="Q195" i="24"/>
  <c r="Q202" i="24"/>
  <c r="Q196" i="24"/>
  <c r="Q208" i="24"/>
  <c r="Q209" i="24"/>
  <c r="O198" i="24"/>
  <c r="P199" i="24"/>
  <c r="G209" i="24"/>
  <c r="O210" i="24"/>
  <c r="D168" i="24"/>
  <c r="D178" i="24"/>
  <c r="D183" i="24"/>
  <c r="F185" i="24"/>
  <c r="J202" i="24"/>
  <c r="J196" i="24"/>
  <c r="J208" i="24"/>
  <c r="J209" i="24"/>
  <c r="J210" i="24"/>
  <c r="J198" i="24"/>
  <c r="K192" i="24"/>
  <c r="G193" i="24"/>
  <c r="J195" i="24"/>
  <c r="P198" i="24"/>
  <c r="Q199" i="24"/>
  <c r="H209" i="24"/>
  <c r="P210" i="24"/>
  <c r="D231" i="24"/>
  <c r="D232" i="24"/>
  <c r="D234" i="24"/>
  <c r="D235" i="24"/>
  <c r="D233" i="24"/>
  <c r="D229" i="24"/>
  <c r="D236" i="24" s="1"/>
  <c r="D225" i="24"/>
  <c r="D220" i="24"/>
  <c r="D215" i="24"/>
  <c r="D226" i="24"/>
  <c r="D221" i="24"/>
  <c r="D222" i="24" s="1"/>
  <c r="D216" i="24"/>
  <c r="D227" i="24"/>
  <c r="D217" i="24"/>
  <c r="D223" i="24"/>
  <c r="K252" i="24"/>
  <c r="D167" i="24"/>
  <c r="D172" i="24"/>
  <c r="D173" i="24" s="1"/>
  <c r="D177" i="24"/>
  <c r="K202" i="24"/>
  <c r="K208" i="24"/>
  <c r="K209" i="24"/>
  <c r="K210" i="24"/>
  <c r="K198" i="24"/>
  <c r="K199" i="24"/>
  <c r="K193" i="24"/>
  <c r="H193" i="24"/>
  <c r="K195" i="24"/>
  <c r="Q198" i="24"/>
  <c r="Q210" i="24"/>
  <c r="L252" i="24"/>
  <c r="E232" i="24"/>
  <c r="E233" i="24"/>
  <c r="E235" i="24"/>
  <c r="D259" i="24"/>
  <c r="D247" i="24"/>
  <c r="D241" i="24"/>
  <c r="D248" i="24"/>
  <c r="D242" i="24"/>
  <c r="D255" i="24"/>
  <c r="D250" i="24"/>
  <c r="D244" i="24"/>
  <c r="L259" i="24"/>
  <c r="L247" i="24"/>
  <c r="L241" i="24"/>
  <c r="L248" i="24"/>
  <c r="L242" i="24"/>
  <c r="L255" i="24"/>
  <c r="L250" i="24"/>
  <c r="L244" i="24"/>
  <c r="O252" i="24"/>
  <c r="O253" i="24"/>
  <c r="L258" i="24"/>
  <c r="E264" i="24"/>
  <c r="E280" i="24"/>
  <c r="E248" i="24"/>
  <c r="E242" i="24"/>
  <c r="R242" i="24" s="1"/>
  <c r="R240" i="24"/>
  <c r="E250" i="24"/>
  <c r="R250" i="24" s="1"/>
  <c r="E244" i="24"/>
  <c r="R244" i="24" s="1"/>
  <c r="E251" i="24"/>
  <c r="E245" i="24"/>
  <c r="R245" i="24" s="1"/>
  <c r="M248" i="24"/>
  <c r="M242" i="24"/>
  <c r="M250" i="24"/>
  <c r="M244" i="24"/>
  <c r="M251" i="24"/>
  <c r="M245" i="24"/>
  <c r="D253" i="24"/>
  <c r="L257" i="24"/>
  <c r="M258" i="24"/>
  <c r="E217" i="24"/>
  <c r="E227" i="24"/>
  <c r="F255" i="24"/>
  <c r="F251" i="24"/>
  <c r="F245" i="24"/>
  <c r="F257" i="24"/>
  <c r="N255" i="24"/>
  <c r="N251" i="24"/>
  <c r="N245" i="24"/>
  <c r="N257" i="24"/>
  <c r="M241" i="24"/>
  <c r="N242" i="24"/>
  <c r="D245" i="24"/>
  <c r="D252" i="24"/>
  <c r="M257" i="24"/>
  <c r="N258" i="24"/>
  <c r="E234" i="24"/>
  <c r="E263" i="24"/>
  <c r="H241" i="24"/>
  <c r="P241" i="24"/>
  <c r="H247" i="24"/>
  <c r="P247" i="24"/>
  <c r="K255" i="24"/>
  <c r="G258" i="24"/>
  <c r="O258" i="24"/>
  <c r="H259" i="24"/>
  <c r="P259" i="24"/>
  <c r="D262" i="24"/>
  <c r="D272" i="24"/>
  <c r="J242" i="24"/>
  <c r="J248" i="24"/>
  <c r="G257" i="24"/>
  <c r="O257" i="24"/>
  <c r="H258" i="24"/>
  <c r="P258" i="24"/>
  <c r="D284" i="24"/>
  <c r="K241" i="24"/>
  <c r="G244" i="24"/>
  <c r="O244" i="24"/>
  <c r="H245" i="24"/>
  <c r="P245" i="24"/>
  <c r="K247" i="24"/>
  <c r="G250" i="24"/>
  <c r="O250" i="24"/>
  <c r="H251" i="24"/>
  <c r="P251" i="24"/>
  <c r="J258" i="24"/>
  <c r="K259" i="24"/>
  <c r="D282" i="24"/>
  <c r="H244" i="24"/>
  <c r="P244" i="24"/>
  <c r="D266" i="24"/>
  <c r="D276" i="24"/>
  <c r="J252" i="23"/>
  <c r="J253" i="23"/>
  <c r="J254" i="23"/>
  <c r="Q252" i="23"/>
  <c r="Q253" i="23"/>
  <c r="Q254" i="23"/>
  <c r="I252" i="23"/>
  <c r="I253" i="23"/>
  <c r="I254" i="23"/>
  <c r="G241" i="23"/>
  <c r="O241" i="23"/>
  <c r="H242" i="23"/>
  <c r="P242" i="23"/>
  <c r="K244" i="23"/>
  <c r="D245" i="23"/>
  <c r="L245" i="23"/>
  <c r="G247" i="23"/>
  <c r="O247" i="23"/>
  <c r="H248" i="23"/>
  <c r="P248" i="23"/>
  <c r="K250" i="23"/>
  <c r="D251" i="23"/>
  <c r="L251" i="23"/>
  <c r="J255" i="23"/>
  <c r="E257" i="23"/>
  <c r="R257" i="23" s="1"/>
  <c r="M257" i="23"/>
  <c r="F258" i="23"/>
  <c r="N258" i="23"/>
  <c r="G259" i="23"/>
  <c r="O259" i="23"/>
  <c r="D263" i="23"/>
  <c r="E264" i="23"/>
  <c r="D268" i="23"/>
  <c r="E269" i="23"/>
  <c r="D273" i="23"/>
  <c r="D278" i="23"/>
  <c r="J250" i="23"/>
  <c r="E258" i="23"/>
  <c r="H241" i="23"/>
  <c r="P241" i="23"/>
  <c r="I242" i="23"/>
  <c r="Q242" i="23"/>
  <c r="D244" i="23"/>
  <c r="L244" i="23"/>
  <c r="E245" i="23"/>
  <c r="R245" i="23" s="1"/>
  <c r="M245" i="23"/>
  <c r="H247" i="23"/>
  <c r="P247" i="23"/>
  <c r="I248" i="23"/>
  <c r="Q248" i="23"/>
  <c r="D250" i="23"/>
  <c r="L250" i="23"/>
  <c r="E251" i="23"/>
  <c r="M251" i="23"/>
  <c r="H254" i="23"/>
  <c r="P254" i="23"/>
  <c r="K255" i="23"/>
  <c r="F257" i="23"/>
  <c r="N257" i="23"/>
  <c r="G258" i="23"/>
  <c r="O258" i="23"/>
  <c r="H259" i="23"/>
  <c r="P259" i="23"/>
  <c r="D272" i="23"/>
  <c r="J244" i="23"/>
  <c r="I241" i="23"/>
  <c r="Q241" i="23"/>
  <c r="J242" i="23"/>
  <c r="E244" i="23"/>
  <c r="R244" i="23" s="1"/>
  <c r="M244" i="23"/>
  <c r="F245" i="23"/>
  <c r="N245" i="23"/>
  <c r="I247" i="23"/>
  <c r="Q247" i="23"/>
  <c r="J248" i="23"/>
  <c r="E250" i="23"/>
  <c r="R250" i="23" s="1"/>
  <c r="M250" i="23"/>
  <c r="F251" i="23"/>
  <c r="N251" i="23"/>
  <c r="H253" i="23"/>
  <c r="P253" i="23"/>
  <c r="D255" i="23"/>
  <c r="L255" i="23"/>
  <c r="G257" i="23"/>
  <c r="O257" i="23"/>
  <c r="H258" i="23"/>
  <c r="P258" i="23"/>
  <c r="I259" i="23"/>
  <c r="Q259" i="23"/>
  <c r="R259" i="23" s="1"/>
  <c r="E262" i="23"/>
  <c r="D284" i="23"/>
  <c r="M258" i="23"/>
  <c r="J241" i="23"/>
  <c r="K242" i="23"/>
  <c r="F244" i="23"/>
  <c r="N244" i="23"/>
  <c r="G245" i="23"/>
  <c r="O245" i="23"/>
  <c r="J247" i="23"/>
  <c r="K248" i="23"/>
  <c r="G251" i="23"/>
  <c r="O251" i="23"/>
  <c r="E255" i="23"/>
  <c r="R255" i="23" s="1"/>
  <c r="M255" i="23"/>
  <c r="H257" i="23"/>
  <c r="P257" i="23"/>
  <c r="I258" i="23"/>
  <c r="Q258" i="23"/>
  <c r="J259" i="23"/>
  <c r="D283" i="23"/>
  <c r="E284" i="23"/>
  <c r="R240" i="23"/>
  <c r="K254" i="23"/>
  <c r="J258" i="23"/>
  <c r="D241" i="23"/>
  <c r="L241" i="23"/>
  <c r="E242" i="23"/>
  <c r="M242" i="23"/>
  <c r="H244" i="23"/>
  <c r="P244" i="23"/>
  <c r="I245" i="23"/>
  <c r="Q245" i="23"/>
  <c r="D247" i="23"/>
  <c r="L247" i="23"/>
  <c r="E248" i="23"/>
  <c r="M248" i="23"/>
  <c r="K253" i="23"/>
  <c r="J257" i="23"/>
  <c r="D259" i="23"/>
  <c r="L259" i="23"/>
  <c r="D266" i="23"/>
  <c r="D276" i="23"/>
  <c r="E241" i="23"/>
  <c r="R241" i="23" s="1"/>
  <c r="M241" i="23"/>
  <c r="J245" i="23"/>
  <c r="E247" i="23"/>
  <c r="R247" i="23" s="1"/>
  <c r="M247" i="23"/>
  <c r="K203" i="23"/>
  <c r="K204" i="23"/>
  <c r="K205" i="23"/>
  <c r="E210" i="23"/>
  <c r="E198" i="23"/>
  <c r="E192" i="23"/>
  <c r="R192" i="23" s="1"/>
  <c r="E199" i="23"/>
  <c r="R199" i="23" s="1"/>
  <c r="E193" i="23"/>
  <c r="R193" i="23" s="1"/>
  <c r="R191" i="23"/>
  <c r="E206" i="23"/>
  <c r="R206" i="23" s="1"/>
  <c r="E208" i="23"/>
  <c r="E201" i="23"/>
  <c r="R201" i="23" s="1"/>
  <c r="E195" i="23"/>
  <c r="R195" i="23" s="1"/>
  <c r="E202" i="23"/>
  <c r="E196" i="23"/>
  <c r="M210" i="23"/>
  <c r="M198" i="23"/>
  <c r="M192" i="23"/>
  <c r="M199" i="23"/>
  <c r="M193" i="23"/>
  <c r="M206" i="23"/>
  <c r="M201" i="23"/>
  <c r="M195" i="23"/>
  <c r="M208" i="23"/>
  <c r="M202" i="23"/>
  <c r="M196" i="23"/>
  <c r="J203" i="23"/>
  <c r="J204" i="23"/>
  <c r="J205" i="23"/>
  <c r="F208" i="23"/>
  <c r="N208" i="23"/>
  <c r="G209" i="23"/>
  <c r="O209" i="23"/>
  <c r="I192" i="23"/>
  <c r="Q192" i="23"/>
  <c r="J193" i="23"/>
  <c r="F196" i="23"/>
  <c r="N196" i="23"/>
  <c r="I198" i="23"/>
  <c r="Q198" i="23"/>
  <c r="J199" i="23"/>
  <c r="F202" i="23"/>
  <c r="N202" i="23"/>
  <c r="D206" i="23"/>
  <c r="L206" i="23"/>
  <c r="G208" i="23"/>
  <c r="O208" i="23"/>
  <c r="H209" i="23"/>
  <c r="P209" i="23"/>
  <c r="I210" i="23"/>
  <c r="Q210" i="23"/>
  <c r="N209" i="23"/>
  <c r="J192" i="23"/>
  <c r="K193" i="23"/>
  <c r="F195" i="23"/>
  <c r="N195" i="23"/>
  <c r="G196" i="23"/>
  <c r="O196" i="23"/>
  <c r="J198" i="23"/>
  <c r="K199" i="23"/>
  <c r="F201" i="23"/>
  <c r="N201" i="23"/>
  <c r="G202" i="23"/>
  <c r="O202" i="23"/>
  <c r="H208" i="23"/>
  <c r="P208" i="23"/>
  <c r="I209" i="23"/>
  <c r="Q209" i="23"/>
  <c r="R209" i="23" s="1"/>
  <c r="J210" i="23"/>
  <c r="K192" i="23"/>
  <c r="D193" i="23"/>
  <c r="L193" i="23"/>
  <c r="G195" i="23"/>
  <c r="O195" i="23"/>
  <c r="H196" i="23"/>
  <c r="P196" i="23"/>
  <c r="K198" i="23"/>
  <c r="D199" i="23"/>
  <c r="L199" i="23"/>
  <c r="G201" i="23"/>
  <c r="O201" i="23"/>
  <c r="H202" i="23"/>
  <c r="P202" i="23"/>
  <c r="F206" i="23"/>
  <c r="N206" i="23"/>
  <c r="I208" i="23"/>
  <c r="Q208" i="23"/>
  <c r="J209" i="23"/>
  <c r="K210" i="23"/>
  <c r="D192" i="23"/>
  <c r="L192" i="23"/>
  <c r="H195" i="23"/>
  <c r="P195" i="23"/>
  <c r="I196" i="23"/>
  <c r="Q196" i="23"/>
  <c r="D198" i="23"/>
  <c r="L198" i="23"/>
  <c r="H201" i="23"/>
  <c r="P201" i="23"/>
  <c r="I202" i="23"/>
  <c r="Q202" i="23"/>
  <c r="D205" i="23"/>
  <c r="L205" i="23"/>
  <c r="J208" i="23"/>
  <c r="K209" i="23"/>
  <c r="D210" i="23"/>
  <c r="L210" i="23"/>
  <c r="F209" i="23"/>
  <c r="F193" i="23"/>
  <c r="N193" i="23"/>
  <c r="I195" i="23"/>
  <c r="Q195" i="23"/>
  <c r="J196" i="23"/>
  <c r="J153" i="23"/>
  <c r="J147" i="23"/>
  <c r="J161" i="23"/>
  <c r="J149" i="23"/>
  <c r="J143" i="23"/>
  <c r="J150" i="23"/>
  <c r="J144" i="23"/>
  <c r="J152" i="23"/>
  <c r="J146" i="23"/>
  <c r="Q155" i="23"/>
  <c r="Q156" i="23"/>
  <c r="R156" i="23" s="1"/>
  <c r="K159" i="23"/>
  <c r="K150" i="23"/>
  <c r="K144" i="23"/>
  <c r="K157" i="23"/>
  <c r="K153" i="23"/>
  <c r="K147" i="23"/>
  <c r="D155" i="23"/>
  <c r="D154" i="23"/>
  <c r="J157" i="23"/>
  <c r="J160" i="23"/>
  <c r="H154" i="23"/>
  <c r="H155" i="23"/>
  <c r="H156" i="23"/>
  <c r="F150" i="23"/>
  <c r="F144" i="23"/>
  <c r="F152" i="23"/>
  <c r="F146" i="23"/>
  <c r="F153" i="23"/>
  <c r="F147" i="23"/>
  <c r="F159" i="23"/>
  <c r="F160" i="23"/>
  <c r="F161" i="23"/>
  <c r="F149" i="23"/>
  <c r="F143" i="23"/>
  <c r="N150" i="23"/>
  <c r="N144" i="23"/>
  <c r="N152" i="23"/>
  <c r="N146" i="23"/>
  <c r="N153" i="23"/>
  <c r="N147" i="23"/>
  <c r="N159" i="23"/>
  <c r="N160" i="23"/>
  <c r="N161" i="23"/>
  <c r="N149" i="23"/>
  <c r="N143" i="23"/>
  <c r="K143" i="23"/>
  <c r="I155" i="23"/>
  <c r="I156" i="23"/>
  <c r="D156" i="23"/>
  <c r="G154" i="23"/>
  <c r="G155" i="23"/>
  <c r="O154" i="23"/>
  <c r="O155" i="23"/>
  <c r="K152" i="23"/>
  <c r="L155" i="23"/>
  <c r="L154" i="23"/>
  <c r="Q154" i="23"/>
  <c r="R154" i="23" s="1"/>
  <c r="G156" i="23"/>
  <c r="J159" i="23"/>
  <c r="K161" i="23"/>
  <c r="R147" i="23"/>
  <c r="H157" i="23"/>
  <c r="P157" i="23"/>
  <c r="M156" i="23"/>
  <c r="K146" i="23"/>
  <c r="P154" i="23"/>
  <c r="P155" i="23"/>
  <c r="P156" i="23"/>
  <c r="L156" i="23"/>
  <c r="F157" i="23"/>
  <c r="G144" i="23"/>
  <c r="O144" i="23"/>
  <c r="G150" i="23"/>
  <c r="O150" i="23"/>
  <c r="E155" i="23"/>
  <c r="M155" i="23"/>
  <c r="I157" i="23"/>
  <c r="Q157" i="23"/>
  <c r="D159" i="23"/>
  <c r="L159" i="23"/>
  <c r="E160" i="23"/>
  <c r="R160" i="23" s="1"/>
  <c r="M160" i="23"/>
  <c r="G160" i="23"/>
  <c r="O160" i="23"/>
  <c r="I143" i="23"/>
  <c r="Q143" i="23"/>
  <c r="E146" i="23"/>
  <c r="R146" i="23" s="1"/>
  <c r="M146" i="23"/>
  <c r="I149" i="23"/>
  <c r="Q149" i="23"/>
  <c r="E152" i="23"/>
  <c r="R152" i="23" s="1"/>
  <c r="M152" i="23"/>
  <c r="D157" i="23"/>
  <c r="L157" i="23"/>
  <c r="G159" i="23"/>
  <c r="O159" i="23"/>
  <c r="H160" i="23"/>
  <c r="P160" i="23"/>
  <c r="I161" i="23"/>
  <c r="Q161" i="23"/>
  <c r="R161" i="23" s="1"/>
  <c r="G147" i="23"/>
  <c r="O147" i="23"/>
  <c r="E157" i="23"/>
  <c r="R157" i="23" s="1"/>
  <c r="M157" i="23"/>
  <c r="H159" i="23"/>
  <c r="P159" i="23"/>
  <c r="I160" i="23"/>
  <c r="Q160" i="23"/>
  <c r="E143" i="23"/>
  <c r="M143" i="23"/>
  <c r="I146" i="23"/>
  <c r="Q146" i="23"/>
  <c r="E149" i="23"/>
  <c r="R149" i="23" s="1"/>
  <c r="M149" i="23"/>
  <c r="R153" i="23"/>
  <c r="E50" i="23"/>
  <c r="E44" i="23"/>
  <c r="E57" i="23"/>
  <c r="R57" i="23" s="1"/>
  <c r="E52" i="23"/>
  <c r="R52" i="23" s="1"/>
  <c r="E46" i="23"/>
  <c r="R46" i="23" s="1"/>
  <c r="E53" i="23"/>
  <c r="E47" i="23"/>
  <c r="E59" i="23"/>
  <c r="D61" i="23"/>
  <c r="D49" i="23"/>
  <c r="D43" i="23"/>
  <c r="D57" i="23"/>
  <c r="D52" i="23"/>
  <c r="D46" i="23"/>
  <c r="D53" i="23"/>
  <c r="D47" i="23"/>
  <c r="L61" i="23"/>
  <c r="L49" i="23"/>
  <c r="L43" i="23"/>
  <c r="L57" i="23"/>
  <c r="L52" i="23"/>
  <c r="L46" i="23"/>
  <c r="L53" i="23"/>
  <c r="L47" i="23"/>
  <c r="D50" i="23"/>
  <c r="E61" i="23"/>
  <c r="R61" i="23" s="1"/>
  <c r="H54" i="23"/>
  <c r="H55" i="23"/>
  <c r="H56" i="23"/>
  <c r="M61" i="23"/>
  <c r="E49" i="23"/>
  <c r="R49" i="23" s="1"/>
  <c r="L50" i="23"/>
  <c r="J53" i="23"/>
  <c r="L59" i="23"/>
  <c r="M50" i="23"/>
  <c r="M44" i="23"/>
  <c r="M57" i="23"/>
  <c r="M52" i="23"/>
  <c r="M46" i="23"/>
  <c r="M53" i="23"/>
  <c r="M47" i="23"/>
  <c r="M59" i="23"/>
  <c r="K56" i="23"/>
  <c r="D60" i="23"/>
  <c r="I55" i="23"/>
  <c r="I56" i="23"/>
  <c r="Q55" i="23"/>
  <c r="Q56" i="23"/>
  <c r="P54" i="23"/>
  <c r="P55" i="23"/>
  <c r="P56" i="23"/>
  <c r="E60" i="23"/>
  <c r="J59" i="23"/>
  <c r="J60" i="23"/>
  <c r="J61" i="23"/>
  <c r="J49" i="23"/>
  <c r="J43" i="23"/>
  <c r="J50" i="23"/>
  <c r="J44" i="23"/>
  <c r="J57" i="23"/>
  <c r="R42" i="23"/>
  <c r="D44" i="23"/>
  <c r="M49" i="23"/>
  <c r="J52" i="23"/>
  <c r="L60" i="23"/>
  <c r="E43" i="23"/>
  <c r="R43" i="23" s="1"/>
  <c r="M60" i="23"/>
  <c r="G43" i="23"/>
  <c r="O43" i="23"/>
  <c r="H44" i="23"/>
  <c r="P44" i="23"/>
  <c r="K46" i="23"/>
  <c r="G49" i="23"/>
  <c r="O49" i="23"/>
  <c r="H50" i="23"/>
  <c r="P50" i="23"/>
  <c r="K52" i="23"/>
  <c r="F60" i="23"/>
  <c r="N60" i="23"/>
  <c r="G61" i="23"/>
  <c r="O61" i="23"/>
  <c r="D65" i="23"/>
  <c r="D70" i="23"/>
  <c r="D80" i="23"/>
  <c r="D86" i="23"/>
  <c r="H43" i="23"/>
  <c r="P43" i="23"/>
  <c r="I44" i="23"/>
  <c r="Q44" i="23"/>
  <c r="H49" i="23"/>
  <c r="P49" i="23"/>
  <c r="I50" i="23"/>
  <c r="Q50" i="23"/>
  <c r="K57" i="23"/>
  <c r="F59" i="23"/>
  <c r="N59" i="23"/>
  <c r="G60" i="23"/>
  <c r="O60" i="23"/>
  <c r="H61" i="23"/>
  <c r="P61" i="23"/>
  <c r="D64" i="23"/>
  <c r="G102" i="23"/>
  <c r="G96" i="23"/>
  <c r="G103" i="23"/>
  <c r="G97" i="23"/>
  <c r="G109" i="23"/>
  <c r="G110" i="23"/>
  <c r="G111" i="23"/>
  <c r="G99" i="23"/>
  <c r="G93" i="23"/>
  <c r="G100" i="23"/>
  <c r="G94" i="23"/>
  <c r="G107" i="23"/>
  <c r="F47" i="23"/>
  <c r="N47" i="23"/>
  <c r="I49" i="23"/>
  <c r="Q49" i="23"/>
  <c r="F53" i="23"/>
  <c r="N53" i="23"/>
  <c r="G59" i="23"/>
  <c r="O59" i="23"/>
  <c r="H60" i="23"/>
  <c r="P60" i="23"/>
  <c r="I61" i="23"/>
  <c r="Q61" i="23"/>
  <c r="D85" i="23"/>
  <c r="D83" i="23"/>
  <c r="D84" i="23"/>
  <c r="H104" i="23"/>
  <c r="H105" i="23"/>
  <c r="H106" i="23"/>
  <c r="P104" i="23"/>
  <c r="P105" i="23"/>
  <c r="P106" i="23"/>
  <c r="K44" i="23"/>
  <c r="F46" i="23"/>
  <c r="N46" i="23"/>
  <c r="G47" i="23"/>
  <c r="O47" i="23"/>
  <c r="K50" i="23"/>
  <c r="G53" i="23"/>
  <c r="O53" i="23"/>
  <c r="H59" i="23"/>
  <c r="P59" i="23"/>
  <c r="I60" i="23"/>
  <c r="Q60" i="23"/>
  <c r="I109" i="23"/>
  <c r="I110" i="23"/>
  <c r="I111" i="23"/>
  <c r="I99" i="23"/>
  <c r="I93" i="23"/>
  <c r="I100" i="23"/>
  <c r="I94" i="23"/>
  <c r="I107" i="23"/>
  <c r="I102" i="23"/>
  <c r="I96" i="23"/>
  <c r="I103" i="23"/>
  <c r="I97" i="23"/>
  <c r="I59" i="23"/>
  <c r="Q59" i="23"/>
  <c r="K61" i="23"/>
  <c r="H46" i="23"/>
  <c r="P46" i="23"/>
  <c r="I47" i="23"/>
  <c r="Q47" i="23"/>
  <c r="D68" i="23"/>
  <c r="D78" i="23"/>
  <c r="D93" i="23"/>
  <c r="L93" i="23"/>
  <c r="E94" i="23"/>
  <c r="M94" i="23"/>
  <c r="H96" i="23"/>
  <c r="P96" i="23"/>
  <c r="Q97" i="23"/>
  <c r="D99" i="23"/>
  <c r="L99" i="23"/>
  <c r="E100" i="23"/>
  <c r="M100" i="23"/>
  <c r="H102" i="23"/>
  <c r="P102" i="23"/>
  <c r="Q103" i="23"/>
  <c r="O107" i="23"/>
  <c r="J109" i="23"/>
  <c r="K110" i="23"/>
  <c r="D111" i="23"/>
  <c r="L111" i="23"/>
  <c r="E93" i="23"/>
  <c r="M93" i="23"/>
  <c r="F94" i="23"/>
  <c r="N94" i="23"/>
  <c r="Q96" i="23"/>
  <c r="J97" i="23"/>
  <c r="E99" i="23"/>
  <c r="M99" i="23"/>
  <c r="F100" i="23"/>
  <c r="N100" i="23"/>
  <c r="Q102" i="23"/>
  <c r="J103" i="23"/>
  <c r="H107" i="23"/>
  <c r="P107" i="23"/>
  <c r="K109" i="23"/>
  <c r="D110" i="23"/>
  <c r="L110" i="23"/>
  <c r="E111" i="23"/>
  <c r="M111" i="23"/>
  <c r="F93" i="23"/>
  <c r="N93" i="23"/>
  <c r="O94" i="23"/>
  <c r="J96" i="23"/>
  <c r="K97" i="23"/>
  <c r="F99" i="23"/>
  <c r="N99" i="23"/>
  <c r="O100" i="23"/>
  <c r="J102" i="23"/>
  <c r="K103" i="23"/>
  <c r="Q107" i="23"/>
  <c r="D109" i="23"/>
  <c r="L109" i="23"/>
  <c r="E110" i="23"/>
  <c r="R110" i="23" s="1"/>
  <c r="M110" i="23"/>
  <c r="F111" i="23"/>
  <c r="N111" i="23"/>
  <c r="O93" i="23"/>
  <c r="H94" i="23"/>
  <c r="P94" i="23"/>
  <c r="K96" i="23"/>
  <c r="D97" i="23"/>
  <c r="L97" i="23"/>
  <c r="O99" i="23"/>
  <c r="H100" i="23"/>
  <c r="P100" i="23"/>
  <c r="K102" i="23"/>
  <c r="D103" i="23"/>
  <c r="L103" i="23"/>
  <c r="J107" i="23"/>
  <c r="E109" i="23"/>
  <c r="R109" i="23" s="1"/>
  <c r="M109" i="23"/>
  <c r="F110" i="23"/>
  <c r="N110" i="23"/>
  <c r="O111" i="23"/>
  <c r="H93" i="23"/>
  <c r="P93" i="23"/>
  <c r="Q94" i="23"/>
  <c r="D96" i="23"/>
  <c r="L96" i="23"/>
  <c r="E97" i="23"/>
  <c r="R97" i="23" s="1"/>
  <c r="M97" i="23"/>
  <c r="H99" i="23"/>
  <c r="P99" i="23"/>
  <c r="Q100" i="23"/>
  <c r="D102" i="23"/>
  <c r="L102" i="23"/>
  <c r="E103" i="23"/>
  <c r="M103" i="23"/>
  <c r="K107" i="23"/>
  <c r="F109" i="23"/>
  <c r="N109" i="23"/>
  <c r="O110" i="23"/>
  <c r="H111" i="23"/>
  <c r="P111" i="23"/>
  <c r="Q93" i="23"/>
  <c r="J94" i="23"/>
  <c r="E96" i="23"/>
  <c r="R96" i="23" s="1"/>
  <c r="M96" i="23"/>
  <c r="F97" i="23"/>
  <c r="N97" i="23"/>
  <c r="Q99" i="23"/>
  <c r="J100" i="23"/>
  <c r="E102" i="23"/>
  <c r="M102" i="23"/>
  <c r="F103" i="23"/>
  <c r="N103" i="23"/>
  <c r="D107" i="23"/>
  <c r="L107" i="23"/>
  <c r="O109" i="23"/>
  <c r="H110" i="23"/>
  <c r="P110" i="23"/>
  <c r="Q111" i="23"/>
  <c r="J93" i="23"/>
  <c r="K94" i="23"/>
  <c r="F96" i="23"/>
  <c r="N96" i="23"/>
  <c r="O97" i="23"/>
  <c r="J99" i="23"/>
  <c r="K100" i="23"/>
  <c r="F102" i="23"/>
  <c r="N102" i="23"/>
  <c r="O103" i="23"/>
  <c r="E107" i="23"/>
  <c r="R107" i="23" s="1"/>
  <c r="H109" i="23"/>
  <c r="P109" i="23"/>
  <c r="Q110" i="23"/>
  <c r="J111" i="23"/>
  <c r="K93" i="23"/>
  <c r="D94" i="23"/>
  <c r="L94" i="23"/>
  <c r="O96" i="23"/>
  <c r="H97" i="23"/>
  <c r="P97" i="23"/>
  <c r="K99" i="23"/>
  <c r="E15" i="14"/>
  <c r="E135" i="15"/>
  <c r="E114" i="15"/>
  <c r="E118" i="15"/>
  <c r="E125" i="15"/>
  <c r="E130" i="15"/>
  <c r="E126" i="15"/>
  <c r="E117" i="15"/>
  <c r="E134" i="15"/>
  <c r="E131" i="15"/>
  <c r="E124" i="15"/>
  <c r="E116" i="15"/>
  <c r="E122" i="15"/>
  <c r="E128" i="15"/>
  <c r="E133" i="15"/>
  <c r="E120" i="15"/>
  <c r="E127" i="15"/>
  <c r="E132" i="15"/>
  <c r="E115" i="15"/>
  <c r="E121" i="15"/>
  <c r="K59" i="15"/>
  <c r="K49" i="15"/>
  <c r="K50" i="15"/>
  <c r="P60" i="15"/>
  <c r="H59" i="15"/>
  <c r="K60" i="15"/>
  <c r="K57" i="15"/>
  <c r="K53" i="15"/>
  <c r="K54" i="15" s="1"/>
  <c r="N61" i="15"/>
  <c r="O47" i="15"/>
  <c r="G61" i="15"/>
  <c r="G59" i="15"/>
  <c r="G53" i="15"/>
  <c r="G54" i="15" s="1"/>
  <c r="N50" i="15"/>
  <c r="N47" i="15"/>
  <c r="F61" i="15"/>
  <c r="G60" i="15"/>
  <c r="O57" i="15"/>
  <c r="F53" i="15"/>
  <c r="F56" i="15" s="1"/>
  <c r="O46" i="15"/>
  <c r="O43" i="15"/>
  <c r="O53" i="15"/>
  <c r="O55" i="15" s="1"/>
  <c r="N57" i="15"/>
  <c r="O52" i="15"/>
  <c r="G50" i="15"/>
  <c r="G46" i="15"/>
  <c r="N43" i="15"/>
  <c r="G52" i="15"/>
  <c r="O44" i="15"/>
  <c r="O50" i="15"/>
  <c r="O59" i="15"/>
  <c r="N52" i="15"/>
  <c r="F50" i="15"/>
  <c r="F46" i="15"/>
  <c r="O61" i="15"/>
  <c r="O60" i="15"/>
  <c r="N59" i="15"/>
  <c r="G57" i="15"/>
  <c r="E46" i="15"/>
  <c r="R46" i="15" s="1"/>
  <c r="K56" i="15"/>
  <c r="K55" i="15"/>
  <c r="G49" i="15"/>
  <c r="G47" i="15"/>
  <c r="K47" i="15"/>
  <c r="N60" i="15"/>
  <c r="F60" i="15"/>
  <c r="F49" i="15"/>
  <c r="F47" i="15"/>
  <c r="F43" i="15"/>
  <c r="J47" i="15"/>
  <c r="M60" i="15"/>
  <c r="E60" i="15"/>
  <c r="N53" i="15"/>
  <c r="N56" i="15" s="1"/>
  <c r="G44" i="15"/>
  <c r="L60" i="15"/>
  <c r="D60" i="15"/>
  <c r="F59" i="15"/>
  <c r="N49" i="15"/>
  <c r="N44" i="15"/>
  <c r="F44" i="15"/>
  <c r="M49" i="15"/>
  <c r="L49" i="15"/>
  <c r="E61" i="15"/>
  <c r="L61" i="15"/>
  <c r="D61" i="15"/>
  <c r="E53" i="15"/>
  <c r="M50" i="15"/>
  <c r="E50" i="15"/>
  <c r="E43" i="15"/>
  <c r="D53" i="15"/>
  <c r="D56" i="15" s="1"/>
  <c r="L50" i="15"/>
  <c r="D50" i="15"/>
  <c r="D43" i="15"/>
  <c r="R60" i="15"/>
  <c r="E59" i="15"/>
  <c r="M57" i="15"/>
  <c r="M53" i="15"/>
  <c r="M56" i="15" s="1"/>
  <c r="E52" i="15"/>
  <c r="M47" i="15"/>
  <c r="E47" i="15"/>
  <c r="M46" i="15"/>
  <c r="M43" i="15"/>
  <c r="M59" i="15"/>
  <c r="D59" i="15"/>
  <c r="J57" i="15"/>
  <c r="L57" i="15"/>
  <c r="L53" i="15"/>
  <c r="L56" i="15" s="1"/>
  <c r="D52" i="15"/>
  <c r="J50" i="15"/>
  <c r="L47" i="15"/>
  <c r="D47" i="15"/>
  <c r="L46" i="15"/>
  <c r="L43" i="15"/>
  <c r="P57" i="15"/>
  <c r="H57" i="15"/>
  <c r="L59" i="15"/>
  <c r="E57" i="15"/>
  <c r="M44" i="15"/>
  <c r="E44" i="15"/>
  <c r="K43" i="15"/>
  <c r="M61" i="15"/>
  <c r="D57" i="15"/>
  <c r="J53" i="15"/>
  <c r="L44" i="15"/>
  <c r="D44" i="15"/>
  <c r="J43" i="15"/>
  <c r="O54" i="15"/>
  <c r="Q43" i="15"/>
  <c r="Q53" i="15"/>
  <c r="I53" i="15"/>
  <c r="P52" i="15"/>
  <c r="H52" i="15"/>
  <c r="Q47" i="15"/>
  <c r="I47" i="15"/>
  <c r="P46" i="15"/>
  <c r="H46" i="15"/>
  <c r="Q59" i="15"/>
  <c r="I59" i="15"/>
  <c r="P53" i="15"/>
  <c r="H53" i="15"/>
  <c r="P47" i="15"/>
  <c r="H47" i="15"/>
  <c r="R42" i="15"/>
  <c r="Q49" i="15"/>
  <c r="R49" i="15" s="1"/>
  <c r="P61" i="15"/>
  <c r="H61" i="15"/>
  <c r="N54" i="15"/>
  <c r="F54" i="15"/>
  <c r="Q50" i="15"/>
  <c r="I50" i="15"/>
  <c r="P49" i="15"/>
  <c r="H49" i="15"/>
  <c r="Q44" i="15"/>
  <c r="I44" i="15"/>
  <c r="P43" i="15"/>
  <c r="H43" i="15"/>
  <c r="I61" i="15"/>
  <c r="I49" i="15"/>
  <c r="G56" i="15"/>
  <c r="N55" i="15"/>
  <c r="F55" i="15"/>
  <c r="P50" i="15"/>
  <c r="H50" i="15"/>
  <c r="K46" i="15"/>
  <c r="P44" i="15"/>
  <c r="H44" i="15"/>
  <c r="Q61" i="15"/>
  <c r="I43" i="15"/>
  <c r="Q57" i="15"/>
  <c r="R57" i="15" s="1"/>
  <c r="I57" i="15"/>
  <c r="J46" i="15"/>
  <c r="Q52" i="15"/>
  <c r="I52" i="15"/>
  <c r="C29" i="14"/>
  <c r="C33" i="14"/>
  <c r="C31" i="14"/>
  <c r="C49" i="14"/>
  <c r="C51" i="14"/>
  <c r="C53" i="14"/>
  <c r="B56" i="14"/>
  <c r="R52" i="15" l="1"/>
  <c r="E137" i="15"/>
  <c r="D163" i="23"/>
  <c r="D51" i="14"/>
  <c r="D113" i="23"/>
  <c r="D49" i="14"/>
  <c r="F55" i="14"/>
  <c r="F261" i="25"/>
  <c r="F261" i="24"/>
  <c r="F261" i="23"/>
  <c r="E266" i="24"/>
  <c r="E276" i="24"/>
  <c r="E274" i="24"/>
  <c r="E275" i="24"/>
  <c r="E284" i="24"/>
  <c r="E278" i="24"/>
  <c r="E279" i="24"/>
  <c r="E273" i="24"/>
  <c r="E268" i="24"/>
  <c r="E265" i="24"/>
  <c r="E282" i="24"/>
  <c r="E270" i="24"/>
  <c r="E283" i="24"/>
  <c r="E269" i="24"/>
  <c r="E272" i="24"/>
  <c r="E262" i="24"/>
  <c r="D359" i="26"/>
  <c r="D31" i="14"/>
  <c r="E129" i="15"/>
  <c r="E119" i="15"/>
  <c r="F179" i="24"/>
  <c r="D53" i="14"/>
  <c r="D212" i="23"/>
  <c r="D408" i="26"/>
  <c r="D33" i="14"/>
  <c r="D310" i="26"/>
  <c r="D29" i="14"/>
  <c r="E123" i="15"/>
  <c r="E283" i="23"/>
  <c r="E281" i="23"/>
  <c r="E276" i="23"/>
  <c r="E270" i="23"/>
  <c r="E266" i="23"/>
  <c r="E280" i="23"/>
  <c r="E275" i="23"/>
  <c r="E265" i="23"/>
  <c r="E282" i="23"/>
  <c r="E272" i="23"/>
  <c r="E263" i="23"/>
  <c r="E267" i="23" s="1"/>
  <c r="E268" i="23"/>
  <c r="E273" i="23"/>
  <c r="E278" i="23"/>
  <c r="E274" i="23"/>
  <c r="E279" i="23"/>
  <c r="E187" i="24"/>
  <c r="D169" i="24"/>
  <c r="E228" i="26"/>
  <c r="D134" i="15"/>
  <c r="D124" i="15"/>
  <c r="D120" i="15"/>
  <c r="D133" i="15"/>
  <c r="D122" i="15"/>
  <c r="D123" i="15" s="1"/>
  <c r="D132" i="15"/>
  <c r="D121" i="15"/>
  <c r="D131" i="15"/>
  <c r="D130" i="15"/>
  <c r="D115" i="15"/>
  <c r="D128" i="15"/>
  <c r="D118" i="15"/>
  <c r="D125" i="15"/>
  <c r="D129" i="15" s="1"/>
  <c r="D117" i="15"/>
  <c r="D135" i="15"/>
  <c r="D126" i="15"/>
  <c r="D116" i="15"/>
  <c r="D114" i="15"/>
  <c r="D127" i="15"/>
  <c r="D136" i="15"/>
  <c r="D218" i="24"/>
  <c r="E169" i="24"/>
  <c r="D129" i="26"/>
  <c r="D173" i="26"/>
  <c r="D63" i="15"/>
  <c r="D63" i="26"/>
  <c r="F212" i="24"/>
  <c r="F43" i="14"/>
  <c r="D179" i="26"/>
  <c r="E113" i="26"/>
  <c r="E21" i="14"/>
  <c r="D63" i="24"/>
  <c r="D37" i="14"/>
  <c r="E224" i="24"/>
  <c r="E231" i="24"/>
  <c r="E225" i="24"/>
  <c r="E223" i="24"/>
  <c r="E228" i="24" s="1"/>
  <c r="E236" i="24"/>
  <c r="E226" i="24"/>
  <c r="E230" i="24"/>
  <c r="E220" i="24"/>
  <c r="E219" i="24"/>
  <c r="E281" i="25"/>
  <c r="E262" i="25"/>
  <c r="E267" i="25" s="1"/>
  <c r="E266" i="25"/>
  <c r="E283" i="25"/>
  <c r="E270" i="25"/>
  <c r="E271" i="25" s="1"/>
  <c r="E280" i="25"/>
  <c r="E276" i="25"/>
  <c r="E277" i="25" s="1"/>
  <c r="D113" i="24"/>
  <c r="D39" i="14"/>
  <c r="F168" i="24"/>
  <c r="F169" i="24" s="1"/>
  <c r="F183" i="24"/>
  <c r="F187" i="24" s="1"/>
  <c r="F176" i="24"/>
  <c r="D187" i="24"/>
  <c r="E63" i="23"/>
  <c r="E47" i="14"/>
  <c r="E222" i="26"/>
  <c r="G41" i="14"/>
  <c r="G163" i="24"/>
  <c r="D261" i="26"/>
  <c r="D27" i="14"/>
  <c r="D262" i="23"/>
  <c r="D270" i="23"/>
  <c r="D282" i="23"/>
  <c r="D280" i="23"/>
  <c r="D275" i="23"/>
  <c r="D265" i="23"/>
  <c r="D281" i="23"/>
  <c r="D279" i="23"/>
  <c r="D264" i="23"/>
  <c r="D274" i="23"/>
  <c r="D269" i="23"/>
  <c r="D271" i="23" s="1"/>
  <c r="D14" i="23"/>
  <c r="D75" i="23"/>
  <c r="D74" i="23"/>
  <c r="D66" i="23"/>
  <c r="D69" i="23" s="1"/>
  <c r="D81" i="23"/>
  <c r="D67" i="23"/>
  <c r="D71" i="23"/>
  <c r="D72" i="23"/>
  <c r="D76" i="23"/>
  <c r="D82" i="23"/>
  <c r="D87" i="23" s="1"/>
  <c r="D77" i="23"/>
  <c r="B67" i="14"/>
  <c r="C57" i="14"/>
  <c r="D281" i="24"/>
  <c r="D273" i="24"/>
  <c r="D277" i="24" s="1"/>
  <c r="D265" i="24"/>
  <c r="D270" i="24"/>
  <c r="D283" i="24"/>
  <c r="D268" i="24"/>
  <c r="D279" i="24"/>
  <c r="D264" i="24"/>
  <c r="D269" i="24"/>
  <c r="D278" i="24"/>
  <c r="D263" i="24"/>
  <c r="D275" i="24"/>
  <c r="D280" i="24"/>
  <c r="D274" i="24"/>
  <c r="F25" i="14"/>
  <c r="F212" i="26"/>
  <c r="E163" i="26"/>
  <c r="E23" i="14"/>
  <c r="D280" i="25"/>
  <c r="D269" i="25"/>
  <c r="D271" i="25" s="1"/>
  <c r="D279" i="25"/>
  <c r="D284" i="25"/>
  <c r="D281" i="25"/>
  <c r="D275" i="25"/>
  <c r="E224" i="26"/>
  <c r="E232" i="26"/>
  <c r="E214" i="26"/>
  <c r="E218" i="26" s="1"/>
  <c r="E213" i="26"/>
  <c r="E229" i="26"/>
  <c r="E221" i="26"/>
  <c r="E220" i="26"/>
  <c r="E215" i="26"/>
  <c r="D166" i="26"/>
  <c r="D171" i="26"/>
  <c r="D182" i="26"/>
  <c r="D168" i="26"/>
  <c r="D181" i="26"/>
  <c r="D169" i="26"/>
  <c r="D119" i="26"/>
  <c r="R241" i="26"/>
  <c r="R248" i="26"/>
  <c r="R242" i="26"/>
  <c r="R244" i="26"/>
  <c r="Q401" i="26"/>
  <c r="J253" i="26"/>
  <c r="J252" i="26"/>
  <c r="G253" i="26"/>
  <c r="G252" i="26"/>
  <c r="D137" i="26"/>
  <c r="R245" i="26"/>
  <c r="R402" i="26"/>
  <c r="I401" i="26"/>
  <c r="P399" i="26"/>
  <c r="P401" i="26"/>
  <c r="H351" i="26"/>
  <c r="H352" i="26"/>
  <c r="H350" i="26"/>
  <c r="N252" i="26"/>
  <c r="N254" i="26"/>
  <c r="D204" i="26"/>
  <c r="D203" i="26"/>
  <c r="D123" i="26"/>
  <c r="R149" i="26"/>
  <c r="Q400" i="26"/>
  <c r="L155" i="26"/>
  <c r="L154" i="26"/>
  <c r="F302" i="26"/>
  <c r="F301" i="26"/>
  <c r="D155" i="26"/>
  <c r="D154" i="26"/>
  <c r="M55" i="26"/>
  <c r="M56" i="26"/>
  <c r="M54" i="26"/>
  <c r="H399" i="26"/>
  <c r="H401" i="26"/>
  <c r="I106" i="26"/>
  <c r="O253" i="26"/>
  <c r="O252" i="26"/>
  <c r="P351" i="26"/>
  <c r="P350" i="26"/>
  <c r="P352" i="26"/>
  <c r="I105" i="26"/>
  <c r="R196" i="26"/>
  <c r="J399" i="26"/>
  <c r="J155" i="26"/>
  <c r="J154" i="26"/>
  <c r="D218" i="26"/>
  <c r="D228" i="26"/>
  <c r="L204" i="26"/>
  <c r="L203" i="26"/>
  <c r="Q55" i="26"/>
  <c r="Q56" i="26"/>
  <c r="R56" i="26" s="1"/>
  <c r="R55" i="26"/>
  <c r="K399" i="26"/>
  <c r="K400" i="26"/>
  <c r="K401" i="26"/>
  <c r="G399" i="26"/>
  <c r="G400" i="26"/>
  <c r="G401" i="26"/>
  <c r="M401" i="26"/>
  <c r="M399" i="26"/>
  <c r="M400" i="26"/>
  <c r="R388" i="26"/>
  <c r="N399" i="26"/>
  <c r="N400" i="26"/>
  <c r="N401" i="26"/>
  <c r="E401" i="26"/>
  <c r="R401" i="26" s="1"/>
  <c r="R398" i="26"/>
  <c r="E399" i="26"/>
  <c r="R399" i="26" s="1"/>
  <c r="E400" i="26"/>
  <c r="R400" i="26" s="1"/>
  <c r="O399" i="26"/>
  <c r="O400" i="26"/>
  <c r="O401" i="26"/>
  <c r="F399" i="26"/>
  <c r="F400" i="26"/>
  <c r="F401" i="26"/>
  <c r="D400" i="26"/>
  <c r="D401" i="26"/>
  <c r="D399" i="26"/>
  <c r="L400" i="26"/>
  <c r="L401" i="26"/>
  <c r="L399" i="26"/>
  <c r="M352" i="26"/>
  <c r="M350" i="26"/>
  <c r="M351" i="26"/>
  <c r="O350" i="26"/>
  <c r="O351" i="26"/>
  <c r="O352" i="26"/>
  <c r="L351" i="26"/>
  <c r="L352" i="26"/>
  <c r="L350" i="26"/>
  <c r="R355" i="26"/>
  <c r="G350" i="26"/>
  <c r="G351" i="26"/>
  <c r="G352" i="26"/>
  <c r="D351" i="26"/>
  <c r="D352" i="26"/>
  <c r="D350" i="26"/>
  <c r="R343" i="26"/>
  <c r="E352" i="26"/>
  <c r="R352" i="26" s="1"/>
  <c r="R349" i="26"/>
  <c r="E351" i="26"/>
  <c r="R351" i="26" s="1"/>
  <c r="E350" i="26"/>
  <c r="R350" i="26" s="1"/>
  <c r="R339" i="26"/>
  <c r="R356" i="26"/>
  <c r="R345" i="26"/>
  <c r="R357" i="26"/>
  <c r="L302" i="26"/>
  <c r="L303" i="26"/>
  <c r="L301" i="26"/>
  <c r="E303" i="26"/>
  <c r="R300" i="26"/>
  <c r="E301" i="26"/>
  <c r="E302" i="26"/>
  <c r="Q301" i="26"/>
  <c r="Q302" i="26"/>
  <c r="Q303" i="26"/>
  <c r="M303" i="26"/>
  <c r="M301" i="26"/>
  <c r="M302" i="26"/>
  <c r="P301" i="26"/>
  <c r="P302" i="26"/>
  <c r="P303" i="26"/>
  <c r="H301" i="26"/>
  <c r="H303" i="26"/>
  <c r="H302" i="26"/>
  <c r="I301" i="26"/>
  <c r="I302" i="26"/>
  <c r="I303" i="26"/>
  <c r="R293" i="26"/>
  <c r="R306" i="26"/>
  <c r="D302" i="26"/>
  <c r="D303" i="26"/>
  <c r="D301" i="26"/>
  <c r="O303" i="26"/>
  <c r="O301" i="26"/>
  <c r="O302" i="26"/>
  <c r="G303" i="26"/>
  <c r="G302" i="26"/>
  <c r="G301" i="26"/>
  <c r="R247" i="26"/>
  <c r="H252" i="26"/>
  <c r="H253" i="26"/>
  <c r="H254" i="26"/>
  <c r="E254" i="26"/>
  <c r="R254" i="26" s="1"/>
  <c r="R251" i="26"/>
  <c r="E253" i="26"/>
  <c r="E252" i="26"/>
  <c r="Q252" i="26"/>
  <c r="Q253" i="26"/>
  <c r="Q254" i="26"/>
  <c r="I252" i="26"/>
  <c r="I253" i="26"/>
  <c r="I254" i="26"/>
  <c r="L253" i="26"/>
  <c r="L254" i="26"/>
  <c r="L252" i="26"/>
  <c r="D253" i="26"/>
  <c r="D254" i="26"/>
  <c r="D252" i="26"/>
  <c r="P252" i="26"/>
  <c r="P253" i="26"/>
  <c r="P254" i="26"/>
  <c r="M254" i="26"/>
  <c r="M253" i="26"/>
  <c r="M252" i="26"/>
  <c r="M205" i="26"/>
  <c r="M203" i="26"/>
  <c r="M204" i="26"/>
  <c r="Q203" i="26"/>
  <c r="Q204" i="26"/>
  <c r="Q205" i="26"/>
  <c r="P205" i="26"/>
  <c r="P203" i="26"/>
  <c r="P204" i="26"/>
  <c r="R209" i="26"/>
  <c r="I203" i="26"/>
  <c r="I204" i="26"/>
  <c r="I205" i="26"/>
  <c r="H205" i="26"/>
  <c r="H203" i="26"/>
  <c r="H204" i="26"/>
  <c r="R195" i="26"/>
  <c r="N203" i="26"/>
  <c r="N204" i="26"/>
  <c r="N205" i="26"/>
  <c r="O204" i="26"/>
  <c r="O203" i="26"/>
  <c r="O205" i="26"/>
  <c r="F203" i="26"/>
  <c r="F204" i="26"/>
  <c r="F205" i="26"/>
  <c r="E205" i="26"/>
  <c r="R202" i="26"/>
  <c r="E203" i="26"/>
  <c r="E204" i="26"/>
  <c r="R208" i="26"/>
  <c r="G204" i="26"/>
  <c r="G203" i="26"/>
  <c r="G205" i="26"/>
  <c r="N156" i="26"/>
  <c r="N154" i="26"/>
  <c r="N155" i="26"/>
  <c r="P154" i="26"/>
  <c r="P155" i="26"/>
  <c r="P156" i="26"/>
  <c r="F155" i="26"/>
  <c r="F156" i="26"/>
  <c r="F154" i="26"/>
  <c r="H154" i="26"/>
  <c r="H155" i="26"/>
  <c r="H156" i="26"/>
  <c r="O156" i="26"/>
  <c r="O154" i="26"/>
  <c r="O155" i="26"/>
  <c r="G154" i="26"/>
  <c r="G156" i="26"/>
  <c r="G155" i="26"/>
  <c r="M156" i="26"/>
  <c r="M155" i="26"/>
  <c r="M154" i="26"/>
  <c r="E156" i="26"/>
  <c r="R156" i="26" s="1"/>
  <c r="R153" i="26"/>
  <c r="E154" i="26"/>
  <c r="R154" i="26" s="1"/>
  <c r="E155" i="26"/>
  <c r="R155" i="26" s="1"/>
  <c r="R160" i="26"/>
  <c r="F104" i="26"/>
  <c r="F105" i="26"/>
  <c r="F106" i="26"/>
  <c r="M104" i="26"/>
  <c r="M105" i="26"/>
  <c r="M106" i="26"/>
  <c r="D54" i="26"/>
  <c r="D56" i="26"/>
  <c r="D55" i="26"/>
  <c r="R57" i="26"/>
  <c r="E104" i="26"/>
  <c r="R104" i="26" s="1"/>
  <c r="E105" i="26"/>
  <c r="R105" i="26" s="1"/>
  <c r="E106" i="26"/>
  <c r="R106" i="26" s="1"/>
  <c r="R103" i="26"/>
  <c r="J105" i="26"/>
  <c r="J106" i="26"/>
  <c r="J104" i="26"/>
  <c r="H54" i="26"/>
  <c r="H55" i="26"/>
  <c r="H56" i="26"/>
  <c r="O56" i="26"/>
  <c r="O55" i="26"/>
  <c r="O54" i="26"/>
  <c r="F56" i="26"/>
  <c r="F55" i="26"/>
  <c r="F54" i="26"/>
  <c r="O104" i="26"/>
  <c r="O105" i="26"/>
  <c r="O106" i="26"/>
  <c r="P54" i="26"/>
  <c r="P56" i="26"/>
  <c r="P55" i="26"/>
  <c r="G104" i="26"/>
  <c r="G105" i="26"/>
  <c r="G106" i="26"/>
  <c r="R111" i="26"/>
  <c r="K106" i="26"/>
  <c r="K104" i="26"/>
  <c r="K105" i="26"/>
  <c r="J56" i="26"/>
  <c r="J55" i="26"/>
  <c r="J54" i="26"/>
  <c r="L104" i="26"/>
  <c r="L105" i="26"/>
  <c r="L106" i="26"/>
  <c r="G56" i="26"/>
  <c r="G55" i="26"/>
  <c r="G54" i="26"/>
  <c r="K55" i="26"/>
  <c r="K54" i="26"/>
  <c r="K56" i="26"/>
  <c r="N104" i="26"/>
  <c r="N105" i="26"/>
  <c r="N106" i="26"/>
  <c r="D104" i="26"/>
  <c r="D105" i="26"/>
  <c r="D106" i="26"/>
  <c r="R93" i="26"/>
  <c r="R258" i="25"/>
  <c r="R245" i="25"/>
  <c r="O156" i="25"/>
  <c r="O155" i="25"/>
  <c r="O154" i="25"/>
  <c r="R155" i="25"/>
  <c r="E252" i="25"/>
  <c r="R252" i="25" s="1"/>
  <c r="E254" i="25"/>
  <c r="R254" i="25" s="1"/>
  <c r="R251" i="25"/>
  <c r="E253" i="25"/>
  <c r="R253" i="25" s="1"/>
  <c r="K204" i="25"/>
  <c r="K203" i="25"/>
  <c r="K205" i="25"/>
  <c r="R156" i="25"/>
  <c r="F104" i="25"/>
  <c r="F105" i="25"/>
  <c r="F106" i="25"/>
  <c r="M106" i="25"/>
  <c r="M104" i="25"/>
  <c r="M105" i="25"/>
  <c r="R100" i="25"/>
  <c r="R244" i="25"/>
  <c r="I254" i="25"/>
  <c r="I253" i="25"/>
  <c r="I252" i="25"/>
  <c r="F203" i="25"/>
  <c r="F205" i="25"/>
  <c r="F204" i="25"/>
  <c r="D156" i="25"/>
  <c r="D155" i="25"/>
  <c r="D154" i="25"/>
  <c r="N156" i="25"/>
  <c r="N154" i="25"/>
  <c r="N155" i="25"/>
  <c r="R102" i="25"/>
  <c r="Q205" i="25"/>
  <c r="Q203" i="25"/>
  <c r="Q204" i="25"/>
  <c r="E106" i="25"/>
  <c r="R103" i="25"/>
  <c r="E105" i="25"/>
  <c r="E104" i="25"/>
  <c r="I205" i="25"/>
  <c r="I203" i="25"/>
  <c r="I204" i="25"/>
  <c r="D267" i="25"/>
  <c r="L253" i="25"/>
  <c r="L254" i="25"/>
  <c r="L252" i="25"/>
  <c r="N203" i="25"/>
  <c r="N205" i="25"/>
  <c r="N204" i="25"/>
  <c r="D203" i="25"/>
  <c r="D205" i="25"/>
  <c r="D204" i="25"/>
  <c r="R159" i="25"/>
  <c r="R109" i="25"/>
  <c r="D277" i="25"/>
  <c r="M155" i="25"/>
  <c r="M154" i="25"/>
  <c r="M156" i="25"/>
  <c r="L156" i="25"/>
  <c r="L154" i="25"/>
  <c r="L155" i="25"/>
  <c r="R147" i="25"/>
  <c r="P154" i="25"/>
  <c r="P156" i="25"/>
  <c r="P155" i="25"/>
  <c r="I104" i="25"/>
  <c r="I105" i="25"/>
  <c r="I106" i="25"/>
  <c r="J54" i="25"/>
  <c r="J56" i="25"/>
  <c r="J55" i="25"/>
  <c r="D252" i="25"/>
  <c r="D253" i="25"/>
  <c r="D254" i="25"/>
  <c r="G55" i="25"/>
  <c r="G56" i="25"/>
  <c r="G54" i="25"/>
  <c r="R248" i="25"/>
  <c r="K253" i="25"/>
  <c r="K252" i="25"/>
  <c r="K254" i="25"/>
  <c r="M204" i="25"/>
  <c r="M205" i="25"/>
  <c r="M203" i="25"/>
  <c r="J254" i="25"/>
  <c r="J253" i="25"/>
  <c r="J252" i="25"/>
  <c r="G156" i="25"/>
  <c r="G155" i="25"/>
  <c r="G154" i="25"/>
  <c r="Q104" i="25"/>
  <c r="Q105" i="25"/>
  <c r="Q106" i="25"/>
  <c r="K54" i="25"/>
  <c r="K55" i="25"/>
  <c r="K56" i="25"/>
  <c r="M252" i="25"/>
  <c r="M253" i="25"/>
  <c r="M254" i="25"/>
  <c r="E204" i="25"/>
  <c r="R204" i="25" s="1"/>
  <c r="E203" i="25"/>
  <c r="R203" i="25" s="1"/>
  <c r="E205" i="25"/>
  <c r="R205" i="25" s="1"/>
  <c r="R202" i="25"/>
  <c r="F156" i="25"/>
  <c r="F155" i="25"/>
  <c r="F154" i="25"/>
  <c r="H154" i="25"/>
  <c r="H155" i="25"/>
  <c r="H156" i="25"/>
  <c r="P106" i="25"/>
  <c r="P104" i="25"/>
  <c r="P105" i="25"/>
  <c r="H106" i="25"/>
  <c r="H105" i="25"/>
  <c r="H104" i="25"/>
  <c r="O55" i="25"/>
  <c r="O56" i="25"/>
  <c r="O54" i="25"/>
  <c r="E218" i="24"/>
  <c r="E179" i="24"/>
  <c r="D179" i="24"/>
  <c r="E271" i="24"/>
  <c r="E277" i="24"/>
  <c r="J106" i="24"/>
  <c r="J104" i="24"/>
  <c r="J105" i="24"/>
  <c r="H54" i="24"/>
  <c r="H55" i="24"/>
  <c r="H56" i="24"/>
  <c r="R55" i="24"/>
  <c r="N56" i="24"/>
  <c r="N55" i="24"/>
  <c r="N54" i="24"/>
  <c r="P253" i="24"/>
  <c r="P254" i="24"/>
  <c r="P252" i="24"/>
  <c r="E267" i="24"/>
  <c r="E252" i="24"/>
  <c r="R252" i="24" s="1"/>
  <c r="E253" i="24"/>
  <c r="R253" i="24" s="1"/>
  <c r="E254" i="24"/>
  <c r="R251" i="24"/>
  <c r="M156" i="24"/>
  <c r="M155" i="24"/>
  <c r="M154" i="24"/>
  <c r="R94" i="24"/>
  <c r="R206" i="24"/>
  <c r="K154" i="24"/>
  <c r="K155" i="24"/>
  <c r="K156" i="24"/>
  <c r="L104" i="24"/>
  <c r="L105" i="24"/>
  <c r="L106" i="24"/>
  <c r="F56" i="24"/>
  <c r="F55" i="24"/>
  <c r="F54" i="24"/>
  <c r="N252" i="24"/>
  <c r="N253" i="24"/>
  <c r="N254" i="24"/>
  <c r="M252" i="24"/>
  <c r="M254" i="24"/>
  <c r="M253" i="24"/>
  <c r="J203" i="24"/>
  <c r="J204" i="24"/>
  <c r="J205" i="24"/>
  <c r="F205" i="24"/>
  <c r="F203" i="24"/>
  <c r="F204" i="24"/>
  <c r="R195" i="24"/>
  <c r="R198" i="24"/>
  <c r="N156" i="24"/>
  <c r="N154" i="24"/>
  <c r="N155" i="24"/>
  <c r="E104" i="24"/>
  <c r="R104" i="24" s="1"/>
  <c r="E105" i="24"/>
  <c r="E106" i="24"/>
  <c r="R103" i="24"/>
  <c r="D104" i="24"/>
  <c r="D105" i="24"/>
  <c r="D106" i="24"/>
  <c r="R157" i="24"/>
  <c r="R159" i="24"/>
  <c r="H106" i="24"/>
  <c r="H105" i="24"/>
  <c r="H104" i="24"/>
  <c r="H203" i="24"/>
  <c r="H204" i="24"/>
  <c r="H205" i="24"/>
  <c r="G205" i="24"/>
  <c r="G203" i="24"/>
  <c r="G204" i="24"/>
  <c r="L203" i="24"/>
  <c r="L204" i="24"/>
  <c r="L205" i="24"/>
  <c r="R149" i="24"/>
  <c r="K203" i="24"/>
  <c r="K204" i="24"/>
  <c r="K205" i="24"/>
  <c r="I203" i="24"/>
  <c r="I204" i="24"/>
  <c r="I205" i="24"/>
  <c r="J154" i="24"/>
  <c r="J155" i="24"/>
  <c r="J156" i="24"/>
  <c r="R210" i="24"/>
  <c r="H155" i="24"/>
  <c r="H154" i="24"/>
  <c r="H156" i="24"/>
  <c r="R146" i="24"/>
  <c r="R152" i="24"/>
  <c r="O54" i="24"/>
  <c r="O55" i="24"/>
  <c r="O56" i="24"/>
  <c r="G54" i="24"/>
  <c r="G56" i="24"/>
  <c r="G55" i="24"/>
  <c r="I104" i="24"/>
  <c r="I105" i="24"/>
  <c r="I106" i="24"/>
  <c r="Q203" i="24"/>
  <c r="Q204" i="24"/>
  <c r="Q205" i="24"/>
  <c r="O204" i="24"/>
  <c r="O205" i="24"/>
  <c r="O203" i="24"/>
  <c r="Q154" i="24"/>
  <c r="Q156" i="24"/>
  <c r="Q155" i="24"/>
  <c r="E204" i="24"/>
  <c r="R204" i="24" s="1"/>
  <c r="E205" i="24"/>
  <c r="R205" i="24" s="1"/>
  <c r="R202" i="24"/>
  <c r="E203" i="24"/>
  <c r="R203" i="24" s="1"/>
  <c r="R209" i="24"/>
  <c r="G154" i="24"/>
  <c r="G155" i="24"/>
  <c r="G156" i="24"/>
  <c r="K104" i="24"/>
  <c r="K105" i="24"/>
  <c r="K106" i="24"/>
  <c r="R150" i="24"/>
  <c r="Q54" i="24"/>
  <c r="R54" i="24" s="1"/>
  <c r="Q55" i="24"/>
  <c r="Q56" i="24"/>
  <c r="R56" i="24" s="1"/>
  <c r="P155" i="24"/>
  <c r="P156" i="24"/>
  <c r="P154" i="24"/>
  <c r="P203" i="24"/>
  <c r="P204" i="24"/>
  <c r="P205" i="24"/>
  <c r="I252" i="24"/>
  <c r="I254" i="24"/>
  <c r="I253" i="24"/>
  <c r="R248" i="24"/>
  <c r="D228" i="24"/>
  <c r="Q252" i="24"/>
  <c r="Q254" i="24"/>
  <c r="Q253" i="24"/>
  <c r="R208" i="24"/>
  <c r="F154" i="24"/>
  <c r="F155" i="24"/>
  <c r="F156" i="24"/>
  <c r="E156" i="24"/>
  <c r="R156" i="24" s="1"/>
  <c r="R153" i="24"/>
  <c r="E154" i="24"/>
  <c r="R154" i="24" s="1"/>
  <c r="E155" i="24"/>
  <c r="R161" i="24"/>
  <c r="J54" i="24"/>
  <c r="J55" i="24"/>
  <c r="J56" i="24"/>
  <c r="I54" i="24"/>
  <c r="I55" i="24"/>
  <c r="I56" i="24"/>
  <c r="R53" i="24"/>
  <c r="Q106" i="24"/>
  <c r="Q104" i="24"/>
  <c r="Q105" i="24"/>
  <c r="D155" i="24"/>
  <c r="D156" i="24"/>
  <c r="D154" i="24"/>
  <c r="H253" i="24"/>
  <c r="H254" i="24"/>
  <c r="H252" i="24"/>
  <c r="I154" i="24"/>
  <c r="I156" i="24"/>
  <c r="I155" i="24"/>
  <c r="M104" i="24"/>
  <c r="M105" i="24"/>
  <c r="M106" i="24"/>
  <c r="F252" i="24"/>
  <c r="F253" i="24"/>
  <c r="F254" i="24"/>
  <c r="R201" i="24"/>
  <c r="D203" i="24"/>
  <c r="D204" i="24"/>
  <c r="D205" i="24"/>
  <c r="R43" i="24"/>
  <c r="P54" i="24"/>
  <c r="P55" i="24"/>
  <c r="P56" i="24"/>
  <c r="R46" i="24"/>
  <c r="P106" i="24"/>
  <c r="P105" i="24"/>
  <c r="P104" i="24"/>
  <c r="E271" i="23"/>
  <c r="D277" i="23"/>
  <c r="R258" i="23"/>
  <c r="O252" i="23"/>
  <c r="O253" i="23"/>
  <c r="O254" i="23"/>
  <c r="L253" i="23"/>
  <c r="L254" i="23"/>
  <c r="L252" i="23"/>
  <c r="G252" i="23"/>
  <c r="G253" i="23"/>
  <c r="G254" i="23"/>
  <c r="N252" i="23"/>
  <c r="N254" i="23"/>
  <c r="N253" i="23"/>
  <c r="D253" i="23"/>
  <c r="D254" i="23"/>
  <c r="D252" i="23"/>
  <c r="F252" i="23"/>
  <c r="F253" i="23"/>
  <c r="F254" i="23"/>
  <c r="E254" i="23"/>
  <c r="R254" i="23" s="1"/>
  <c r="R251" i="23"/>
  <c r="E253" i="23"/>
  <c r="R253" i="23" s="1"/>
  <c r="E252" i="23"/>
  <c r="R252" i="23" s="1"/>
  <c r="R248" i="23"/>
  <c r="R242" i="23"/>
  <c r="M254" i="23"/>
  <c r="M253" i="23"/>
  <c r="M252" i="23"/>
  <c r="E205" i="23"/>
  <c r="R202" i="23"/>
  <c r="E203" i="23"/>
  <c r="E204" i="23"/>
  <c r="I203" i="23"/>
  <c r="I204" i="23"/>
  <c r="I205" i="23"/>
  <c r="P203" i="23"/>
  <c r="P204" i="23"/>
  <c r="P205" i="23"/>
  <c r="H203" i="23"/>
  <c r="H204" i="23"/>
  <c r="H205" i="23"/>
  <c r="F204" i="23"/>
  <c r="F203" i="23"/>
  <c r="F205" i="23"/>
  <c r="R210" i="23"/>
  <c r="N204" i="23"/>
  <c r="N203" i="23"/>
  <c r="N205" i="23"/>
  <c r="R198" i="23"/>
  <c r="M205" i="23"/>
  <c r="M203" i="23"/>
  <c r="M204" i="23"/>
  <c r="R208" i="23"/>
  <c r="Q203" i="23"/>
  <c r="Q204" i="23"/>
  <c r="Q205" i="23"/>
  <c r="O205" i="23"/>
  <c r="O203" i="23"/>
  <c r="O204" i="23"/>
  <c r="G203" i="23"/>
  <c r="G204" i="23"/>
  <c r="G205" i="23"/>
  <c r="R196" i="23"/>
  <c r="R143" i="23"/>
  <c r="N154" i="23"/>
  <c r="N156" i="23"/>
  <c r="N155" i="23"/>
  <c r="R155" i="23"/>
  <c r="F154" i="23"/>
  <c r="F156" i="23"/>
  <c r="F155" i="23"/>
  <c r="K154" i="23"/>
  <c r="K156" i="23"/>
  <c r="K155" i="23"/>
  <c r="J156" i="23"/>
  <c r="J154" i="23"/>
  <c r="J155" i="23"/>
  <c r="N104" i="23"/>
  <c r="N105" i="23"/>
  <c r="N106" i="23"/>
  <c r="K106" i="23"/>
  <c r="K104" i="23"/>
  <c r="K105" i="23"/>
  <c r="J105" i="23"/>
  <c r="J106" i="23"/>
  <c r="J104" i="23"/>
  <c r="Q104" i="23"/>
  <c r="Q105" i="23"/>
  <c r="Q106" i="23"/>
  <c r="I104" i="23"/>
  <c r="I105" i="23"/>
  <c r="I106" i="23"/>
  <c r="R60" i="23"/>
  <c r="E54" i="23"/>
  <c r="R54" i="23" s="1"/>
  <c r="R53" i="23"/>
  <c r="E55" i="23"/>
  <c r="R55" i="23" s="1"/>
  <c r="E56" i="23"/>
  <c r="R56" i="23" s="1"/>
  <c r="R111" i="23"/>
  <c r="O104" i="23"/>
  <c r="O105" i="23"/>
  <c r="O106" i="23"/>
  <c r="R102" i="23"/>
  <c r="R93" i="23"/>
  <c r="R94" i="23"/>
  <c r="R44" i="23"/>
  <c r="F104" i="23"/>
  <c r="F105" i="23"/>
  <c r="F106" i="23"/>
  <c r="R100" i="23"/>
  <c r="G104" i="23"/>
  <c r="G105" i="23"/>
  <c r="G106" i="23"/>
  <c r="M104" i="23"/>
  <c r="M105" i="23"/>
  <c r="M106" i="23"/>
  <c r="L104" i="23"/>
  <c r="L105" i="23"/>
  <c r="L106" i="23"/>
  <c r="R99" i="23"/>
  <c r="O54" i="23"/>
  <c r="O55" i="23"/>
  <c r="O56" i="23"/>
  <c r="N54" i="23"/>
  <c r="N55" i="23"/>
  <c r="N56" i="23"/>
  <c r="R50" i="23"/>
  <c r="E104" i="23"/>
  <c r="R104" i="23" s="1"/>
  <c r="E105" i="23"/>
  <c r="E106" i="23"/>
  <c r="R103" i="23"/>
  <c r="D104" i="23"/>
  <c r="D105" i="23"/>
  <c r="D106" i="23"/>
  <c r="G54" i="23"/>
  <c r="G55" i="23"/>
  <c r="G56" i="23"/>
  <c r="F54" i="23"/>
  <c r="F55" i="23"/>
  <c r="F56" i="23"/>
  <c r="M54" i="23"/>
  <c r="M56" i="23"/>
  <c r="M55" i="23"/>
  <c r="R59" i="23"/>
  <c r="J54" i="23"/>
  <c r="J56" i="23"/>
  <c r="J55" i="23"/>
  <c r="L56" i="23"/>
  <c r="L55" i="23"/>
  <c r="L54" i="23"/>
  <c r="D56" i="23"/>
  <c r="D54" i="23"/>
  <c r="D55" i="23"/>
  <c r="R47" i="23"/>
  <c r="F113" i="15"/>
  <c r="F15" i="14"/>
  <c r="G55" i="15"/>
  <c r="R61" i="15"/>
  <c r="R50" i="15"/>
  <c r="R47" i="15"/>
  <c r="O56" i="15"/>
  <c r="E54" i="15"/>
  <c r="E55" i="15"/>
  <c r="R44" i="15"/>
  <c r="J54" i="15"/>
  <c r="J56" i="15"/>
  <c r="J55" i="15"/>
  <c r="M55" i="15"/>
  <c r="M54" i="15"/>
  <c r="R59" i="15"/>
  <c r="E56" i="15"/>
  <c r="D54" i="15"/>
  <c r="D55" i="15"/>
  <c r="R43" i="15"/>
  <c r="L54" i="15"/>
  <c r="L55" i="15"/>
  <c r="I56" i="15"/>
  <c r="I54" i="15"/>
  <c r="I55" i="15"/>
  <c r="R53" i="15"/>
  <c r="Q55" i="15"/>
  <c r="Q54" i="15"/>
  <c r="Q56" i="15"/>
  <c r="H55" i="15"/>
  <c r="H54" i="15"/>
  <c r="H56" i="15"/>
  <c r="P55" i="15"/>
  <c r="P54" i="15"/>
  <c r="P56" i="15"/>
  <c r="C65" i="14"/>
  <c r="D21" i="23" l="1"/>
  <c r="D16" i="23"/>
  <c r="D26" i="23"/>
  <c r="D25" i="23"/>
  <c r="D30" i="23" s="1"/>
  <c r="D27" i="23"/>
  <c r="D15" i="23"/>
  <c r="D20" i="23" s="1"/>
  <c r="D22" i="23"/>
  <c r="D32" i="23"/>
  <c r="D28" i="23"/>
  <c r="D17" i="23"/>
  <c r="D18" i="23"/>
  <c r="D29" i="23"/>
  <c r="D36" i="23"/>
  <c r="D19" i="23"/>
  <c r="D23" i="23"/>
  <c r="D37" i="23"/>
  <c r="D34" i="23"/>
  <c r="D33" i="23"/>
  <c r="D35" i="23"/>
  <c r="D38" i="23"/>
  <c r="D137" i="15"/>
  <c r="H41" i="14"/>
  <c r="H163" i="24"/>
  <c r="D267" i="24"/>
  <c r="D73" i="23"/>
  <c r="E68" i="23"/>
  <c r="E78" i="23"/>
  <c r="E67" i="23"/>
  <c r="E80" i="23"/>
  <c r="E74" i="23"/>
  <c r="E77" i="23"/>
  <c r="E64" i="23"/>
  <c r="E72" i="23"/>
  <c r="E66" i="23"/>
  <c r="E71" i="23"/>
  <c r="E85" i="23"/>
  <c r="E81" i="23"/>
  <c r="E84" i="23"/>
  <c r="E76" i="23"/>
  <c r="E79" i="23" s="1"/>
  <c r="E82" i="23"/>
  <c r="E65" i="23"/>
  <c r="E75" i="23"/>
  <c r="E83" i="23"/>
  <c r="E86" i="23"/>
  <c r="E70" i="23"/>
  <c r="E73" i="23" s="1"/>
  <c r="D212" i="25"/>
  <c r="D65" i="14"/>
  <c r="D264" i="26"/>
  <c r="D274" i="26"/>
  <c r="D277" i="26" s="1"/>
  <c r="D263" i="26"/>
  <c r="D268" i="26"/>
  <c r="D283" i="26"/>
  <c r="D282" i="26"/>
  <c r="D266" i="26"/>
  <c r="D276" i="26"/>
  <c r="D275" i="26"/>
  <c r="D280" i="26"/>
  <c r="D279" i="26"/>
  <c r="D278" i="26"/>
  <c r="D272" i="26"/>
  <c r="D284" i="26"/>
  <c r="D270" i="26"/>
  <c r="D271" i="26" s="1"/>
  <c r="D269" i="26"/>
  <c r="D281" i="26"/>
  <c r="D262" i="26"/>
  <c r="D267" i="26" s="1"/>
  <c r="D273" i="26"/>
  <c r="D265" i="26"/>
  <c r="D267" i="23"/>
  <c r="D119" i="15"/>
  <c r="G55" i="14"/>
  <c r="G261" i="25"/>
  <c r="G261" i="24"/>
  <c r="G261" i="23"/>
  <c r="G25" i="14"/>
  <c r="G212" i="26"/>
  <c r="D67" i="24"/>
  <c r="D66" i="24"/>
  <c r="D14" i="24"/>
  <c r="D64" i="24"/>
  <c r="D82" i="24"/>
  <c r="D68" i="24"/>
  <c r="D77" i="24"/>
  <c r="D86" i="24"/>
  <c r="D70" i="24"/>
  <c r="D73" i="24" s="1"/>
  <c r="D78" i="24"/>
  <c r="D80" i="24"/>
  <c r="D85" i="24"/>
  <c r="D75" i="24"/>
  <c r="D81" i="24"/>
  <c r="D71" i="24"/>
  <c r="D76" i="24"/>
  <c r="D72" i="24"/>
  <c r="D83" i="24"/>
  <c r="D65" i="24"/>
  <c r="D84" i="24"/>
  <c r="D74" i="24"/>
  <c r="D14" i="26"/>
  <c r="D64" i="26"/>
  <c r="D69" i="26" s="1"/>
  <c r="D77" i="26"/>
  <c r="D67" i="26"/>
  <c r="D84" i="26"/>
  <c r="D65" i="26"/>
  <c r="D78" i="26"/>
  <c r="D81" i="26"/>
  <c r="D68" i="26"/>
  <c r="D76" i="26"/>
  <c r="D86" i="26"/>
  <c r="D66" i="26"/>
  <c r="D82" i="26"/>
  <c r="D83" i="26"/>
  <c r="D74" i="26"/>
  <c r="D75" i="26"/>
  <c r="D79" i="26" s="1"/>
  <c r="D85" i="26"/>
  <c r="D80" i="26"/>
  <c r="D70" i="26"/>
  <c r="D71" i="26"/>
  <c r="D72" i="26"/>
  <c r="D79" i="23"/>
  <c r="E134" i="26"/>
  <c r="E135" i="26"/>
  <c r="E131" i="26"/>
  <c r="E128" i="26"/>
  <c r="E117" i="26"/>
  <c r="E115" i="26"/>
  <c r="E126" i="26"/>
  <c r="E120" i="26"/>
  <c r="E127" i="26"/>
  <c r="E118" i="26"/>
  <c r="E121" i="26"/>
  <c r="E132" i="26"/>
  <c r="E125" i="26"/>
  <c r="E114" i="26"/>
  <c r="E122" i="26"/>
  <c r="E133" i="26"/>
  <c r="E116" i="26"/>
  <c r="E119" i="26" s="1"/>
  <c r="E130" i="26"/>
  <c r="E124" i="26"/>
  <c r="E129" i="26" s="1"/>
  <c r="E136" i="26"/>
  <c r="E137" i="26"/>
  <c r="E63" i="15"/>
  <c r="D311" i="26"/>
  <c r="D324" i="26"/>
  <c r="D333" i="26"/>
  <c r="D313" i="26"/>
  <c r="D319" i="26"/>
  <c r="D327" i="26"/>
  <c r="D325" i="26"/>
  <c r="D312" i="26"/>
  <c r="D330" i="26"/>
  <c r="D315" i="26"/>
  <c r="D331" i="26"/>
  <c r="D322" i="26"/>
  <c r="D321" i="26"/>
  <c r="D328" i="26"/>
  <c r="D323" i="26"/>
  <c r="D329" i="26"/>
  <c r="D314" i="26"/>
  <c r="D332" i="26"/>
  <c r="D318" i="26"/>
  <c r="D317" i="26"/>
  <c r="D120" i="23"/>
  <c r="D123" i="23" s="1"/>
  <c r="D114" i="23"/>
  <c r="D126" i="23"/>
  <c r="D134" i="23"/>
  <c r="D121" i="23"/>
  <c r="D131" i="23"/>
  <c r="D116" i="23"/>
  <c r="D136" i="23"/>
  <c r="D128" i="23"/>
  <c r="D127" i="23"/>
  <c r="D122" i="23"/>
  <c r="D132" i="23"/>
  <c r="D118" i="23"/>
  <c r="D117" i="23"/>
  <c r="D135" i="23"/>
  <c r="D115" i="23"/>
  <c r="D133" i="23"/>
  <c r="D125" i="23"/>
  <c r="D130" i="23"/>
  <c r="D124" i="23"/>
  <c r="D129" i="23" s="1"/>
  <c r="E408" i="26"/>
  <c r="E33" i="14"/>
  <c r="D363" i="26"/>
  <c r="D382" i="26"/>
  <c r="D370" i="26"/>
  <c r="D379" i="26"/>
  <c r="D360" i="26"/>
  <c r="D378" i="26"/>
  <c r="D372" i="26"/>
  <c r="D367" i="26"/>
  <c r="D369" i="26" s="1"/>
  <c r="D377" i="26"/>
  <c r="D368" i="26"/>
  <c r="D362" i="26"/>
  <c r="D374" i="26"/>
  <c r="D373" i="26"/>
  <c r="D361" i="26"/>
  <c r="D365" i="26" s="1"/>
  <c r="D380" i="26"/>
  <c r="D371" i="26"/>
  <c r="D375" i="26" s="1"/>
  <c r="D376" i="26"/>
  <c r="D366" i="26"/>
  <c r="D364" i="26"/>
  <c r="D381" i="26"/>
  <c r="D430" i="26"/>
  <c r="D411" i="26"/>
  <c r="D427" i="26"/>
  <c r="D422" i="26"/>
  <c r="D417" i="26"/>
  <c r="D421" i="26"/>
  <c r="D426" i="26"/>
  <c r="D409" i="26"/>
  <c r="D412" i="26"/>
  <c r="D428" i="26"/>
  <c r="D431" i="26"/>
  <c r="D413" i="26"/>
  <c r="D416" i="26"/>
  <c r="D429" i="26"/>
  <c r="D415" i="26"/>
  <c r="D418" i="26" s="1"/>
  <c r="D423" i="26"/>
  <c r="D419" i="26"/>
  <c r="D424" i="26" s="1"/>
  <c r="D425" i="26"/>
  <c r="D410" i="26"/>
  <c r="D420" i="26"/>
  <c r="F276" i="23"/>
  <c r="F266" i="23"/>
  <c r="F282" i="23"/>
  <c r="F281" i="23"/>
  <c r="F262" i="23"/>
  <c r="F267" i="23" s="1"/>
  <c r="F272" i="23"/>
  <c r="F283" i="23"/>
  <c r="F263" i="23"/>
  <c r="F268" i="23"/>
  <c r="F273" i="23"/>
  <c r="F278" i="23"/>
  <c r="F275" i="23"/>
  <c r="F280" i="23"/>
  <c r="F284" i="23"/>
  <c r="F269" i="23"/>
  <c r="F279" i="23"/>
  <c r="F270" i="23"/>
  <c r="F264" i="23"/>
  <c r="F274" i="23"/>
  <c r="F265" i="23"/>
  <c r="F23" i="14"/>
  <c r="F163" i="26"/>
  <c r="F227" i="24"/>
  <c r="F226" i="24"/>
  <c r="F225" i="24"/>
  <c r="F220" i="24"/>
  <c r="F222" i="24" s="1"/>
  <c r="F230" i="24"/>
  <c r="F236" i="24" s="1"/>
  <c r="F223" i="24"/>
  <c r="F228" i="24" s="1"/>
  <c r="F217" i="24"/>
  <c r="F219" i="24"/>
  <c r="F215" i="24"/>
  <c r="F221" i="24"/>
  <c r="F224" i="24"/>
  <c r="F233" i="24"/>
  <c r="F232" i="24"/>
  <c r="F213" i="24"/>
  <c r="F218" i="24" s="1"/>
  <c r="F234" i="24"/>
  <c r="F229" i="24"/>
  <c r="F214" i="24"/>
  <c r="F235" i="24"/>
  <c r="F216" i="24"/>
  <c r="F231" i="24"/>
  <c r="G183" i="24"/>
  <c r="G175" i="24"/>
  <c r="G180" i="24"/>
  <c r="G187" i="24" s="1"/>
  <c r="G170" i="24"/>
  <c r="G185" i="24"/>
  <c r="G177" i="24"/>
  <c r="G168" i="24"/>
  <c r="G178" i="24"/>
  <c r="G182" i="24"/>
  <c r="G166" i="24"/>
  <c r="G165" i="24"/>
  <c r="G172" i="24"/>
  <c r="G171" i="24"/>
  <c r="G181" i="24"/>
  <c r="G184" i="24"/>
  <c r="G174" i="24"/>
  <c r="G167" i="24"/>
  <c r="G186" i="24"/>
  <c r="G173" i="24"/>
  <c r="G176" i="24"/>
  <c r="G164" i="24"/>
  <c r="F21" i="14"/>
  <c r="F113" i="26"/>
  <c r="D77" i="15"/>
  <c r="D64" i="15"/>
  <c r="D67" i="15"/>
  <c r="D84" i="15"/>
  <c r="D68" i="15"/>
  <c r="D66" i="15"/>
  <c r="D72" i="15"/>
  <c r="D85" i="15"/>
  <c r="D65" i="15"/>
  <c r="D75" i="15"/>
  <c r="D74" i="15"/>
  <c r="D71" i="15"/>
  <c r="D82" i="15"/>
  <c r="D86" i="15"/>
  <c r="D80" i="15"/>
  <c r="D76" i="15"/>
  <c r="D81" i="15"/>
  <c r="D70" i="15"/>
  <c r="D83" i="15"/>
  <c r="D78" i="15"/>
  <c r="E359" i="26"/>
  <c r="E31" i="14"/>
  <c r="E113" i="23"/>
  <c r="E49" i="14"/>
  <c r="E175" i="26"/>
  <c r="E164" i="26"/>
  <c r="E183" i="26"/>
  <c r="E174" i="26"/>
  <c r="E184" i="26"/>
  <c r="E177" i="26"/>
  <c r="E167" i="26"/>
  <c r="E168" i="26"/>
  <c r="E180" i="26"/>
  <c r="E182" i="26"/>
  <c r="E172" i="26"/>
  <c r="E173" i="26" s="1"/>
  <c r="E176" i="26"/>
  <c r="E166" i="26"/>
  <c r="E170" i="26"/>
  <c r="E186" i="26"/>
  <c r="E171" i="26"/>
  <c r="E178" i="26"/>
  <c r="E181" i="26"/>
  <c r="E165" i="26"/>
  <c r="E185" i="26"/>
  <c r="D45" i="14"/>
  <c r="E113" i="24"/>
  <c r="E39" i="14"/>
  <c r="E277" i="23"/>
  <c r="D225" i="23"/>
  <c r="D219" i="23"/>
  <c r="D230" i="23"/>
  <c r="D224" i="23"/>
  <c r="D220" i="23"/>
  <c r="D213" i="23"/>
  <c r="D215" i="23"/>
  <c r="D229" i="23"/>
  <c r="D231" i="23"/>
  <c r="D223" i="23"/>
  <c r="D214" i="23"/>
  <c r="D235" i="23"/>
  <c r="D226" i="23"/>
  <c r="D227" i="23"/>
  <c r="D221" i="23"/>
  <c r="D216" i="23"/>
  <c r="D234" i="23"/>
  <c r="D232" i="23"/>
  <c r="D217" i="23"/>
  <c r="D233" i="23"/>
  <c r="F283" i="24"/>
  <c r="F282" i="24"/>
  <c r="F280" i="24"/>
  <c r="F281" i="24"/>
  <c r="F275" i="24"/>
  <c r="F272" i="24"/>
  <c r="F262" i="24"/>
  <c r="F265" i="24"/>
  <c r="F276" i="24"/>
  <c r="F266" i="24"/>
  <c r="F270" i="24"/>
  <c r="F279" i="24"/>
  <c r="F264" i="24"/>
  <c r="F274" i="24"/>
  <c r="F284" i="24"/>
  <c r="F268" i="24"/>
  <c r="F273" i="24"/>
  <c r="F269" i="24"/>
  <c r="F263" i="24"/>
  <c r="F278" i="24"/>
  <c r="E163" i="23"/>
  <c r="E51" i="14"/>
  <c r="F216" i="26"/>
  <c r="F224" i="26"/>
  <c r="F233" i="26"/>
  <c r="F230" i="26"/>
  <c r="F215" i="26"/>
  <c r="F225" i="26"/>
  <c r="F220" i="26"/>
  <c r="F217" i="26"/>
  <c r="F214" i="26"/>
  <c r="F213" i="26"/>
  <c r="F218" i="26" s="1"/>
  <c r="F232" i="26"/>
  <c r="F227" i="26"/>
  <c r="F219" i="26"/>
  <c r="F235" i="26"/>
  <c r="F226" i="26"/>
  <c r="F221" i="26"/>
  <c r="F229" i="26"/>
  <c r="F234" i="26"/>
  <c r="F231" i="26"/>
  <c r="F223" i="26"/>
  <c r="C59" i="14"/>
  <c r="C63" i="14"/>
  <c r="C61" i="14"/>
  <c r="D14" i="28"/>
  <c r="F47" i="14"/>
  <c r="F63" i="23"/>
  <c r="D118" i="24"/>
  <c r="D130" i="24"/>
  <c r="D117" i="24"/>
  <c r="D115" i="24"/>
  <c r="D125" i="24"/>
  <c r="D120" i="24"/>
  <c r="D134" i="24"/>
  <c r="D127" i="24"/>
  <c r="D124" i="24"/>
  <c r="D114" i="24"/>
  <c r="D122" i="24"/>
  <c r="D133" i="24"/>
  <c r="D132" i="24"/>
  <c r="D135" i="24"/>
  <c r="D126" i="24"/>
  <c r="D129" i="24" s="1"/>
  <c r="D116" i="24"/>
  <c r="D128" i="24"/>
  <c r="D136" i="24"/>
  <c r="D131" i="24"/>
  <c r="D121" i="24"/>
  <c r="E222" i="24"/>
  <c r="G212" i="24"/>
  <c r="G43" i="14"/>
  <c r="E212" i="23"/>
  <c r="E53" i="14"/>
  <c r="F281" i="25"/>
  <c r="F278" i="25"/>
  <c r="F276" i="25"/>
  <c r="F266" i="25"/>
  <c r="F283" i="25"/>
  <c r="F268" i="25"/>
  <c r="F272" i="25"/>
  <c r="F265" i="25"/>
  <c r="F273" i="25"/>
  <c r="F279" i="25"/>
  <c r="F264" i="25"/>
  <c r="F274" i="25"/>
  <c r="F269" i="25"/>
  <c r="F280" i="25"/>
  <c r="F263" i="25"/>
  <c r="F262" i="25"/>
  <c r="F270" i="25"/>
  <c r="F284" i="25"/>
  <c r="F275" i="25"/>
  <c r="F282" i="25"/>
  <c r="F267" i="25"/>
  <c r="D175" i="23"/>
  <c r="D170" i="23"/>
  <c r="D184" i="23"/>
  <c r="D164" i="23"/>
  <c r="D169" i="23" s="1"/>
  <c r="D183" i="23"/>
  <c r="D165" i="23"/>
  <c r="D182" i="23"/>
  <c r="D180" i="23"/>
  <c r="D168" i="23"/>
  <c r="D178" i="23"/>
  <c r="D176" i="23"/>
  <c r="D172" i="23"/>
  <c r="D186" i="23"/>
  <c r="D166" i="23"/>
  <c r="D181" i="23"/>
  <c r="D185" i="23"/>
  <c r="D171" i="23"/>
  <c r="D167" i="23"/>
  <c r="D174" i="23"/>
  <c r="D177" i="23"/>
  <c r="D271" i="24"/>
  <c r="E261" i="26"/>
  <c r="E27" i="14"/>
  <c r="E63" i="24"/>
  <c r="E37" i="14"/>
  <c r="D35" i="14"/>
  <c r="E63" i="26"/>
  <c r="D17" i="14"/>
  <c r="E19" i="14"/>
  <c r="E310" i="26"/>
  <c r="E29" i="14"/>
  <c r="R253" i="26"/>
  <c r="R302" i="26"/>
  <c r="R301" i="26"/>
  <c r="R303" i="26"/>
  <c r="R252" i="26"/>
  <c r="R204" i="26"/>
  <c r="R203" i="26"/>
  <c r="R205" i="26"/>
  <c r="R104" i="25"/>
  <c r="R105" i="25"/>
  <c r="R106" i="25"/>
  <c r="R155" i="24"/>
  <c r="R106" i="24"/>
  <c r="R105" i="24"/>
  <c r="R254" i="24"/>
  <c r="R204" i="23"/>
  <c r="R203" i="23"/>
  <c r="R205" i="23"/>
  <c r="R106" i="23"/>
  <c r="R105" i="23"/>
  <c r="G15" i="14"/>
  <c r="G113" i="15"/>
  <c r="F135" i="15"/>
  <c r="F132" i="15"/>
  <c r="F126" i="15"/>
  <c r="F122" i="15"/>
  <c r="F118" i="15"/>
  <c r="F115" i="15"/>
  <c r="F133" i="15"/>
  <c r="F130" i="15"/>
  <c r="F136" i="15"/>
  <c r="F124" i="15"/>
  <c r="F127" i="15"/>
  <c r="F120" i="15"/>
  <c r="F116" i="15"/>
  <c r="F128" i="15"/>
  <c r="F125" i="15"/>
  <c r="F121" i="15"/>
  <c r="F134" i="15"/>
  <c r="F114" i="15"/>
  <c r="F131" i="15"/>
  <c r="F117" i="15"/>
  <c r="R56" i="15"/>
  <c r="R54" i="15"/>
  <c r="R55" i="15"/>
  <c r="D92" i="15"/>
  <c r="D69" i="15" l="1"/>
  <c r="F123" i="15"/>
  <c r="D73" i="15"/>
  <c r="D79" i="15"/>
  <c r="F119" i="15"/>
  <c r="F129" i="15"/>
  <c r="D87" i="15"/>
  <c r="F137" i="15"/>
  <c r="F271" i="25"/>
  <c r="G21" i="14"/>
  <c r="G113" i="26"/>
  <c r="H212" i="24"/>
  <c r="H43" i="14"/>
  <c r="F70" i="23"/>
  <c r="F75" i="23"/>
  <c r="F65" i="23"/>
  <c r="F80" i="23"/>
  <c r="F82" i="23"/>
  <c r="F74" i="23"/>
  <c r="F68" i="23"/>
  <c r="F78" i="23"/>
  <c r="F66" i="23"/>
  <c r="F76" i="23"/>
  <c r="F71" i="23"/>
  <c r="F86" i="23"/>
  <c r="F81" i="23"/>
  <c r="F67" i="23"/>
  <c r="F72" i="23"/>
  <c r="F84" i="23"/>
  <c r="F64" i="23"/>
  <c r="F77" i="23"/>
  <c r="F83" i="23"/>
  <c r="F87" i="23" s="1"/>
  <c r="F85" i="23"/>
  <c r="D224" i="25"/>
  <c r="D219" i="25"/>
  <c r="D226" i="25"/>
  <c r="D213" i="25"/>
  <c r="D232" i="25"/>
  <c r="D216" i="25"/>
  <c r="D229" i="25"/>
  <c r="D227" i="25"/>
  <c r="D217" i="25"/>
  <c r="D234" i="25"/>
  <c r="D220" i="25"/>
  <c r="D223" i="25"/>
  <c r="D228" i="25" s="1"/>
  <c r="D215" i="25"/>
  <c r="D230" i="25"/>
  <c r="D214" i="25"/>
  <c r="D233" i="25"/>
  <c r="D231" i="25"/>
  <c r="D225" i="25"/>
  <c r="D235" i="25"/>
  <c r="D221" i="25"/>
  <c r="D236" i="25"/>
  <c r="G217" i="24"/>
  <c r="G225" i="24"/>
  <c r="G233" i="24"/>
  <c r="G220" i="24"/>
  <c r="G227" i="24"/>
  <c r="G232" i="24"/>
  <c r="G216" i="24"/>
  <c r="G215" i="24"/>
  <c r="G223" i="24"/>
  <c r="G226" i="24"/>
  <c r="G214" i="24"/>
  <c r="G221" i="24"/>
  <c r="G231" i="24"/>
  <c r="G224" i="24"/>
  <c r="G228" i="24" s="1"/>
  <c r="G234" i="24"/>
  <c r="G219" i="24"/>
  <c r="G235" i="24"/>
  <c r="G230" i="24"/>
  <c r="G213" i="24"/>
  <c r="G218" i="24" s="1"/>
  <c r="G229" i="24"/>
  <c r="G236" i="24" s="1"/>
  <c r="E428" i="26"/>
  <c r="E422" i="26"/>
  <c r="E430" i="26"/>
  <c r="E427" i="26"/>
  <c r="E429" i="26"/>
  <c r="E420" i="26"/>
  <c r="E413" i="26"/>
  <c r="E421" i="26"/>
  <c r="E424" i="26" s="1"/>
  <c r="E431" i="26"/>
  <c r="E425" i="26"/>
  <c r="E415" i="26"/>
  <c r="E423" i="26"/>
  <c r="E411" i="26"/>
  <c r="E412" i="26"/>
  <c r="E414" i="26" s="1"/>
  <c r="E410" i="26"/>
  <c r="E426" i="26"/>
  <c r="E409" i="26"/>
  <c r="E419" i="26"/>
  <c r="E416" i="26"/>
  <c r="E417" i="26"/>
  <c r="E330" i="26"/>
  <c r="E311" i="26"/>
  <c r="E324" i="26"/>
  <c r="E321" i="26"/>
  <c r="E326" i="26" s="1"/>
  <c r="E327" i="26"/>
  <c r="E314" i="26"/>
  <c r="E316" i="26" s="1"/>
  <c r="E317" i="26"/>
  <c r="E313" i="26"/>
  <c r="E328" i="26"/>
  <c r="E319" i="26"/>
  <c r="E332" i="26"/>
  <c r="E322" i="26"/>
  <c r="E331" i="26"/>
  <c r="E318" i="26"/>
  <c r="E312" i="26"/>
  <c r="E329" i="26"/>
  <c r="E323" i="26"/>
  <c r="E315" i="26"/>
  <c r="E333" i="26"/>
  <c r="E325" i="26"/>
  <c r="E320" i="26"/>
  <c r="E281" i="26"/>
  <c r="E270" i="26"/>
  <c r="E275" i="26"/>
  <c r="E272" i="26"/>
  <c r="E277" i="26" s="1"/>
  <c r="E274" i="26"/>
  <c r="E279" i="26"/>
  <c r="E280" i="26"/>
  <c r="E263" i="26"/>
  <c r="E278" i="26"/>
  <c r="E266" i="26"/>
  <c r="E265" i="26"/>
  <c r="E283" i="26"/>
  <c r="E264" i="26"/>
  <c r="E273" i="26"/>
  <c r="E262" i="26"/>
  <c r="E267" i="26" s="1"/>
  <c r="E276" i="26"/>
  <c r="E269" i="26"/>
  <c r="E282" i="26"/>
  <c r="E268" i="26"/>
  <c r="E271" i="26" s="1"/>
  <c r="E284" i="26"/>
  <c r="D34" i="28"/>
  <c r="D23" i="28"/>
  <c r="D17" i="28"/>
  <c r="D37" i="28"/>
  <c r="D26" i="28"/>
  <c r="D31" i="28"/>
  <c r="D35" i="28"/>
  <c r="D18" i="28"/>
  <c r="D16" i="28"/>
  <c r="D20" i="28" s="1"/>
  <c r="D21" i="28"/>
  <c r="D36" i="28"/>
  <c r="D33" i="28"/>
  <c r="D27" i="28"/>
  <c r="D29" i="28"/>
  <c r="D30" i="28" s="1"/>
  <c r="D19" i="28"/>
  <c r="D25" i="28"/>
  <c r="D32" i="28"/>
  <c r="D38" i="28" s="1"/>
  <c r="D28" i="28"/>
  <c r="D22" i="28"/>
  <c r="D15" i="28"/>
  <c r="D24" i="28"/>
  <c r="F51" i="14"/>
  <c r="F163" i="23"/>
  <c r="F277" i="24"/>
  <c r="D228" i="23"/>
  <c r="E169" i="26"/>
  <c r="D316" i="26"/>
  <c r="D73" i="26"/>
  <c r="G234" i="26"/>
  <c r="G230" i="26"/>
  <c r="G221" i="26"/>
  <c r="G225" i="26"/>
  <c r="G216" i="26"/>
  <c r="G233" i="26"/>
  <c r="G232" i="26"/>
  <c r="G226" i="26"/>
  <c r="G231" i="26"/>
  <c r="G227" i="26"/>
  <c r="G217" i="26"/>
  <c r="G229" i="26"/>
  <c r="G215" i="26"/>
  <c r="G219" i="26"/>
  <c r="G224" i="26"/>
  <c r="G223" i="26"/>
  <c r="G228" i="26" s="1"/>
  <c r="G220" i="26"/>
  <c r="G214" i="26"/>
  <c r="G213" i="26"/>
  <c r="G218" i="26" s="1"/>
  <c r="G235" i="26"/>
  <c r="H185" i="24"/>
  <c r="H176" i="24"/>
  <c r="H186" i="24"/>
  <c r="H171" i="24"/>
  <c r="H184" i="24"/>
  <c r="H183" i="24"/>
  <c r="H166" i="24"/>
  <c r="H181" i="24"/>
  <c r="H168" i="24"/>
  <c r="H178" i="24"/>
  <c r="H172" i="24"/>
  <c r="H180" i="24"/>
  <c r="H170" i="24"/>
  <c r="H174" i="24"/>
  <c r="H164" i="24"/>
  <c r="H177" i="24"/>
  <c r="H167" i="24"/>
  <c r="H182" i="24"/>
  <c r="H175" i="24"/>
  <c r="H165" i="24"/>
  <c r="F19" i="14"/>
  <c r="F63" i="26"/>
  <c r="E17" i="14"/>
  <c r="F277" i="25"/>
  <c r="D123" i="24"/>
  <c r="D113" i="25"/>
  <c r="D61" i="14"/>
  <c r="E171" i="23"/>
  <c r="E184" i="23"/>
  <c r="E181" i="23"/>
  <c r="E185" i="23"/>
  <c r="E176" i="23"/>
  <c r="E165" i="23"/>
  <c r="E183" i="23"/>
  <c r="E170" i="23"/>
  <c r="E166" i="23"/>
  <c r="E182" i="23"/>
  <c r="E178" i="23"/>
  <c r="E179" i="23"/>
  <c r="E174" i="23"/>
  <c r="E177" i="23"/>
  <c r="E180" i="23"/>
  <c r="E167" i="23"/>
  <c r="E172" i="23"/>
  <c r="E173" i="23" s="1"/>
  <c r="E164" i="23"/>
  <c r="E169" i="23" s="1"/>
  <c r="E168" i="23"/>
  <c r="E186" i="23"/>
  <c r="E175" i="23"/>
  <c r="D414" i="26"/>
  <c r="D137" i="23"/>
  <c r="F63" i="15"/>
  <c r="F13" i="14"/>
  <c r="D87" i="26"/>
  <c r="H25" i="14"/>
  <c r="H212" i="26"/>
  <c r="E87" i="23"/>
  <c r="I41" i="14"/>
  <c r="I163" i="24"/>
  <c r="G23" i="14"/>
  <c r="G163" i="26"/>
  <c r="D218" i="23"/>
  <c r="F271" i="23"/>
  <c r="D119" i="23"/>
  <c r="D34" i="26"/>
  <c r="D46" i="27" s="1" a="1"/>
  <c r="D46" i="27" s="1"/>
  <c r="D15" i="26"/>
  <c r="D27" i="27" s="1" a="1"/>
  <c r="D27" i="27" s="1"/>
  <c r="D35" i="26"/>
  <c r="D47" i="27" s="1" a="1"/>
  <c r="D47" i="27" s="1"/>
  <c r="D28" i="26"/>
  <c r="D40" i="27" s="1" a="1"/>
  <c r="D40" i="27" s="1"/>
  <c r="D17" i="26"/>
  <c r="D29" i="27" s="1" a="1"/>
  <c r="D29" i="27" s="1"/>
  <c r="D36" i="26"/>
  <c r="D48" i="27" s="1" a="1"/>
  <c r="D48" i="27" s="1"/>
  <c r="D26" i="26"/>
  <c r="D38" i="27" s="1" a="1"/>
  <c r="D38" i="27" s="1"/>
  <c r="D31" i="26"/>
  <c r="D43" i="27" s="1" a="1"/>
  <c r="D43" i="27" s="1"/>
  <c r="D16" i="26"/>
  <c r="D28" i="27" s="1" a="1"/>
  <c r="D28" i="27" s="1"/>
  <c r="D21" i="26"/>
  <c r="D33" i="27" s="1" a="1"/>
  <c r="D33" i="27" s="1"/>
  <c r="D37" i="26"/>
  <c r="D49" i="27" s="1" a="1"/>
  <c r="D49" i="27" s="1"/>
  <c r="D23" i="26"/>
  <c r="D35" i="27" s="1" a="1"/>
  <c r="D35" i="27" s="1"/>
  <c r="D27" i="26"/>
  <c r="D39" i="27" s="1" a="1"/>
  <c r="D39" i="27" s="1"/>
  <c r="D33" i="26"/>
  <c r="D45" i="27" s="1" a="1"/>
  <c r="D45" i="27" s="1"/>
  <c r="D29" i="26"/>
  <c r="D41" i="27" s="1" a="1"/>
  <c r="D41" i="27" s="1"/>
  <c r="D18" i="26"/>
  <c r="D30" i="27" s="1" a="1"/>
  <c r="D30" i="27" s="1"/>
  <c r="D32" i="26"/>
  <c r="D44" i="27" s="1" a="1"/>
  <c r="D44" i="27" s="1"/>
  <c r="D25" i="26"/>
  <c r="D37" i="27" s="1" a="1"/>
  <c r="D37" i="27" s="1"/>
  <c r="D19" i="26"/>
  <c r="D31" i="27" s="1" a="1"/>
  <c r="D31" i="27" s="1"/>
  <c r="D22" i="26"/>
  <c r="D34" i="27" s="1" a="1"/>
  <c r="D34" i="27" s="1"/>
  <c r="D30" i="26"/>
  <c r="D69" i="24"/>
  <c r="G272" i="23"/>
  <c r="G277" i="23" s="1"/>
  <c r="G262" i="23"/>
  <c r="G284" i="23"/>
  <c r="G282" i="23"/>
  <c r="G283" i="23"/>
  <c r="G268" i="23"/>
  <c r="G278" i="23"/>
  <c r="G263" i="23"/>
  <c r="G273" i="23"/>
  <c r="G269" i="23"/>
  <c r="G271" i="23" s="1"/>
  <c r="G274" i="23"/>
  <c r="G279" i="23"/>
  <c r="G266" i="23"/>
  <c r="G264" i="23"/>
  <c r="G276" i="23"/>
  <c r="G270" i="23"/>
  <c r="G280" i="23"/>
  <c r="G281" i="23"/>
  <c r="G265" i="23"/>
  <c r="G275" i="23"/>
  <c r="E64" i="24"/>
  <c r="E69" i="24" s="1"/>
  <c r="E65" i="24"/>
  <c r="E75" i="24"/>
  <c r="E70" i="24"/>
  <c r="E67" i="24"/>
  <c r="E14" i="24"/>
  <c r="E66" i="24"/>
  <c r="E68" i="24"/>
  <c r="E80" i="24"/>
  <c r="E74" i="24"/>
  <c r="E79" i="24" s="1"/>
  <c r="E71" i="24"/>
  <c r="E86" i="24"/>
  <c r="E82" i="24"/>
  <c r="E83" i="24"/>
  <c r="E81" i="24"/>
  <c r="E76" i="24"/>
  <c r="E72" i="24"/>
  <c r="E78" i="24"/>
  <c r="E84" i="24"/>
  <c r="E85" i="24"/>
  <c r="E77" i="24"/>
  <c r="E179" i="26"/>
  <c r="F136" i="26"/>
  <c r="F114" i="26"/>
  <c r="F119" i="26" s="1"/>
  <c r="F125" i="26"/>
  <c r="F120" i="26"/>
  <c r="F123" i="26" s="1"/>
  <c r="F124" i="26"/>
  <c r="F129" i="26" s="1"/>
  <c r="F115" i="26"/>
  <c r="F135" i="26"/>
  <c r="F133" i="26"/>
  <c r="F126" i="26"/>
  <c r="F134" i="26"/>
  <c r="F128" i="26"/>
  <c r="F121" i="26"/>
  <c r="F131" i="26"/>
  <c r="F137" i="26" s="1"/>
  <c r="F127" i="26"/>
  <c r="F118" i="26"/>
  <c r="F130" i="26"/>
  <c r="F132" i="26"/>
  <c r="F116" i="26"/>
  <c r="F117" i="26"/>
  <c r="F122" i="26"/>
  <c r="D15" i="15"/>
  <c r="D16" i="15"/>
  <c r="D17" i="15"/>
  <c r="D36" i="15"/>
  <c r="D25" i="15"/>
  <c r="D21" i="15"/>
  <c r="D26" i="15"/>
  <c r="D31" i="15"/>
  <c r="D22" i="15"/>
  <c r="D27" i="15"/>
  <c r="D29" i="15"/>
  <c r="D32" i="15"/>
  <c r="D35" i="15"/>
  <c r="D33" i="15"/>
  <c r="D37" i="15"/>
  <c r="D19" i="15"/>
  <c r="D28" i="15"/>
  <c r="D18" i="15"/>
  <c r="D23" i="15"/>
  <c r="D34" i="15"/>
  <c r="F49" i="14"/>
  <c r="F113" i="23"/>
  <c r="F222" i="26"/>
  <c r="D222" i="23"/>
  <c r="D79" i="24"/>
  <c r="G284" i="24"/>
  <c r="G281" i="24"/>
  <c r="G278" i="24"/>
  <c r="G276" i="24"/>
  <c r="G263" i="24"/>
  <c r="G283" i="24"/>
  <c r="G268" i="24"/>
  <c r="G271" i="24" s="1"/>
  <c r="G282" i="24"/>
  <c r="G273" i="24"/>
  <c r="G266" i="24"/>
  <c r="G270" i="24"/>
  <c r="G269" i="24"/>
  <c r="G279" i="24"/>
  <c r="G280" i="24"/>
  <c r="G262" i="24"/>
  <c r="G267" i="24" s="1"/>
  <c r="G265" i="24"/>
  <c r="G274" i="24"/>
  <c r="G275" i="24"/>
  <c r="G277" i="24" s="1"/>
  <c r="G264" i="24"/>
  <c r="G272" i="24"/>
  <c r="F408" i="26"/>
  <c r="F33" i="14"/>
  <c r="F261" i="26"/>
  <c r="F27" i="14"/>
  <c r="E66" i="26"/>
  <c r="E14" i="26"/>
  <c r="E65" i="26"/>
  <c r="E68" i="26"/>
  <c r="E70" i="26"/>
  <c r="E78" i="26"/>
  <c r="E76" i="26"/>
  <c r="E79" i="26" s="1"/>
  <c r="E77" i="26"/>
  <c r="E81" i="26"/>
  <c r="E71" i="26"/>
  <c r="E75" i="26"/>
  <c r="E67" i="26"/>
  <c r="E69" i="26" s="1"/>
  <c r="E64" i="26"/>
  <c r="E85" i="26"/>
  <c r="E82" i="26"/>
  <c r="E72" i="26"/>
  <c r="E84" i="26"/>
  <c r="E80" i="26"/>
  <c r="E74" i="26"/>
  <c r="E86" i="26"/>
  <c r="E83" i="26"/>
  <c r="E73" i="26"/>
  <c r="D179" i="23"/>
  <c r="G169" i="24"/>
  <c r="E67" i="15"/>
  <c r="E65" i="15"/>
  <c r="E64" i="15"/>
  <c r="E68" i="15"/>
  <c r="E66" i="15"/>
  <c r="E14" i="15"/>
  <c r="F53" i="14"/>
  <c r="F212" i="23"/>
  <c r="F228" i="26"/>
  <c r="F271" i="24"/>
  <c r="E126" i="24"/>
  <c r="E134" i="24"/>
  <c r="E130" i="24"/>
  <c r="E121" i="24"/>
  <c r="E115" i="24"/>
  <c r="E125" i="24"/>
  <c r="E128" i="24"/>
  <c r="E124" i="24"/>
  <c r="E120" i="24"/>
  <c r="E136" i="24"/>
  <c r="E127" i="24"/>
  <c r="E135" i="24"/>
  <c r="E117" i="24"/>
  <c r="E133" i="24"/>
  <c r="E118" i="24"/>
  <c r="E122" i="24"/>
  <c r="E123" i="24" s="1"/>
  <c r="E116" i="24"/>
  <c r="E131" i="24"/>
  <c r="E132" i="24"/>
  <c r="E114" i="24"/>
  <c r="F359" i="26"/>
  <c r="F31" i="14"/>
  <c r="D326" i="26"/>
  <c r="G272" i="25"/>
  <c r="G264" i="25"/>
  <c r="G268" i="25"/>
  <c r="G282" i="25"/>
  <c r="G263" i="25"/>
  <c r="G280" i="25"/>
  <c r="G274" i="25"/>
  <c r="G265" i="25"/>
  <c r="G283" i="25"/>
  <c r="G262" i="25"/>
  <c r="G278" i="25"/>
  <c r="G284" i="25"/>
  <c r="G273" i="25"/>
  <c r="G279" i="25"/>
  <c r="G270" i="25"/>
  <c r="G266" i="25"/>
  <c r="G269" i="25"/>
  <c r="G281" i="25"/>
  <c r="G275" i="25"/>
  <c r="G276" i="25"/>
  <c r="G271" i="25"/>
  <c r="G277" i="25"/>
  <c r="E69" i="23"/>
  <c r="D24" i="23"/>
  <c r="F29" i="14"/>
  <c r="F310" i="26"/>
  <c r="G47" i="14"/>
  <c r="G63" i="23"/>
  <c r="D137" i="24"/>
  <c r="D163" i="25"/>
  <c r="D63" i="14"/>
  <c r="D63" i="25"/>
  <c r="D59" i="14"/>
  <c r="F267" i="24"/>
  <c r="F39" i="14"/>
  <c r="F113" i="24"/>
  <c r="E117" i="23"/>
  <c r="E135" i="23"/>
  <c r="E123" i="23"/>
  <c r="E122" i="23"/>
  <c r="E132" i="23"/>
  <c r="E127" i="23"/>
  <c r="E116" i="23"/>
  <c r="E136" i="23"/>
  <c r="E120" i="23"/>
  <c r="E128" i="23"/>
  <c r="E129" i="23"/>
  <c r="E125" i="23"/>
  <c r="E121" i="23"/>
  <c r="E118" i="23"/>
  <c r="E134" i="23"/>
  <c r="E131" i="23"/>
  <c r="E130" i="23"/>
  <c r="E137" i="23" s="1"/>
  <c r="E133" i="23"/>
  <c r="E114" i="23"/>
  <c r="E124" i="23"/>
  <c r="E126" i="23"/>
  <c r="E115" i="23"/>
  <c r="E123" i="26"/>
  <c r="F37" i="14"/>
  <c r="F63" i="24"/>
  <c r="E35" i="14"/>
  <c r="D173" i="23"/>
  <c r="E230" i="23"/>
  <c r="E231" i="23"/>
  <c r="E229" i="23"/>
  <c r="E225" i="23"/>
  <c r="E228" i="23" s="1"/>
  <c r="E219" i="23"/>
  <c r="E215" i="23"/>
  <c r="E218" i="23" s="1"/>
  <c r="E214" i="23"/>
  <c r="E224" i="23"/>
  <c r="E216" i="23"/>
  <c r="E232" i="23"/>
  <c r="E221" i="23"/>
  <c r="E220" i="23"/>
  <c r="E226" i="23"/>
  <c r="E223" i="23"/>
  <c r="E233" i="23"/>
  <c r="E217" i="23"/>
  <c r="E213" i="23"/>
  <c r="E227" i="23"/>
  <c r="E222" i="23"/>
  <c r="E234" i="23"/>
  <c r="E235" i="23"/>
  <c r="D119" i="24"/>
  <c r="E45" i="14"/>
  <c r="E376" i="26"/>
  <c r="E368" i="26"/>
  <c r="E373" i="26"/>
  <c r="E363" i="26"/>
  <c r="E380" i="26"/>
  <c r="E379" i="26"/>
  <c r="E364" i="26"/>
  <c r="E361" i="26"/>
  <c r="E366" i="26"/>
  <c r="E367" i="26"/>
  <c r="E369" i="26" s="1"/>
  <c r="E360" i="26"/>
  <c r="E365" i="26" s="1"/>
  <c r="E370" i="26"/>
  <c r="E377" i="26"/>
  <c r="E378" i="26"/>
  <c r="E371" i="26"/>
  <c r="E382" i="26"/>
  <c r="E381" i="26"/>
  <c r="E374" i="26"/>
  <c r="E362" i="26"/>
  <c r="E372" i="26"/>
  <c r="G179" i="24"/>
  <c r="F184" i="26"/>
  <c r="F176" i="26"/>
  <c r="F168" i="26"/>
  <c r="F170" i="26"/>
  <c r="F183" i="26"/>
  <c r="F172" i="26"/>
  <c r="F180" i="26"/>
  <c r="F185" i="26"/>
  <c r="F182" i="26"/>
  <c r="F164" i="26"/>
  <c r="F171" i="26"/>
  <c r="F175" i="26"/>
  <c r="F181" i="26"/>
  <c r="F178" i="26"/>
  <c r="F166" i="26"/>
  <c r="F186" i="26"/>
  <c r="F177" i="26"/>
  <c r="F165" i="26"/>
  <c r="F174" i="26"/>
  <c r="F179" i="26" s="1"/>
  <c r="F167" i="26"/>
  <c r="F169" i="26" s="1"/>
  <c r="F173" i="26"/>
  <c r="F277" i="23"/>
  <c r="D320" i="26"/>
  <c r="D87" i="24"/>
  <c r="D15" i="24"/>
  <c r="D20" i="24" s="1"/>
  <c r="D16" i="24"/>
  <c r="D22" i="24"/>
  <c r="D31" i="24"/>
  <c r="D38" i="24" s="1"/>
  <c r="D23" i="24"/>
  <c r="D26" i="24"/>
  <c r="D28" i="24"/>
  <c r="D32" i="24"/>
  <c r="D35" i="24"/>
  <c r="D19" i="24"/>
  <c r="D27" i="24"/>
  <c r="D34" i="24"/>
  <c r="D18" i="24"/>
  <c r="D36" i="24"/>
  <c r="D33" i="24"/>
  <c r="D29" i="24"/>
  <c r="D37" i="24"/>
  <c r="D25" i="24"/>
  <c r="D30" i="24" s="1"/>
  <c r="D17" i="24"/>
  <c r="D21" i="24"/>
  <c r="D24" i="24" s="1"/>
  <c r="H55" i="14"/>
  <c r="H261" i="25"/>
  <c r="H261" i="24"/>
  <c r="H261" i="23"/>
  <c r="E212" i="25"/>
  <c r="E65" i="14"/>
  <c r="E14" i="23"/>
  <c r="G126" i="15"/>
  <c r="G122" i="15"/>
  <c r="G118" i="15"/>
  <c r="G115" i="15"/>
  <c r="G133" i="15"/>
  <c r="G130" i="15"/>
  <c r="G136" i="15"/>
  <c r="G124" i="15"/>
  <c r="G129" i="15" s="1"/>
  <c r="G134" i="15"/>
  <c r="G131" i="15"/>
  <c r="G127" i="15"/>
  <c r="G120" i="15"/>
  <c r="G123" i="15" s="1"/>
  <c r="G116" i="15"/>
  <c r="G114" i="15"/>
  <c r="G117" i="15"/>
  <c r="G132" i="15"/>
  <c r="G128" i="15"/>
  <c r="G121" i="15"/>
  <c r="G135" i="15"/>
  <c r="G125" i="15"/>
  <c r="H15" i="14"/>
  <c r="H113" i="15"/>
  <c r="D94" i="15"/>
  <c r="D107" i="15"/>
  <c r="D111" i="15"/>
  <c r="D96" i="15"/>
  <c r="D97" i="15"/>
  <c r="D99" i="15"/>
  <c r="D102" i="15"/>
  <c r="D109" i="15"/>
  <c r="D100" i="15"/>
  <c r="D103" i="15"/>
  <c r="D110" i="15"/>
  <c r="D93" i="15"/>
  <c r="E92" i="15"/>
  <c r="G137" i="15" l="1"/>
  <c r="E69" i="15"/>
  <c r="G119" i="15"/>
  <c r="D24" i="15"/>
  <c r="D20" i="15"/>
  <c r="G27" i="14"/>
  <c r="G261" i="26"/>
  <c r="G51" i="14"/>
  <c r="G163" i="23"/>
  <c r="F79" i="23"/>
  <c r="H269" i="24"/>
  <c r="H262" i="24"/>
  <c r="H265" i="24"/>
  <c r="H284" i="24"/>
  <c r="H278" i="24"/>
  <c r="H281" i="24"/>
  <c r="H274" i="24"/>
  <c r="H273" i="24"/>
  <c r="H276" i="24"/>
  <c r="H263" i="24"/>
  <c r="H279" i="24"/>
  <c r="H282" i="24"/>
  <c r="H264" i="24"/>
  <c r="H272" i="24"/>
  <c r="H283" i="24"/>
  <c r="H268" i="24"/>
  <c r="H271" i="24" s="1"/>
  <c r="H270" i="24"/>
  <c r="H266" i="24"/>
  <c r="H280" i="24"/>
  <c r="H275" i="24"/>
  <c r="G37" i="14"/>
  <c r="F35" i="14"/>
  <c r="G63" i="24"/>
  <c r="D167" i="25"/>
  <c r="D182" i="25"/>
  <c r="D181" i="25"/>
  <c r="D171" i="25"/>
  <c r="D177" i="25"/>
  <c r="D168" i="25"/>
  <c r="D183" i="25"/>
  <c r="D180" i="25"/>
  <c r="D187" i="25" s="1"/>
  <c r="D175" i="25"/>
  <c r="D170" i="25"/>
  <c r="D184" i="25"/>
  <c r="D185" i="25"/>
  <c r="D164" i="25"/>
  <c r="D169" i="25" s="1"/>
  <c r="D176" i="25"/>
  <c r="D179" i="25" s="1"/>
  <c r="D172" i="25"/>
  <c r="D173" i="25" s="1"/>
  <c r="D186" i="25"/>
  <c r="D166" i="25"/>
  <c r="D178" i="25"/>
  <c r="D174" i="25"/>
  <c r="D165" i="25"/>
  <c r="G31" i="14"/>
  <c r="G359" i="26"/>
  <c r="F268" i="26"/>
  <c r="F266" i="26"/>
  <c r="F284" i="26"/>
  <c r="F273" i="26"/>
  <c r="F282" i="26"/>
  <c r="F276" i="26"/>
  <c r="F263" i="26"/>
  <c r="F267" i="26" s="1"/>
  <c r="F278" i="26"/>
  <c r="F281" i="26"/>
  <c r="F262" i="26"/>
  <c r="F279" i="26"/>
  <c r="F283" i="26"/>
  <c r="F272" i="26"/>
  <c r="F277" i="26" s="1"/>
  <c r="F265" i="26"/>
  <c r="F270" i="26"/>
  <c r="F280" i="26"/>
  <c r="F264" i="26"/>
  <c r="F274" i="26"/>
  <c r="F275" i="26"/>
  <c r="F269" i="26"/>
  <c r="F271" i="26"/>
  <c r="H23" i="14"/>
  <c r="H163" i="26"/>
  <c r="D222" i="25"/>
  <c r="D218" i="25"/>
  <c r="F69" i="23"/>
  <c r="I186" i="24"/>
  <c r="I167" i="24"/>
  <c r="I184" i="24"/>
  <c r="I165" i="24"/>
  <c r="I169" i="24" s="1"/>
  <c r="I183" i="24"/>
  <c r="I181" i="24"/>
  <c r="I187" i="24" s="1"/>
  <c r="I178" i="24"/>
  <c r="I164" i="24"/>
  <c r="I166" i="24"/>
  <c r="I185" i="24"/>
  <c r="I170" i="24"/>
  <c r="I173" i="24" s="1"/>
  <c r="I176" i="24"/>
  <c r="I171" i="24"/>
  <c r="I177" i="24"/>
  <c r="I174" i="24"/>
  <c r="I180" i="24"/>
  <c r="I175" i="24"/>
  <c r="I182" i="24"/>
  <c r="I172" i="24"/>
  <c r="I168" i="24"/>
  <c r="I179" i="24"/>
  <c r="F45" i="14"/>
  <c r="J41" i="14"/>
  <c r="J163" i="24"/>
  <c r="F66" i="15"/>
  <c r="F75" i="15"/>
  <c r="F72" i="15"/>
  <c r="F71" i="15"/>
  <c r="F86" i="15"/>
  <c r="F84" i="15"/>
  <c r="F82" i="15"/>
  <c r="F80" i="15"/>
  <c r="F77" i="15"/>
  <c r="F68" i="15"/>
  <c r="F67" i="15"/>
  <c r="F65" i="15"/>
  <c r="F74" i="15"/>
  <c r="F70" i="15"/>
  <c r="F78" i="15"/>
  <c r="F85" i="15"/>
  <c r="F76" i="15"/>
  <c r="F83" i="15"/>
  <c r="F64" i="15"/>
  <c r="F81" i="15"/>
  <c r="G19" i="14"/>
  <c r="G63" i="26"/>
  <c r="F17" i="14"/>
  <c r="I212" i="24"/>
  <c r="I43" i="14"/>
  <c r="H279" i="25"/>
  <c r="H262" i="25"/>
  <c r="H283" i="25"/>
  <c r="H274" i="25"/>
  <c r="H273" i="25"/>
  <c r="H277" i="25" s="1"/>
  <c r="H276" i="25"/>
  <c r="H272" i="25"/>
  <c r="H266" i="25"/>
  <c r="H282" i="25"/>
  <c r="H265" i="25"/>
  <c r="H263" i="25"/>
  <c r="H278" i="25"/>
  <c r="H280" i="25"/>
  <c r="H281" i="25"/>
  <c r="H284" i="25"/>
  <c r="H275" i="25"/>
  <c r="H270" i="25"/>
  <c r="H269" i="25"/>
  <c r="H268" i="25"/>
  <c r="H264" i="25"/>
  <c r="F14" i="26"/>
  <c r="F66" i="26"/>
  <c r="F65" i="26"/>
  <c r="F75" i="26"/>
  <c r="F79" i="26" s="1"/>
  <c r="F71" i="26"/>
  <c r="F73" i="26" s="1"/>
  <c r="F81" i="26"/>
  <c r="F82" i="26"/>
  <c r="F76" i="26"/>
  <c r="F83" i="26"/>
  <c r="F77" i="26"/>
  <c r="F80" i="26"/>
  <c r="F87" i="26" s="1"/>
  <c r="F85" i="26"/>
  <c r="F67" i="26"/>
  <c r="F84" i="26"/>
  <c r="F74" i="26"/>
  <c r="F70" i="26"/>
  <c r="F86" i="26"/>
  <c r="F64" i="26"/>
  <c r="F69" i="26" s="1"/>
  <c r="F78" i="26"/>
  <c r="F72" i="26"/>
  <c r="F68" i="26"/>
  <c r="F115" i="24"/>
  <c r="F121" i="24"/>
  <c r="F126" i="24"/>
  <c r="F132" i="24"/>
  <c r="F131" i="24"/>
  <c r="F118" i="24"/>
  <c r="F136" i="24"/>
  <c r="F117" i="24"/>
  <c r="F120" i="24"/>
  <c r="F116" i="24"/>
  <c r="F134" i="24"/>
  <c r="F114" i="24"/>
  <c r="F119" i="24" s="1"/>
  <c r="F130" i="24"/>
  <c r="F137" i="24" s="1"/>
  <c r="F127" i="24"/>
  <c r="F133" i="24"/>
  <c r="F128" i="24"/>
  <c r="F125" i="24"/>
  <c r="F135" i="24"/>
  <c r="F122" i="24"/>
  <c r="F124" i="24"/>
  <c r="F426" i="26"/>
  <c r="F421" i="26"/>
  <c r="F429" i="26"/>
  <c r="F416" i="26"/>
  <c r="F411" i="26"/>
  <c r="F428" i="26"/>
  <c r="F422" i="26"/>
  <c r="F427" i="26"/>
  <c r="F409" i="26"/>
  <c r="F423" i="26"/>
  <c r="F412" i="26"/>
  <c r="F417" i="26"/>
  <c r="F419" i="26"/>
  <c r="F425" i="26"/>
  <c r="F420" i="26"/>
  <c r="F431" i="26"/>
  <c r="F413" i="26"/>
  <c r="F415" i="26"/>
  <c r="F418" i="26" s="1"/>
  <c r="F410" i="26"/>
  <c r="F430" i="26"/>
  <c r="F414" i="26"/>
  <c r="E36" i="23"/>
  <c r="E18" i="23"/>
  <c r="E17" i="23"/>
  <c r="E26" i="23"/>
  <c r="E22" i="23"/>
  <c r="E16" i="23"/>
  <c r="E25" i="23"/>
  <c r="E32" i="23"/>
  <c r="E37" i="23"/>
  <c r="E31" i="23"/>
  <c r="E23" i="23"/>
  <c r="E33" i="23"/>
  <c r="E35" i="23"/>
  <c r="E34" i="23"/>
  <c r="E27" i="23"/>
  <c r="E21" i="23"/>
  <c r="E24" i="23" s="1"/>
  <c r="E29" i="23"/>
  <c r="E19" i="23"/>
  <c r="E15" i="23"/>
  <c r="E20" i="23" s="1"/>
  <c r="E28" i="23"/>
  <c r="E30" i="23"/>
  <c r="E38" i="23"/>
  <c r="G39" i="14"/>
  <c r="G113" i="24"/>
  <c r="G74" i="23"/>
  <c r="G66" i="23"/>
  <c r="G65" i="23"/>
  <c r="G83" i="23"/>
  <c r="G78" i="23"/>
  <c r="G72" i="23"/>
  <c r="G84" i="23"/>
  <c r="G75" i="23"/>
  <c r="G67" i="23"/>
  <c r="G80" i="23"/>
  <c r="G87" i="23" s="1"/>
  <c r="G85" i="23"/>
  <c r="G77" i="23"/>
  <c r="G71" i="23"/>
  <c r="G86" i="23"/>
  <c r="G68" i="23"/>
  <c r="G70" i="23"/>
  <c r="G64" i="23"/>
  <c r="G76" i="23"/>
  <c r="G82" i="23"/>
  <c r="G81" i="23"/>
  <c r="G73" i="23"/>
  <c r="E137" i="24"/>
  <c r="E129" i="24"/>
  <c r="E15" i="15"/>
  <c r="E16" i="15"/>
  <c r="E19" i="15"/>
  <c r="E18" i="15"/>
  <c r="E17" i="15"/>
  <c r="E25" i="15"/>
  <c r="E37" i="15"/>
  <c r="E32" i="15"/>
  <c r="E31" i="15"/>
  <c r="E33" i="15"/>
  <c r="E26" i="15"/>
  <c r="E21" i="15"/>
  <c r="E35" i="15"/>
  <c r="E36" i="15"/>
  <c r="E22" i="15"/>
  <c r="E27" i="15"/>
  <c r="E28" i="15"/>
  <c r="E34" i="15"/>
  <c r="E29" i="15"/>
  <c r="E23" i="15"/>
  <c r="D38" i="15"/>
  <c r="D38" i="26"/>
  <c r="H173" i="24"/>
  <c r="G222" i="26"/>
  <c r="H234" i="24"/>
  <c r="H233" i="24"/>
  <c r="H229" i="24"/>
  <c r="H214" i="24"/>
  <c r="H227" i="24"/>
  <c r="H232" i="24"/>
  <c r="H215" i="24"/>
  <c r="H216" i="24"/>
  <c r="H223" i="24"/>
  <c r="H226" i="24"/>
  <c r="H219" i="24"/>
  <c r="H217" i="24"/>
  <c r="H235" i="24"/>
  <c r="H221" i="24"/>
  <c r="H222" i="24" s="1"/>
  <c r="H230" i="24"/>
  <c r="H231" i="24"/>
  <c r="H220" i="24"/>
  <c r="H213" i="24"/>
  <c r="H218" i="24" s="1"/>
  <c r="H225" i="24"/>
  <c r="H224" i="24"/>
  <c r="G184" i="26"/>
  <c r="G185" i="26"/>
  <c r="G168" i="26"/>
  <c r="G182" i="26"/>
  <c r="G167" i="26"/>
  <c r="G172" i="26"/>
  <c r="G183" i="26"/>
  <c r="G176" i="26"/>
  <c r="G186" i="26"/>
  <c r="G178" i="26"/>
  <c r="G171" i="26"/>
  <c r="G165" i="26"/>
  <c r="G175" i="26"/>
  <c r="G170" i="26"/>
  <c r="G180" i="26"/>
  <c r="G174" i="26"/>
  <c r="G179" i="26" s="1"/>
  <c r="G166" i="26"/>
  <c r="G164" i="26"/>
  <c r="G181" i="26"/>
  <c r="G177" i="26"/>
  <c r="G169" i="26"/>
  <c r="G173" i="26"/>
  <c r="I55" i="14"/>
  <c r="I261" i="25"/>
  <c r="I261" i="23"/>
  <c r="I261" i="24"/>
  <c r="E119" i="24"/>
  <c r="F65" i="14"/>
  <c r="F212" i="25"/>
  <c r="H47" i="14"/>
  <c r="H63" i="23"/>
  <c r="E26" i="27" a="1"/>
  <c r="E26" i="27" s="1"/>
  <c r="E34" i="26"/>
  <c r="E16" i="26"/>
  <c r="E25" i="26"/>
  <c r="E37" i="26"/>
  <c r="E19" i="26"/>
  <c r="E23" i="26"/>
  <c r="E29" i="26"/>
  <c r="E18" i="26"/>
  <c r="E21" i="26"/>
  <c r="E17" i="26"/>
  <c r="E22" i="26"/>
  <c r="E27" i="26"/>
  <c r="E31" i="26"/>
  <c r="E33" i="26"/>
  <c r="E28" i="26"/>
  <c r="E32" i="26"/>
  <c r="E35" i="26"/>
  <c r="E36" i="26"/>
  <c r="E26" i="26"/>
  <c r="E15" i="26"/>
  <c r="E20" i="26"/>
  <c r="E30" i="26"/>
  <c r="F136" i="23"/>
  <c r="F133" i="23"/>
  <c r="F118" i="23"/>
  <c r="F128" i="23"/>
  <c r="F135" i="23"/>
  <c r="F127" i="23"/>
  <c r="F132" i="23"/>
  <c r="F116" i="23"/>
  <c r="F121" i="23"/>
  <c r="F126" i="23"/>
  <c r="F131" i="23"/>
  <c r="F124" i="23"/>
  <c r="F120" i="23"/>
  <c r="F123" i="23" s="1"/>
  <c r="F134" i="23"/>
  <c r="F122" i="23"/>
  <c r="F114" i="23"/>
  <c r="F119" i="23" s="1"/>
  <c r="F117" i="23"/>
  <c r="F125" i="23"/>
  <c r="F130" i="23"/>
  <c r="F115" i="23"/>
  <c r="D20" i="26"/>
  <c r="E113" i="25"/>
  <c r="E61" i="14"/>
  <c r="H169" i="24"/>
  <c r="E418" i="26"/>
  <c r="G136" i="26"/>
  <c r="G125" i="26"/>
  <c r="G127" i="26"/>
  <c r="G120" i="26"/>
  <c r="G123" i="26" s="1"/>
  <c r="G122" i="26"/>
  <c r="G115" i="26"/>
  <c r="G117" i="26"/>
  <c r="G126" i="26"/>
  <c r="G128" i="26"/>
  <c r="G116" i="26"/>
  <c r="G132" i="26"/>
  <c r="G114" i="26"/>
  <c r="G119" i="26" s="1"/>
  <c r="G134" i="26"/>
  <c r="G121" i="26"/>
  <c r="G133" i="26"/>
  <c r="G118" i="26"/>
  <c r="G131" i="26"/>
  <c r="G135" i="26"/>
  <c r="G124" i="26"/>
  <c r="G129" i="26" s="1"/>
  <c r="G130" i="26"/>
  <c r="G137" i="26" s="1"/>
  <c r="F75" i="24"/>
  <c r="F70" i="24"/>
  <c r="F67" i="24"/>
  <c r="F80" i="24"/>
  <c r="F87" i="24" s="1"/>
  <c r="F76" i="24"/>
  <c r="F66" i="24"/>
  <c r="F77" i="24"/>
  <c r="F74" i="24"/>
  <c r="F72" i="24"/>
  <c r="F81" i="24"/>
  <c r="F68" i="24"/>
  <c r="F64" i="24"/>
  <c r="F69" i="24" s="1"/>
  <c r="F83" i="24"/>
  <c r="F78" i="24"/>
  <c r="F14" i="24"/>
  <c r="F65" i="24"/>
  <c r="F84" i="24"/>
  <c r="F71" i="24"/>
  <c r="F86" i="24"/>
  <c r="F82" i="24"/>
  <c r="F85" i="24"/>
  <c r="F367" i="26"/>
  <c r="F381" i="26"/>
  <c r="F372" i="26"/>
  <c r="F364" i="26"/>
  <c r="F360" i="26"/>
  <c r="F362" i="26"/>
  <c r="F361" i="26"/>
  <c r="F366" i="26"/>
  <c r="F371" i="26"/>
  <c r="F376" i="26"/>
  <c r="F380" i="26"/>
  <c r="F379" i="26"/>
  <c r="F373" i="26"/>
  <c r="F374" i="26"/>
  <c r="F370" i="26"/>
  <c r="F377" i="26"/>
  <c r="F363" i="26"/>
  <c r="F382" i="26"/>
  <c r="F368" i="26"/>
  <c r="F378" i="26"/>
  <c r="G267" i="23"/>
  <c r="G63" i="15"/>
  <c r="F11" i="14"/>
  <c r="F8" i="14" s="1"/>
  <c r="G13" i="14"/>
  <c r="H187" i="24"/>
  <c r="E63" i="25"/>
  <c r="E59" i="14"/>
  <c r="D57" i="14"/>
  <c r="E14" i="28" s="1"/>
  <c r="E12" i="28" s="1"/>
  <c r="F325" i="26"/>
  <c r="F318" i="26"/>
  <c r="F331" i="26"/>
  <c r="F313" i="26"/>
  <c r="F322" i="26"/>
  <c r="F323" i="26"/>
  <c r="F315" i="26"/>
  <c r="F312" i="26"/>
  <c r="F316" i="26" s="1"/>
  <c r="F319" i="26"/>
  <c r="F330" i="26"/>
  <c r="F317" i="26"/>
  <c r="F327" i="26"/>
  <c r="F324" i="26"/>
  <c r="F311" i="26"/>
  <c r="F332" i="26"/>
  <c r="F328" i="26"/>
  <c r="F329" i="26"/>
  <c r="F320" i="26"/>
  <c r="F333" i="26"/>
  <c r="F321" i="26"/>
  <c r="F326" i="26" s="1"/>
  <c r="F314" i="26"/>
  <c r="G267" i="25"/>
  <c r="G49" i="14"/>
  <c r="G45" i="14" s="1"/>
  <c r="G113" i="23"/>
  <c r="E21" i="24"/>
  <c r="E24" i="24" s="1"/>
  <c r="E18" i="24"/>
  <c r="E37" i="24"/>
  <c r="E34" i="24"/>
  <c r="E16" i="24"/>
  <c r="E25" i="24"/>
  <c r="E32" i="24"/>
  <c r="E33" i="24"/>
  <c r="E19" i="24"/>
  <c r="E35" i="24"/>
  <c r="E36" i="24"/>
  <c r="E17" i="24"/>
  <c r="E26" i="24"/>
  <c r="E29" i="24"/>
  <c r="E15" i="24"/>
  <c r="E20" i="24" s="1"/>
  <c r="E23" i="24"/>
  <c r="E22" i="24"/>
  <c r="E28" i="24"/>
  <c r="E31" i="24"/>
  <c r="E27" i="24"/>
  <c r="E30" i="24"/>
  <c r="E38" i="24"/>
  <c r="D24" i="26"/>
  <c r="H226" i="26"/>
  <c r="H231" i="26"/>
  <c r="H234" i="26"/>
  <c r="H232" i="26"/>
  <c r="H217" i="26"/>
  <c r="H233" i="26"/>
  <c r="H216" i="26"/>
  <c r="H218" i="26" s="1"/>
  <c r="H220" i="26"/>
  <c r="H224" i="26"/>
  <c r="H228" i="26" s="1"/>
  <c r="H223" i="26"/>
  <c r="H235" i="26"/>
  <c r="H215" i="26"/>
  <c r="H230" i="26"/>
  <c r="H213" i="26"/>
  <c r="H227" i="26"/>
  <c r="H229" i="26"/>
  <c r="H214" i="26"/>
  <c r="H219" i="26"/>
  <c r="H225" i="26"/>
  <c r="H221" i="26"/>
  <c r="H222" i="26"/>
  <c r="D131" i="25"/>
  <c r="D116" i="25"/>
  <c r="D120" i="25"/>
  <c r="D127" i="25"/>
  <c r="D130" i="25"/>
  <c r="D122" i="25"/>
  <c r="D125" i="25"/>
  <c r="D115" i="25"/>
  <c r="D119" i="25" s="1"/>
  <c r="D134" i="25"/>
  <c r="D128" i="25"/>
  <c r="D121" i="25"/>
  <c r="D124" i="25"/>
  <c r="D114" i="25"/>
  <c r="D135" i="25"/>
  <c r="D132" i="25"/>
  <c r="D133" i="25"/>
  <c r="D137" i="25" s="1"/>
  <c r="D118" i="25"/>
  <c r="D136" i="25"/>
  <c r="D126" i="25"/>
  <c r="D117" i="25"/>
  <c r="D129" i="25"/>
  <c r="D123" i="25"/>
  <c r="H179" i="24"/>
  <c r="G222" i="24"/>
  <c r="H21" i="14"/>
  <c r="H113" i="26"/>
  <c r="E163" i="25"/>
  <c r="E63" i="14"/>
  <c r="F226" i="23"/>
  <c r="F220" i="23"/>
  <c r="F231" i="23"/>
  <c r="F225" i="23"/>
  <c r="F215" i="23"/>
  <c r="F233" i="23"/>
  <c r="F230" i="23"/>
  <c r="F227" i="23"/>
  <c r="F216" i="23"/>
  <c r="F232" i="23"/>
  <c r="F217" i="23"/>
  <c r="F221" i="23"/>
  <c r="F229" i="23"/>
  <c r="F223" i="23"/>
  <c r="F228" i="23" s="1"/>
  <c r="F219" i="23"/>
  <c r="F222" i="23" s="1"/>
  <c r="F224" i="23"/>
  <c r="F234" i="23"/>
  <c r="F214" i="23"/>
  <c r="F235" i="23"/>
  <c r="F213" i="23"/>
  <c r="F218" i="23" s="1"/>
  <c r="G33" i="14"/>
  <c r="G408" i="26"/>
  <c r="D30" i="15"/>
  <c r="E73" i="24"/>
  <c r="F14" i="23"/>
  <c r="G53" i="14"/>
  <c r="G212" i="23"/>
  <c r="E217" i="25"/>
  <c r="E229" i="25"/>
  <c r="E236" i="25" s="1"/>
  <c r="E227" i="25"/>
  <c r="E224" i="25"/>
  <c r="E216" i="25"/>
  <c r="E230" i="25"/>
  <c r="E223" i="25"/>
  <c r="E221" i="25"/>
  <c r="E233" i="25"/>
  <c r="E215" i="25"/>
  <c r="E219" i="25"/>
  <c r="E214" i="25"/>
  <c r="E218" i="25" s="1"/>
  <c r="E213" i="25"/>
  <c r="E232" i="25"/>
  <c r="E234" i="25"/>
  <c r="E220" i="25"/>
  <c r="E235" i="25"/>
  <c r="E225" i="25"/>
  <c r="E231" i="25"/>
  <c r="E226" i="25"/>
  <c r="E222" i="25"/>
  <c r="E228" i="25"/>
  <c r="H284" i="23"/>
  <c r="H283" i="23"/>
  <c r="H282" i="23"/>
  <c r="H268" i="23"/>
  <c r="H278" i="23"/>
  <c r="H262" i="23"/>
  <c r="H264" i="23"/>
  <c r="H274" i="23"/>
  <c r="H266" i="23"/>
  <c r="H276" i="23"/>
  <c r="H263" i="23"/>
  <c r="H265" i="23"/>
  <c r="H269" i="23"/>
  <c r="H279" i="23"/>
  <c r="H275" i="23"/>
  <c r="H281" i="23"/>
  <c r="H270" i="23"/>
  <c r="H272" i="23"/>
  <c r="H277" i="23" s="1"/>
  <c r="H273" i="23"/>
  <c r="H280" i="23"/>
  <c r="E375" i="26"/>
  <c r="E119" i="23"/>
  <c r="D86" i="25"/>
  <c r="D14" i="25"/>
  <c r="D78" i="25"/>
  <c r="D85" i="25"/>
  <c r="D80" i="25"/>
  <c r="D87" i="25"/>
  <c r="D76" i="25"/>
  <c r="D66" i="25"/>
  <c r="D77" i="25"/>
  <c r="D70" i="25"/>
  <c r="D64" i="25"/>
  <c r="D83" i="25"/>
  <c r="D75" i="25"/>
  <c r="D65" i="25"/>
  <c r="D69" i="25" s="1"/>
  <c r="D71" i="25"/>
  <c r="D72" i="25"/>
  <c r="D81" i="25"/>
  <c r="D82" i="25"/>
  <c r="D84" i="25"/>
  <c r="D74" i="25"/>
  <c r="D67" i="25"/>
  <c r="D68" i="25"/>
  <c r="D79" i="25"/>
  <c r="G29" i="14"/>
  <c r="G310" i="26"/>
  <c r="E87" i="26"/>
  <c r="E87" i="24"/>
  <c r="I25" i="14"/>
  <c r="I212" i="26"/>
  <c r="F175" i="23"/>
  <c r="F179" i="23" s="1"/>
  <c r="F166" i="23"/>
  <c r="F170" i="23"/>
  <c r="F182" i="23"/>
  <c r="F165" i="23"/>
  <c r="F167" i="23"/>
  <c r="F169" i="23" s="1"/>
  <c r="F186" i="23"/>
  <c r="F184" i="23"/>
  <c r="F172" i="23"/>
  <c r="F178" i="23"/>
  <c r="F180" i="23"/>
  <c r="F177" i="23"/>
  <c r="F181" i="23"/>
  <c r="F176" i="23"/>
  <c r="F185" i="23"/>
  <c r="F171" i="23"/>
  <c r="F173" i="23" s="1"/>
  <c r="F168" i="23"/>
  <c r="F174" i="23"/>
  <c r="F164" i="23"/>
  <c r="F183" i="23"/>
  <c r="F73" i="23"/>
  <c r="H133" i="15"/>
  <c r="H130" i="15"/>
  <c r="H136" i="15"/>
  <c r="H124" i="15"/>
  <c r="H127" i="15"/>
  <c r="H120" i="15"/>
  <c r="H116" i="15"/>
  <c r="H128" i="15"/>
  <c r="H121" i="15"/>
  <c r="H134" i="15"/>
  <c r="H131" i="15"/>
  <c r="H114" i="15"/>
  <c r="H125" i="15"/>
  <c r="H135" i="15"/>
  <c r="H132" i="15"/>
  <c r="H118" i="15"/>
  <c r="H126" i="15"/>
  <c r="H117" i="15"/>
  <c r="H115" i="15"/>
  <c r="H122" i="15"/>
  <c r="I15" i="14"/>
  <c r="I113" i="15"/>
  <c r="D104" i="15"/>
  <c r="D106" i="15"/>
  <c r="D105" i="15"/>
  <c r="F92" i="15"/>
  <c r="E99" i="15"/>
  <c r="E100" i="15"/>
  <c r="E102" i="15"/>
  <c r="E103" i="15"/>
  <c r="E109" i="15"/>
  <c r="E93" i="15"/>
  <c r="E107" i="15"/>
  <c r="E110" i="15"/>
  <c r="E111" i="15"/>
  <c r="E94" i="15"/>
  <c r="E96" i="15"/>
  <c r="E97" i="15"/>
  <c r="H137" i="15" l="1"/>
  <c r="F73" i="15"/>
  <c r="F79" i="15"/>
  <c r="E30" i="15"/>
  <c r="E38" i="15"/>
  <c r="E20" i="15"/>
  <c r="H123" i="15"/>
  <c r="E24" i="15"/>
  <c r="F69" i="15"/>
  <c r="H119" i="15"/>
  <c r="H129" i="15"/>
  <c r="F87" i="15"/>
  <c r="G14" i="26"/>
  <c r="G64" i="26"/>
  <c r="G76" i="26"/>
  <c r="G80" i="26"/>
  <c r="G87" i="26" s="1"/>
  <c r="G82" i="26"/>
  <c r="G71" i="26"/>
  <c r="G74" i="26"/>
  <c r="G70" i="26"/>
  <c r="G66" i="26"/>
  <c r="G68" i="26"/>
  <c r="G75" i="26"/>
  <c r="G79" i="26" s="1"/>
  <c r="G67" i="26"/>
  <c r="G85" i="26"/>
  <c r="G83" i="26"/>
  <c r="G84" i="26"/>
  <c r="G78" i="26"/>
  <c r="G86" i="26"/>
  <c r="G77" i="26"/>
  <c r="G81" i="26"/>
  <c r="G65" i="26"/>
  <c r="G69" i="26" s="1"/>
  <c r="G72" i="26"/>
  <c r="H31" i="14"/>
  <c r="H359" i="26"/>
  <c r="G76" i="24"/>
  <c r="G71" i="24"/>
  <c r="G67" i="24"/>
  <c r="G82" i="24"/>
  <c r="G68" i="24"/>
  <c r="G14" i="24"/>
  <c r="G72" i="24"/>
  <c r="G77" i="24"/>
  <c r="G64" i="24"/>
  <c r="G65" i="24"/>
  <c r="G66" i="24"/>
  <c r="G80" i="24"/>
  <c r="G75" i="24"/>
  <c r="G84" i="24"/>
  <c r="G78" i="24"/>
  <c r="G81" i="24"/>
  <c r="G85" i="24"/>
  <c r="G87" i="24" s="1"/>
  <c r="G86" i="24"/>
  <c r="G70" i="24"/>
  <c r="G73" i="24" s="1"/>
  <c r="G83" i="24"/>
  <c r="G74" i="24"/>
  <c r="G233" i="23"/>
  <c r="G226" i="23"/>
  <c r="G231" i="23"/>
  <c r="G234" i="23"/>
  <c r="G216" i="23"/>
  <c r="G232" i="23"/>
  <c r="G227" i="23"/>
  <c r="G221" i="23"/>
  <c r="G223" i="23"/>
  <c r="G230" i="23"/>
  <c r="G224" i="23"/>
  <c r="G217" i="23"/>
  <c r="G220" i="23"/>
  <c r="G225" i="23"/>
  <c r="G228" i="23" s="1"/>
  <c r="G219" i="23"/>
  <c r="G235" i="23"/>
  <c r="G214" i="23"/>
  <c r="G229" i="23"/>
  <c r="G213" i="23"/>
  <c r="G215" i="23"/>
  <c r="G218" i="23"/>
  <c r="G134" i="23"/>
  <c r="G124" i="23"/>
  <c r="G129" i="23" s="1"/>
  <c r="G116" i="23"/>
  <c r="G121" i="23"/>
  <c r="G126" i="23"/>
  <c r="G131" i="23"/>
  <c r="G114" i="23"/>
  <c r="G119" i="23" s="1"/>
  <c r="G136" i="23"/>
  <c r="G128" i="23"/>
  <c r="G133" i="23"/>
  <c r="G117" i="23"/>
  <c r="G122" i="23"/>
  <c r="G127" i="23"/>
  <c r="G132" i="23"/>
  <c r="G120" i="23"/>
  <c r="G123" i="23" s="1"/>
  <c r="G125" i="23"/>
  <c r="G135" i="23"/>
  <c r="G115" i="23"/>
  <c r="G130" i="23"/>
  <c r="G118" i="23"/>
  <c r="E132" i="25"/>
  <c r="E115" i="25"/>
  <c r="E116" i="25"/>
  <c r="E124" i="25"/>
  <c r="E133" i="25"/>
  <c r="E131" i="25"/>
  <c r="E114" i="25"/>
  <c r="E134" i="25"/>
  <c r="E121" i="25"/>
  <c r="E123" i="25" s="1"/>
  <c r="E125" i="25"/>
  <c r="E120" i="25"/>
  <c r="E126" i="25"/>
  <c r="E136" i="25"/>
  <c r="E127" i="25"/>
  <c r="E135" i="25"/>
  <c r="E128" i="25"/>
  <c r="E118" i="25"/>
  <c r="E119" i="25"/>
  <c r="E117" i="25"/>
  <c r="E122" i="25"/>
  <c r="E130" i="25"/>
  <c r="E137" i="25" s="1"/>
  <c r="E38" i="26"/>
  <c r="I272" i="23"/>
  <c r="I277" i="23" s="1"/>
  <c r="I276" i="23"/>
  <c r="I281" i="23"/>
  <c r="I273" i="23"/>
  <c r="I282" i="23"/>
  <c r="I283" i="23"/>
  <c r="I268" i="23"/>
  <c r="I263" i="23"/>
  <c r="I267" i="23" s="1"/>
  <c r="I265" i="23"/>
  <c r="I275" i="23"/>
  <c r="I262" i="23"/>
  <c r="I278" i="23"/>
  <c r="I264" i="23"/>
  <c r="I270" i="23"/>
  <c r="I280" i="23"/>
  <c r="I269" i="23"/>
  <c r="I271" i="23" s="1"/>
  <c r="I266" i="23"/>
  <c r="I279" i="23"/>
  <c r="I284" i="23"/>
  <c r="I274" i="23"/>
  <c r="F123" i="24"/>
  <c r="H63" i="26"/>
  <c r="H19" i="14"/>
  <c r="G17" i="14"/>
  <c r="I223" i="26"/>
  <c r="I215" i="26"/>
  <c r="I217" i="26"/>
  <c r="I234" i="26"/>
  <c r="I227" i="26"/>
  <c r="I226" i="26"/>
  <c r="I228" i="26" s="1"/>
  <c r="I230" i="26"/>
  <c r="I233" i="26"/>
  <c r="I235" i="26"/>
  <c r="I224" i="26"/>
  <c r="I232" i="26"/>
  <c r="I216" i="26"/>
  <c r="I231" i="26"/>
  <c r="I220" i="26"/>
  <c r="I229" i="26"/>
  <c r="I219" i="26"/>
  <c r="I221" i="26"/>
  <c r="I214" i="26"/>
  <c r="I213" i="26"/>
  <c r="I225" i="26"/>
  <c r="I218" i="26"/>
  <c r="I222" i="26"/>
  <c r="H53" i="14"/>
  <c r="H212" i="23"/>
  <c r="H267" i="23"/>
  <c r="F18" i="23"/>
  <c r="F16" i="23"/>
  <c r="F21" i="23"/>
  <c r="F19" i="23"/>
  <c r="F23" i="23"/>
  <c r="F27" i="23"/>
  <c r="F17" i="23"/>
  <c r="F33" i="23"/>
  <c r="F37" i="23"/>
  <c r="F32" i="23"/>
  <c r="F25" i="23"/>
  <c r="F36" i="23"/>
  <c r="F28" i="23"/>
  <c r="F26" i="23"/>
  <c r="F30" i="23" s="1"/>
  <c r="F15" i="23"/>
  <c r="F34" i="23"/>
  <c r="F29" i="23"/>
  <c r="F22" i="23"/>
  <c r="F24" i="23" s="1"/>
  <c r="F35" i="23"/>
  <c r="F31" i="23"/>
  <c r="F20" i="23"/>
  <c r="F38" i="23"/>
  <c r="I21" i="14"/>
  <c r="I113" i="26"/>
  <c r="F59" i="14"/>
  <c r="F63" i="25"/>
  <c r="E57" i="14"/>
  <c r="F14" i="28" s="1"/>
  <c r="F12" i="28" s="1"/>
  <c r="F73" i="24"/>
  <c r="H70" i="23"/>
  <c r="H67" i="23"/>
  <c r="H64" i="23"/>
  <c r="H77" i="23"/>
  <c r="H75" i="23"/>
  <c r="H83" i="23"/>
  <c r="H65" i="23"/>
  <c r="H84" i="23"/>
  <c r="H66" i="23"/>
  <c r="H80" i="23"/>
  <c r="H72" i="23"/>
  <c r="H85" i="23"/>
  <c r="H81" i="23"/>
  <c r="H82" i="23"/>
  <c r="H86" i="23"/>
  <c r="H76" i="23"/>
  <c r="H78" i="23"/>
  <c r="H74" i="23"/>
  <c r="H71" i="23"/>
  <c r="H68" i="23"/>
  <c r="J55" i="14"/>
  <c r="J261" i="25"/>
  <c r="J261" i="24"/>
  <c r="J261" i="23"/>
  <c r="G79" i="23"/>
  <c r="H271" i="25"/>
  <c r="J185" i="24"/>
  <c r="J175" i="24"/>
  <c r="J177" i="24"/>
  <c r="J168" i="24"/>
  <c r="J170" i="24"/>
  <c r="J172" i="24"/>
  <c r="J186" i="24"/>
  <c r="J176" i="24"/>
  <c r="J178" i="24"/>
  <c r="J182" i="24"/>
  <c r="J167" i="24"/>
  <c r="J183" i="24"/>
  <c r="J165" i="24"/>
  <c r="J164" i="24"/>
  <c r="J166" i="24"/>
  <c r="J184" i="24"/>
  <c r="J187" i="24" s="1"/>
  <c r="J174" i="24"/>
  <c r="J181" i="24"/>
  <c r="J171" i="24"/>
  <c r="J180" i="24"/>
  <c r="J173" i="24"/>
  <c r="G164" i="23"/>
  <c r="G169" i="23" s="1"/>
  <c r="G174" i="23"/>
  <c r="G179" i="23" s="1"/>
  <c r="G185" i="23"/>
  <c r="G168" i="23"/>
  <c r="G171" i="23"/>
  <c r="G178" i="23"/>
  <c r="G172" i="23"/>
  <c r="G166" i="23"/>
  <c r="G184" i="23"/>
  <c r="G183" i="23"/>
  <c r="G181" i="23"/>
  <c r="G182" i="23"/>
  <c r="G170" i="23"/>
  <c r="G186" i="23"/>
  <c r="G167" i="23"/>
  <c r="G176" i="23"/>
  <c r="G175" i="23"/>
  <c r="G180" i="23"/>
  <c r="G165" i="23"/>
  <c r="G177" i="23"/>
  <c r="I270" i="24"/>
  <c r="I279" i="24"/>
  <c r="I272" i="24"/>
  <c r="I277" i="24" s="1"/>
  <c r="I280" i="24"/>
  <c r="I274" i="24"/>
  <c r="I269" i="24"/>
  <c r="I283" i="24"/>
  <c r="I278" i="24"/>
  <c r="I281" i="24"/>
  <c r="I284" i="24"/>
  <c r="I273" i="24"/>
  <c r="I268" i="24"/>
  <c r="I271" i="24" s="1"/>
  <c r="I263" i="24"/>
  <c r="I276" i="24"/>
  <c r="I266" i="24"/>
  <c r="I275" i="24"/>
  <c r="I262" i="24"/>
  <c r="I282" i="24"/>
  <c r="I264" i="24"/>
  <c r="I265" i="24"/>
  <c r="E35" i="28"/>
  <c r="E47" i="27" s="1" a="1"/>
  <c r="E47" i="27" s="1"/>
  <c r="E29" i="28"/>
  <c r="E41" i="27" s="1" a="1"/>
  <c r="E41" i="27" s="1"/>
  <c r="E16" i="28"/>
  <c r="E28" i="27" s="1" a="1"/>
  <c r="E28" i="27" s="1"/>
  <c r="E21" i="28"/>
  <c r="E33" i="27" s="1" a="1"/>
  <c r="E33" i="27" s="1"/>
  <c r="E26" i="28"/>
  <c r="E38" i="27" s="1" a="1"/>
  <c r="E38" i="27" s="1"/>
  <c r="E31" i="28"/>
  <c r="E43" i="27" s="1" a="1"/>
  <c r="E43" i="27" s="1"/>
  <c r="E23" i="28"/>
  <c r="E35" i="27" s="1" a="1"/>
  <c r="E35" i="27" s="1"/>
  <c r="E18" i="28"/>
  <c r="E30" i="27" s="1" a="1"/>
  <c r="E30" i="27" s="1"/>
  <c r="E27" i="28"/>
  <c r="E39" i="27" s="1" a="1"/>
  <c r="E39" i="27" s="1"/>
  <c r="E37" i="28"/>
  <c r="E49" i="27" s="1" a="1"/>
  <c r="E49" i="27" s="1"/>
  <c r="E34" i="28"/>
  <c r="E46" i="27" s="1" a="1"/>
  <c r="E46" i="27" s="1"/>
  <c r="E28" i="28"/>
  <c r="E40" i="27" s="1" a="1"/>
  <c r="E40" i="27" s="1"/>
  <c r="E22" i="28"/>
  <c r="E34" i="27" s="1" a="1"/>
  <c r="E34" i="27" s="1"/>
  <c r="E15" i="28"/>
  <c r="E27" i="27" s="1" a="1"/>
  <c r="E27" i="27" s="1"/>
  <c r="E36" i="28"/>
  <c r="E32" i="28"/>
  <c r="E44" i="27" s="1" a="1"/>
  <c r="E44" i="27" s="1"/>
  <c r="E25" i="28"/>
  <c r="E37" i="27" s="1" a="1"/>
  <c r="E37" i="27" s="1"/>
  <c r="E33" i="28"/>
  <c r="E45" i="27" s="1" a="1"/>
  <c r="E45" i="27" s="1"/>
  <c r="E17" i="28"/>
  <c r="E29" i="27" s="1" a="1"/>
  <c r="E29" i="27" s="1"/>
  <c r="E19" i="28"/>
  <c r="E31" i="27" s="1" a="1"/>
  <c r="E31" i="27" s="1"/>
  <c r="J25" i="14"/>
  <c r="J212" i="26"/>
  <c r="E78" i="25"/>
  <c r="E14" i="25"/>
  <c r="E70" i="25"/>
  <c r="E65" i="25"/>
  <c r="E64" i="25"/>
  <c r="E77" i="25"/>
  <c r="E85" i="25"/>
  <c r="E68" i="25"/>
  <c r="E72" i="25"/>
  <c r="E74" i="25"/>
  <c r="E79" i="25" s="1"/>
  <c r="E81" i="25"/>
  <c r="E71" i="25"/>
  <c r="E75" i="25"/>
  <c r="E67" i="25"/>
  <c r="E84" i="25"/>
  <c r="E66" i="25"/>
  <c r="E69" i="25" s="1"/>
  <c r="E80" i="25"/>
  <c r="E87" i="25" s="1"/>
  <c r="E86" i="25"/>
  <c r="E76" i="25"/>
  <c r="E83" i="25"/>
  <c r="E82" i="25"/>
  <c r="F79" i="24"/>
  <c r="F129" i="23"/>
  <c r="E24" i="26"/>
  <c r="I47" i="14"/>
  <c r="I63" i="23"/>
  <c r="G69" i="23"/>
  <c r="F129" i="24"/>
  <c r="F35" i="26"/>
  <c r="F29" i="26"/>
  <c r="F16" i="26"/>
  <c r="F27" i="26"/>
  <c r="F34" i="26"/>
  <c r="F15" i="26"/>
  <c r="F36" i="26"/>
  <c r="F26" i="26"/>
  <c r="F19" i="26"/>
  <c r="F37" i="26"/>
  <c r="F22" i="26"/>
  <c r="F21" i="26"/>
  <c r="F28" i="26"/>
  <c r="F17" i="26"/>
  <c r="F18" i="26"/>
  <c r="F32" i="26"/>
  <c r="F31" i="26"/>
  <c r="F33" i="26"/>
  <c r="F25" i="26"/>
  <c r="F23" i="26"/>
  <c r="J212" i="24"/>
  <c r="J43" i="14"/>
  <c r="K41" i="14"/>
  <c r="K163" i="24"/>
  <c r="H277" i="24"/>
  <c r="H51" i="14"/>
  <c r="H163" i="23"/>
  <c r="H33" i="14"/>
  <c r="H408" i="26"/>
  <c r="F61" i="14"/>
  <c r="F113" i="25"/>
  <c r="H130" i="26"/>
  <c r="H120" i="26"/>
  <c r="H117" i="26"/>
  <c r="H119" i="26" s="1"/>
  <c r="H127" i="26"/>
  <c r="H132" i="26"/>
  <c r="H114" i="26"/>
  <c r="H122" i="26"/>
  <c r="H115" i="26"/>
  <c r="H124" i="26"/>
  <c r="H129" i="26" s="1"/>
  <c r="H121" i="26"/>
  <c r="H133" i="26"/>
  <c r="H123" i="26"/>
  <c r="H128" i="26"/>
  <c r="H134" i="26"/>
  <c r="H125" i="26"/>
  <c r="H135" i="26"/>
  <c r="H131" i="26"/>
  <c r="H116" i="26"/>
  <c r="H126" i="26"/>
  <c r="H136" i="26"/>
  <c r="H118" i="26"/>
  <c r="F19" i="15"/>
  <c r="F18" i="15"/>
  <c r="F16" i="15"/>
  <c r="F17" i="15"/>
  <c r="F21" i="15"/>
  <c r="F15" i="15"/>
  <c r="F23" i="15"/>
  <c r="F37" i="15"/>
  <c r="F29" i="15"/>
  <c r="F36" i="15"/>
  <c r="F34" i="15"/>
  <c r="F22" i="15"/>
  <c r="F32" i="15"/>
  <c r="F27" i="15"/>
  <c r="F26" i="15"/>
  <c r="F25" i="15"/>
  <c r="F35" i="15"/>
  <c r="F31" i="15"/>
  <c r="F33" i="15"/>
  <c r="F28" i="15"/>
  <c r="F22" i="24"/>
  <c r="F25" i="24"/>
  <c r="F19" i="24"/>
  <c r="F34" i="24"/>
  <c r="F36" i="24"/>
  <c r="F33" i="24"/>
  <c r="F23" i="24"/>
  <c r="F29" i="24"/>
  <c r="F32" i="24"/>
  <c r="F26" i="24"/>
  <c r="F18" i="24"/>
  <c r="F28" i="24"/>
  <c r="F21" i="24"/>
  <c r="F16" i="24"/>
  <c r="F15" i="24"/>
  <c r="F35" i="24"/>
  <c r="F31" i="24"/>
  <c r="F27" i="24"/>
  <c r="F37" i="24"/>
  <c r="F17" i="24"/>
  <c r="F137" i="23"/>
  <c r="F233" i="25"/>
  <c r="F230" i="25"/>
  <c r="F216" i="25"/>
  <c r="F235" i="25"/>
  <c r="F226" i="25"/>
  <c r="F213" i="25"/>
  <c r="F219" i="25"/>
  <c r="F229" i="25"/>
  <c r="F236" i="25" s="1"/>
  <c r="F227" i="25"/>
  <c r="F223" i="25"/>
  <c r="F224" i="25"/>
  <c r="F214" i="25"/>
  <c r="F221" i="25"/>
  <c r="F217" i="25"/>
  <c r="F215" i="25"/>
  <c r="F218" i="25" s="1"/>
  <c r="F220" i="25"/>
  <c r="F222" i="25" s="1"/>
  <c r="F225" i="25"/>
  <c r="F228" i="25" s="1"/>
  <c r="F232" i="25"/>
  <c r="F234" i="25"/>
  <c r="F231" i="25"/>
  <c r="G14" i="23"/>
  <c r="I235" i="24"/>
  <c r="I227" i="24"/>
  <c r="I223" i="24"/>
  <c r="I234" i="24"/>
  <c r="I233" i="24"/>
  <c r="I236" i="24"/>
  <c r="I217" i="24"/>
  <c r="I226" i="24"/>
  <c r="I219" i="24"/>
  <c r="I221" i="24"/>
  <c r="I225" i="24"/>
  <c r="I228" i="24" s="1"/>
  <c r="I230" i="24"/>
  <c r="I220" i="24"/>
  <c r="I222" i="24" s="1"/>
  <c r="I213" i="24"/>
  <c r="I229" i="24"/>
  <c r="I232" i="24"/>
  <c r="I216" i="24"/>
  <c r="I224" i="24"/>
  <c r="I215" i="24"/>
  <c r="I231" i="24"/>
  <c r="I214" i="24"/>
  <c r="H267" i="24"/>
  <c r="H271" i="23"/>
  <c r="I274" i="25"/>
  <c r="I269" i="25"/>
  <c r="I279" i="25"/>
  <c r="I265" i="25"/>
  <c r="I262" i="25"/>
  <c r="I273" i="25"/>
  <c r="I275" i="25"/>
  <c r="I268" i="25"/>
  <c r="I270" i="25"/>
  <c r="I271" i="25"/>
  <c r="I276" i="25"/>
  <c r="I277" i="25" s="1"/>
  <c r="I284" i="25"/>
  <c r="I281" i="25"/>
  <c r="I282" i="25"/>
  <c r="I283" i="25"/>
  <c r="I266" i="25"/>
  <c r="I263" i="25"/>
  <c r="I264" i="25"/>
  <c r="I280" i="25"/>
  <c r="I272" i="25"/>
  <c r="I278" i="25"/>
  <c r="H37" i="14"/>
  <c r="H63" i="24"/>
  <c r="G35" i="14"/>
  <c r="G314" i="26"/>
  <c r="G328" i="26"/>
  <c r="G332" i="26"/>
  <c r="G323" i="26"/>
  <c r="G319" i="26"/>
  <c r="G313" i="26"/>
  <c r="G318" i="26"/>
  <c r="G324" i="26"/>
  <c r="G322" i="26"/>
  <c r="G311" i="26"/>
  <c r="G321" i="26"/>
  <c r="G326" i="26" s="1"/>
  <c r="G315" i="26"/>
  <c r="G330" i="26"/>
  <c r="G312" i="26"/>
  <c r="G329" i="26"/>
  <c r="G331" i="26"/>
  <c r="G317" i="26"/>
  <c r="G325" i="26"/>
  <c r="G327" i="26"/>
  <c r="G333" i="26"/>
  <c r="D73" i="25"/>
  <c r="D27" i="25"/>
  <c r="D29" i="25"/>
  <c r="D22" i="25"/>
  <c r="D19" i="25"/>
  <c r="D28" i="25"/>
  <c r="D16" i="25"/>
  <c r="D23" i="25"/>
  <c r="D15" i="25"/>
  <c r="D31" i="25"/>
  <c r="D38" i="25" s="1"/>
  <c r="D18" i="25"/>
  <c r="D20" i="25" s="1"/>
  <c r="D35" i="25"/>
  <c r="D26" i="25"/>
  <c r="D34" i="25"/>
  <c r="D21" i="25"/>
  <c r="D17" i="25"/>
  <c r="D25" i="25"/>
  <c r="D30" i="25" s="1"/>
  <c r="D33" i="25"/>
  <c r="D36" i="25"/>
  <c r="D32" i="25"/>
  <c r="D37" i="25"/>
  <c r="D24" i="25"/>
  <c r="H63" i="15"/>
  <c r="G11" i="14"/>
  <c r="G8" i="14" s="1"/>
  <c r="H13" i="14"/>
  <c r="F369" i="26"/>
  <c r="G65" i="14"/>
  <c r="G212" i="25"/>
  <c r="H236" i="24"/>
  <c r="G117" i="24"/>
  <c r="G134" i="24"/>
  <c r="G133" i="24"/>
  <c r="G126" i="24"/>
  <c r="G118" i="24"/>
  <c r="G125" i="24"/>
  <c r="G128" i="24"/>
  <c r="G122" i="24"/>
  <c r="G136" i="24"/>
  <c r="G116" i="24"/>
  <c r="G130" i="24"/>
  <c r="G137" i="24" s="1"/>
  <c r="G132" i="24"/>
  <c r="G115" i="24"/>
  <c r="G119" i="24" s="1"/>
  <c r="G121" i="24"/>
  <c r="G131" i="24"/>
  <c r="G124" i="24"/>
  <c r="G129" i="24" s="1"/>
  <c r="G135" i="24"/>
  <c r="G114" i="24"/>
  <c r="G127" i="24"/>
  <c r="G120" i="24"/>
  <c r="H267" i="25"/>
  <c r="H174" i="26"/>
  <c r="H168" i="26"/>
  <c r="H186" i="26"/>
  <c r="H184" i="26"/>
  <c r="H178" i="26"/>
  <c r="H185" i="26"/>
  <c r="H167" i="26"/>
  <c r="H182" i="26"/>
  <c r="H170" i="26"/>
  <c r="H175" i="26"/>
  <c r="H164" i="26"/>
  <c r="H166" i="26"/>
  <c r="H171" i="26"/>
  <c r="H176" i="26"/>
  <c r="H181" i="26"/>
  <c r="H165" i="26"/>
  <c r="H169" i="26" s="1"/>
  <c r="H183" i="26"/>
  <c r="H177" i="26"/>
  <c r="H180" i="26"/>
  <c r="H172" i="26"/>
  <c r="G283" i="26"/>
  <c r="G279" i="26"/>
  <c r="G262" i="26"/>
  <c r="G265" i="26"/>
  <c r="G270" i="26"/>
  <c r="G275" i="26"/>
  <c r="G263" i="26"/>
  <c r="G284" i="26"/>
  <c r="G269" i="26"/>
  <c r="G278" i="26"/>
  <c r="G272" i="26"/>
  <c r="G268" i="26"/>
  <c r="G271" i="26" s="1"/>
  <c r="G280" i="26"/>
  <c r="G274" i="26"/>
  <c r="G273" i="26"/>
  <c r="G277" i="26" s="1"/>
  <c r="G264" i="26"/>
  <c r="G267" i="26" s="1"/>
  <c r="G282" i="26"/>
  <c r="G276" i="26"/>
  <c r="G281" i="26"/>
  <c r="G266" i="26"/>
  <c r="E170" i="25"/>
  <c r="E173" i="25" s="1"/>
  <c r="E167" i="25"/>
  <c r="E182" i="25"/>
  <c r="E168" i="25"/>
  <c r="E166" i="25"/>
  <c r="E174" i="25"/>
  <c r="E165" i="25"/>
  <c r="E164" i="25"/>
  <c r="E169" i="25" s="1"/>
  <c r="E184" i="25"/>
  <c r="E171" i="25"/>
  <c r="E172" i="25"/>
  <c r="E186" i="25"/>
  <c r="E183" i="25"/>
  <c r="E178" i="25"/>
  <c r="E180" i="25"/>
  <c r="E187" i="25" s="1"/>
  <c r="E177" i="25"/>
  <c r="E179" i="25" s="1"/>
  <c r="E181" i="25"/>
  <c r="E176" i="25"/>
  <c r="E185" i="25"/>
  <c r="E175" i="25"/>
  <c r="G84" i="15"/>
  <c r="G66" i="15"/>
  <c r="G75" i="15"/>
  <c r="G72" i="15"/>
  <c r="G80" i="15"/>
  <c r="G77" i="15"/>
  <c r="G71" i="15"/>
  <c r="G86" i="15"/>
  <c r="G82" i="15"/>
  <c r="G68" i="15"/>
  <c r="G64" i="15"/>
  <c r="G65" i="15"/>
  <c r="G67" i="15"/>
  <c r="G81" i="15"/>
  <c r="G78" i="15"/>
  <c r="G85" i="15"/>
  <c r="G70" i="15"/>
  <c r="G76" i="15"/>
  <c r="G83" i="15"/>
  <c r="G74" i="15"/>
  <c r="G14" i="15"/>
  <c r="H49" i="14"/>
  <c r="H45" i="14" s="1"/>
  <c r="H113" i="23"/>
  <c r="H29" i="14"/>
  <c r="H310" i="26"/>
  <c r="G430" i="26"/>
  <c r="G412" i="26"/>
  <c r="G419" i="26"/>
  <c r="G431" i="26"/>
  <c r="G415" i="26"/>
  <c r="G428" i="26"/>
  <c r="G429" i="26"/>
  <c r="G427" i="26"/>
  <c r="G425" i="26"/>
  <c r="G420" i="26"/>
  <c r="G424" i="26" s="1"/>
  <c r="G417" i="26"/>
  <c r="G409" i="26"/>
  <c r="G414" i="26" s="1"/>
  <c r="G423" i="26"/>
  <c r="G422" i="26"/>
  <c r="G416" i="26"/>
  <c r="G426" i="26"/>
  <c r="G418" i="26"/>
  <c r="G410" i="26"/>
  <c r="G413" i="26"/>
  <c r="G411" i="26"/>
  <c r="G421" i="26"/>
  <c r="F163" i="25"/>
  <c r="F63" i="14"/>
  <c r="F375" i="26"/>
  <c r="F365" i="26"/>
  <c r="H228" i="24"/>
  <c r="H39" i="14"/>
  <c r="H113" i="24"/>
  <c r="F424" i="26"/>
  <c r="I23" i="14"/>
  <c r="I163" i="26"/>
  <c r="G381" i="26"/>
  <c r="G380" i="26"/>
  <c r="G378" i="26"/>
  <c r="G363" i="26"/>
  <c r="G364" i="26"/>
  <c r="G374" i="26"/>
  <c r="G379" i="26"/>
  <c r="G366" i="26"/>
  <c r="G369" i="26" s="1"/>
  <c r="G371" i="26"/>
  <c r="G372" i="26"/>
  <c r="G376" i="26"/>
  <c r="G368" i="26"/>
  <c r="G360" i="26"/>
  <c r="G362" i="26"/>
  <c r="G370" i="26"/>
  <c r="G375" i="26" s="1"/>
  <c r="G373" i="26"/>
  <c r="G367" i="26"/>
  <c r="G361" i="26"/>
  <c r="G382" i="26"/>
  <c r="G377" i="26"/>
  <c r="G365" i="26"/>
  <c r="H27" i="14"/>
  <c r="H261" i="26"/>
  <c r="I136" i="15"/>
  <c r="I124" i="15"/>
  <c r="I127" i="15"/>
  <c r="I120" i="15"/>
  <c r="I123" i="15" s="1"/>
  <c r="I116" i="15"/>
  <c r="I134" i="15"/>
  <c r="I131" i="15"/>
  <c r="I114" i="15"/>
  <c r="I128" i="15"/>
  <c r="I125" i="15"/>
  <c r="I121" i="15"/>
  <c r="I117" i="15"/>
  <c r="I126" i="15"/>
  <c r="I122" i="15"/>
  <c r="I118" i="15"/>
  <c r="I115" i="15"/>
  <c r="I132" i="15"/>
  <c r="I130" i="15"/>
  <c r="I135" i="15"/>
  <c r="I133" i="15"/>
  <c r="J15" i="14"/>
  <c r="J113" i="15"/>
  <c r="G92" i="15"/>
  <c r="F96" i="15"/>
  <c r="F107" i="15"/>
  <c r="F110" i="15"/>
  <c r="F94" i="15"/>
  <c r="F97" i="15"/>
  <c r="F99" i="15"/>
  <c r="F100" i="15"/>
  <c r="F103" i="15"/>
  <c r="F93" i="15"/>
  <c r="F102" i="15"/>
  <c r="F109" i="15"/>
  <c r="F111" i="15"/>
  <c r="E106" i="15"/>
  <c r="E105" i="15"/>
  <c r="E104" i="15"/>
  <c r="F26" i="27" l="1" a="1"/>
  <c r="F26" i="27" s="1"/>
  <c r="G87" i="15"/>
  <c r="F38" i="15"/>
  <c r="F24" i="15"/>
  <c r="F30" i="15"/>
  <c r="G73" i="15"/>
  <c r="F20" i="15"/>
  <c r="E38" i="28"/>
  <c r="E48" i="27" a="1"/>
  <c r="E48" i="27" s="1"/>
  <c r="E20" i="28"/>
  <c r="G79" i="15"/>
  <c r="G69" i="15"/>
  <c r="I129" i="15"/>
  <c r="I137" i="15"/>
  <c r="I119" i="15"/>
  <c r="I174" i="26"/>
  <c r="I181" i="26"/>
  <c r="I184" i="26"/>
  <c r="I168" i="26"/>
  <c r="I183" i="26"/>
  <c r="I171" i="26"/>
  <c r="I176" i="26"/>
  <c r="I179" i="26" s="1"/>
  <c r="I178" i="26"/>
  <c r="I185" i="26"/>
  <c r="I180" i="26"/>
  <c r="I164" i="26"/>
  <c r="I167" i="26"/>
  <c r="I177" i="26"/>
  <c r="I170" i="26"/>
  <c r="I172" i="26"/>
  <c r="I173" i="26" s="1"/>
  <c r="I165" i="26"/>
  <c r="I169" i="26" s="1"/>
  <c r="I186" i="26"/>
  <c r="I175" i="26"/>
  <c r="I166" i="26"/>
  <c r="I182" i="26"/>
  <c r="J272" i="23"/>
  <c r="J265" i="23"/>
  <c r="J270" i="23"/>
  <c r="J262" i="23"/>
  <c r="J266" i="23"/>
  <c r="J276" i="23"/>
  <c r="J275" i="23"/>
  <c r="J263" i="23"/>
  <c r="J280" i="23"/>
  <c r="J282" i="23"/>
  <c r="J274" i="23"/>
  <c r="J273" i="23"/>
  <c r="J268" i="23"/>
  <c r="J284" i="23"/>
  <c r="J269" i="23"/>
  <c r="J271" i="23" s="1"/>
  <c r="J278" i="23"/>
  <c r="J283" i="23"/>
  <c r="J279" i="23"/>
  <c r="J264" i="23"/>
  <c r="J281" i="23"/>
  <c r="H431" i="26"/>
  <c r="H430" i="26"/>
  <c r="H419" i="26"/>
  <c r="H413" i="26"/>
  <c r="H423" i="26"/>
  <c r="H412" i="26"/>
  <c r="H417" i="26"/>
  <c r="H422" i="26"/>
  <c r="H427" i="26"/>
  <c r="H415" i="26"/>
  <c r="H411" i="26"/>
  <c r="H425" i="26"/>
  <c r="H420" i="26"/>
  <c r="H409" i="26"/>
  <c r="H416" i="26"/>
  <c r="H426" i="26"/>
  <c r="H410" i="26"/>
  <c r="H414" i="26" s="1"/>
  <c r="H428" i="26"/>
  <c r="H429" i="26"/>
  <c r="H421" i="26"/>
  <c r="H418" i="26"/>
  <c r="G137" i="23"/>
  <c r="F20" i="24"/>
  <c r="I33" i="14"/>
  <c r="I408" i="26"/>
  <c r="L41" i="14"/>
  <c r="L163" i="24"/>
  <c r="F24" i="26"/>
  <c r="E24" i="28"/>
  <c r="I267" i="24"/>
  <c r="J169" i="24"/>
  <c r="J283" i="25"/>
  <c r="J279" i="25"/>
  <c r="J282" i="25"/>
  <c r="J275" i="25"/>
  <c r="J270" i="25"/>
  <c r="J265" i="25"/>
  <c r="J262" i="25"/>
  <c r="J267" i="25" s="1"/>
  <c r="J281" i="25"/>
  <c r="J274" i="25"/>
  <c r="J278" i="25"/>
  <c r="J269" i="25"/>
  <c r="J280" i="25"/>
  <c r="J273" i="25"/>
  <c r="J264" i="25"/>
  <c r="J263" i="25"/>
  <c r="J272" i="25"/>
  <c r="J277" i="25" s="1"/>
  <c r="J268" i="25"/>
  <c r="J266" i="25"/>
  <c r="J276" i="25"/>
  <c r="J284" i="25"/>
  <c r="J271" i="25"/>
  <c r="J23" i="14"/>
  <c r="J163" i="26"/>
  <c r="J276" i="24"/>
  <c r="J278" i="24"/>
  <c r="J262" i="24"/>
  <c r="J268" i="24"/>
  <c r="J275" i="24"/>
  <c r="J270" i="24"/>
  <c r="J273" i="24"/>
  <c r="J277" i="24" s="1"/>
  <c r="J281" i="24"/>
  <c r="J265" i="24"/>
  <c r="J274" i="24"/>
  <c r="J283" i="24"/>
  <c r="J263" i="24"/>
  <c r="J269" i="24"/>
  <c r="J264" i="24"/>
  <c r="J280" i="24"/>
  <c r="J282" i="24"/>
  <c r="J266" i="24"/>
  <c r="J272" i="24"/>
  <c r="J284" i="24"/>
  <c r="J279" i="24"/>
  <c r="J271" i="24"/>
  <c r="G59" i="14"/>
  <c r="G63" i="25"/>
  <c r="F57" i="14"/>
  <c r="G14" i="28" s="1"/>
  <c r="G12" i="28" s="1"/>
  <c r="H173" i="26"/>
  <c r="H85" i="15"/>
  <c r="H83" i="15"/>
  <c r="H81" i="15"/>
  <c r="H76" i="15"/>
  <c r="H78" i="15"/>
  <c r="H68" i="15"/>
  <c r="H66" i="15"/>
  <c r="H75" i="15"/>
  <c r="H72" i="15"/>
  <c r="H71" i="15"/>
  <c r="H86" i="15"/>
  <c r="H84" i="15"/>
  <c r="H82" i="15"/>
  <c r="H80" i="15"/>
  <c r="H77" i="15"/>
  <c r="H67" i="15"/>
  <c r="H64" i="15"/>
  <c r="H65" i="15"/>
  <c r="H70" i="15"/>
  <c r="H74" i="15"/>
  <c r="H14" i="15"/>
  <c r="F30" i="24"/>
  <c r="K212" i="24"/>
  <c r="K43" i="14"/>
  <c r="K55" i="14"/>
  <c r="K261" i="25"/>
  <c r="K261" i="24"/>
  <c r="K261" i="23"/>
  <c r="I117" i="26"/>
  <c r="I125" i="26"/>
  <c r="I129" i="26" s="1"/>
  <c r="I128" i="26"/>
  <c r="I127" i="26"/>
  <c r="I130" i="26"/>
  <c r="I122" i="26"/>
  <c r="I118" i="26"/>
  <c r="I115" i="26"/>
  <c r="I133" i="26"/>
  <c r="I132" i="26"/>
  <c r="I120" i="26"/>
  <c r="I134" i="26"/>
  <c r="I121" i="26"/>
  <c r="I123" i="26" s="1"/>
  <c r="I124" i="26"/>
  <c r="I131" i="26"/>
  <c r="I114" i="26"/>
  <c r="I136" i="26"/>
  <c r="I116" i="26"/>
  <c r="I135" i="26"/>
  <c r="I126" i="26"/>
  <c r="I137" i="26"/>
  <c r="I63" i="26"/>
  <c r="H17" i="14"/>
  <c r="I19" i="14"/>
  <c r="H381" i="26"/>
  <c r="H374" i="26"/>
  <c r="H382" i="26"/>
  <c r="H378" i="26"/>
  <c r="H362" i="26"/>
  <c r="H366" i="26"/>
  <c r="H371" i="26"/>
  <c r="H375" i="26" s="1"/>
  <c r="H380" i="26"/>
  <c r="H364" i="26"/>
  <c r="H368" i="26"/>
  <c r="H372" i="26"/>
  <c r="H376" i="26"/>
  <c r="H373" i="26"/>
  <c r="H370" i="26"/>
  <c r="H379" i="26"/>
  <c r="H363" i="26"/>
  <c r="H377" i="26"/>
  <c r="H361" i="26"/>
  <c r="H360" i="26"/>
  <c r="H365" i="26" s="1"/>
  <c r="H367" i="26"/>
  <c r="G34" i="26"/>
  <c r="G28" i="26"/>
  <c r="G25" i="26"/>
  <c r="G27" i="26"/>
  <c r="G17" i="26"/>
  <c r="G15" i="26"/>
  <c r="G21" i="26"/>
  <c r="G23" i="26"/>
  <c r="G31" i="26"/>
  <c r="G35" i="26"/>
  <c r="G37" i="26"/>
  <c r="G19" i="26"/>
  <c r="G22" i="26"/>
  <c r="G36" i="26"/>
  <c r="G18" i="26"/>
  <c r="G33" i="26"/>
  <c r="G32" i="26"/>
  <c r="G26" i="26"/>
  <c r="G16" i="26"/>
  <c r="G29" i="26"/>
  <c r="G17" i="15"/>
  <c r="G19" i="15"/>
  <c r="G18" i="15"/>
  <c r="G16" i="15"/>
  <c r="G28" i="15"/>
  <c r="G36" i="15"/>
  <c r="G15" i="15"/>
  <c r="G26" i="15"/>
  <c r="G31" i="15"/>
  <c r="G29" i="15"/>
  <c r="G23" i="15"/>
  <c r="G25" i="15"/>
  <c r="G32" i="15"/>
  <c r="G34" i="15"/>
  <c r="G35" i="15"/>
  <c r="G27" i="15"/>
  <c r="G33" i="15"/>
  <c r="G37" i="15"/>
  <c r="G21" i="15"/>
  <c r="G22" i="15"/>
  <c r="G63" i="14"/>
  <c r="G163" i="25"/>
  <c r="I13" i="14"/>
  <c r="I63" i="15"/>
  <c r="H11" i="14"/>
  <c r="H8" i="14" s="1"/>
  <c r="I267" i="25"/>
  <c r="F20" i="26"/>
  <c r="H130" i="23"/>
  <c r="H135" i="23"/>
  <c r="H124" i="23"/>
  <c r="H115" i="23"/>
  <c r="H120" i="23"/>
  <c r="H123" i="23" s="1"/>
  <c r="H117" i="23"/>
  <c r="H122" i="23"/>
  <c r="H127" i="23"/>
  <c r="H132" i="23"/>
  <c r="H136" i="23"/>
  <c r="H131" i="23"/>
  <c r="H114" i="23"/>
  <c r="H134" i="23"/>
  <c r="H118" i="23"/>
  <c r="H128" i="23"/>
  <c r="H133" i="23"/>
  <c r="H121" i="23"/>
  <c r="H126" i="23"/>
  <c r="H125" i="23"/>
  <c r="H116" i="23"/>
  <c r="H119" i="23"/>
  <c r="H333" i="26"/>
  <c r="H332" i="26"/>
  <c r="H324" i="26"/>
  <c r="H313" i="26"/>
  <c r="H328" i="26"/>
  <c r="H311" i="26"/>
  <c r="H325" i="26"/>
  <c r="H315" i="26"/>
  <c r="H319" i="26"/>
  <c r="H330" i="26"/>
  <c r="H329" i="26"/>
  <c r="H323" i="26"/>
  <c r="H322" i="26"/>
  <c r="H312" i="26"/>
  <c r="H327" i="26"/>
  <c r="H321" i="26"/>
  <c r="H318" i="26"/>
  <c r="H314" i="26"/>
  <c r="H331" i="26"/>
  <c r="H317" i="26"/>
  <c r="H316" i="26"/>
  <c r="I49" i="14"/>
  <c r="I113" i="23"/>
  <c r="H179" i="26"/>
  <c r="H184" i="23"/>
  <c r="H164" i="23"/>
  <c r="H165" i="23"/>
  <c r="H186" i="23"/>
  <c r="H180" i="23"/>
  <c r="H174" i="23"/>
  <c r="H170" i="23"/>
  <c r="H173" i="23" s="1"/>
  <c r="H175" i="23"/>
  <c r="H168" i="23"/>
  <c r="H177" i="23"/>
  <c r="H166" i="23"/>
  <c r="H178" i="23"/>
  <c r="H172" i="23"/>
  <c r="H185" i="23"/>
  <c r="H167" i="23"/>
  <c r="H169" i="23" s="1"/>
  <c r="H183" i="23"/>
  <c r="H171" i="23"/>
  <c r="H182" i="23"/>
  <c r="H176" i="23"/>
  <c r="H181" i="23"/>
  <c r="J234" i="24"/>
  <c r="J223" i="24"/>
  <c r="J226" i="24"/>
  <c r="J213" i="24"/>
  <c r="J218" i="24" s="1"/>
  <c r="J221" i="24"/>
  <c r="J229" i="24"/>
  <c r="J236" i="24" s="1"/>
  <c r="J214" i="24"/>
  <c r="J227" i="24"/>
  <c r="J215" i="24"/>
  <c r="J230" i="24"/>
  <c r="J216" i="24"/>
  <c r="J232" i="24"/>
  <c r="J231" i="24"/>
  <c r="J235" i="24"/>
  <c r="J224" i="24"/>
  <c r="J219" i="24"/>
  <c r="J225" i="24"/>
  <c r="J220" i="24"/>
  <c r="J217" i="24"/>
  <c r="J233" i="24"/>
  <c r="J222" i="24"/>
  <c r="J228" i="24"/>
  <c r="I83" i="23"/>
  <c r="I64" i="23"/>
  <c r="I74" i="23"/>
  <c r="I79" i="23" s="1"/>
  <c r="I70" i="23"/>
  <c r="I67" i="23"/>
  <c r="I66" i="23"/>
  <c r="I80" i="23"/>
  <c r="I87" i="23" s="1"/>
  <c r="I72" i="23"/>
  <c r="I65" i="23"/>
  <c r="I78" i="23"/>
  <c r="I85" i="23"/>
  <c r="I75" i="23"/>
  <c r="I82" i="23"/>
  <c r="I81" i="23"/>
  <c r="I68" i="23"/>
  <c r="I84" i="23"/>
  <c r="I76" i="23"/>
  <c r="I86" i="23"/>
  <c r="I71" i="23"/>
  <c r="I77" i="23"/>
  <c r="I73" i="23"/>
  <c r="E73" i="25"/>
  <c r="G173" i="23"/>
  <c r="H79" i="23"/>
  <c r="H87" i="23"/>
  <c r="J21" i="14"/>
  <c r="J113" i="26"/>
  <c r="H234" i="23"/>
  <c r="H232" i="23"/>
  <c r="H235" i="23"/>
  <c r="H233" i="23"/>
  <c r="H217" i="23"/>
  <c r="H227" i="23"/>
  <c r="H216" i="23"/>
  <c r="H215" i="23"/>
  <c r="H230" i="23"/>
  <c r="H231" i="23"/>
  <c r="H225" i="23"/>
  <c r="H219" i="23"/>
  <c r="H223" i="23"/>
  <c r="H224" i="23"/>
  <c r="H221" i="23"/>
  <c r="H213" i="23"/>
  <c r="H226" i="23"/>
  <c r="H214" i="23"/>
  <c r="H220" i="23"/>
  <c r="H229" i="23"/>
  <c r="H222" i="23"/>
  <c r="H65" i="26"/>
  <c r="H14" i="26"/>
  <c r="H80" i="26"/>
  <c r="H67" i="26"/>
  <c r="H77" i="26"/>
  <c r="H82" i="26"/>
  <c r="H70" i="26"/>
  <c r="H81" i="26"/>
  <c r="H76" i="26"/>
  <c r="H85" i="26"/>
  <c r="H66" i="26"/>
  <c r="H75" i="26"/>
  <c r="H79" i="26" s="1"/>
  <c r="H84" i="26"/>
  <c r="H86" i="26"/>
  <c r="H74" i="26"/>
  <c r="H71" i="26"/>
  <c r="H68" i="26"/>
  <c r="H72" i="26"/>
  <c r="H78" i="26"/>
  <c r="H83" i="26"/>
  <c r="H64" i="26"/>
  <c r="H87" i="26"/>
  <c r="H69" i="26"/>
  <c r="G21" i="24"/>
  <c r="G24" i="24" s="1"/>
  <c r="G19" i="24"/>
  <c r="G33" i="24"/>
  <c r="G36" i="24"/>
  <c r="G17" i="24"/>
  <c r="G16" i="24"/>
  <c r="G28" i="24"/>
  <c r="G15" i="24"/>
  <c r="G20" i="24" s="1"/>
  <c r="G31" i="24"/>
  <c r="G29" i="24"/>
  <c r="G22" i="24"/>
  <c r="G18" i="24"/>
  <c r="G37" i="24"/>
  <c r="G25" i="24"/>
  <c r="G32" i="24"/>
  <c r="G26" i="24"/>
  <c r="G30" i="24" s="1"/>
  <c r="G27" i="24"/>
  <c r="G35" i="24"/>
  <c r="G23" i="24"/>
  <c r="G34" i="24"/>
  <c r="G38" i="24"/>
  <c r="I31" i="14"/>
  <c r="I359" i="26"/>
  <c r="G73" i="26"/>
  <c r="H65" i="14"/>
  <c r="H212" i="25"/>
  <c r="F38" i="26"/>
  <c r="F36" i="28"/>
  <c r="F48" i="27" s="1" a="1"/>
  <c r="F48" i="27" s="1"/>
  <c r="F35" i="28"/>
  <c r="F47" i="27" s="1" a="1"/>
  <c r="F47" i="27" s="1"/>
  <c r="F34" i="28"/>
  <c r="F46" i="27" s="1" a="1"/>
  <c r="F46" i="27" s="1"/>
  <c r="F29" i="28"/>
  <c r="F41" i="27" s="1" a="1"/>
  <c r="F41" i="27" s="1"/>
  <c r="F25" i="28"/>
  <c r="F37" i="27" s="1" a="1"/>
  <c r="F37" i="27" s="1"/>
  <c r="F17" i="28"/>
  <c r="F29" i="27" s="1" a="1"/>
  <c r="F29" i="27" s="1"/>
  <c r="F22" i="28"/>
  <c r="F34" i="27" s="1" a="1"/>
  <c r="F34" i="27" s="1"/>
  <c r="F27" i="28"/>
  <c r="F39" i="27" s="1" a="1"/>
  <c r="F39" i="27" s="1"/>
  <c r="F32" i="28"/>
  <c r="F44" i="27" s="1" a="1"/>
  <c r="F44" i="27" s="1"/>
  <c r="F15" i="28"/>
  <c r="F27" i="27" s="1" a="1"/>
  <c r="F27" i="27" s="1"/>
  <c r="F26" i="28"/>
  <c r="F38" i="27" s="1" a="1"/>
  <c r="F38" i="27" s="1"/>
  <c r="F18" i="28"/>
  <c r="F30" i="27" s="1" a="1"/>
  <c r="F30" i="27" s="1"/>
  <c r="F28" i="28"/>
  <c r="F40" i="27" s="1" a="1"/>
  <c r="F40" i="27" s="1"/>
  <c r="F19" i="28"/>
  <c r="F31" i="27" s="1" a="1"/>
  <c r="F31" i="27" s="1"/>
  <c r="F21" i="28"/>
  <c r="F33" i="28"/>
  <c r="F45" i="27" s="1" a="1"/>
  <c r="F45" i="27" s="1"/>
  <c r="F31" i="28"/>
  <c r="F43" i="27" s="1" a="1"/>
  <c r="F43" i="27" s="1"/>
  <c r="F23" i="28"/>
  <c r="F35" i="27" s="1" a="1"/>
  <c r="F35" i="27" s="1"/>
  <c r="F37" i="28"/>
  <c r="F49" i="27" s="1" a="1"/>
  <c r="F49" i="27" s="1"/>
  <c r="F16" i="28"/>
  <c r="F28" i="27" s="1" a="1"/>
  <c r="F28" i="27" s="1"/>
  <c r="G69" i="24"/>
  <c r="F30" i="26"/>
  <c r="F75" i="25"/>
  <c r="F14" i="25"/>
  <c r="F81" i="25"/>
  <c r="F83" i="25"/>
  <c r="F78" i="25"/>
  <c r="F80" i="25"/>
  <c r="F87" i="25" s="1"/>
  <c r="F86" i="25"/>
  <c r="F85" i="25"/>
  <c r="F72" i="25"/>
  <c r="F84" i="25"/>
  <c r="F76" i="25"/>
  <c r="F68" i="25"/>
  <c r="F74" i="25"/>
  <c r="F79" i="25" s="1"/>
  <c r="F77" i="25"/>
  <c r="F70" i="25"/>
  <c r="F64" i="25"/>
  <c r="F65" i="25"/>
  <c r="F66" i="25"/>
  <c r="F82" i="25"/>
  <c r="F71" i="25"/>
  <c r="F73" i="25" s="1"/>
  <c r="F67" i="25"/>
  <c r="F185" i="25"/>
  <c r="F165" i="25"/>
  <c r="F170" i="25"/>
  <c r="F183" i="25"/>
  <c r="F172" i="25"/>
  <c r="F180" i="25"/>
  <c r="F171" i="25"/>
  <c r="F167" i="25"/>
  <c r="F166" i="25"/>
  <c r="F174" i="25"/>
  <c r="F168" i="25"/>
  <c r="F186" i="25"/>
  <c r="F176" i="25"/>
  <c r="F173" i="25"/>
  <c r="F182" i="25"/>
  <c r="F177" i="25"/>
  <c r="F184" i="25"/>
  <c r="F178" i="25"/>
  <c r="F175" i="25"/>
  <c r="F164" i="25"/>
  <c r="F181" i="25"/>
  <c r="K186" i="24"/>
  <c r="K176" i="24"/>
  <c r="K178" i="24"/>
  <c r="K171" i="24"/>
  <c r="K168" i="24"/>
  <c r="K170" i="24"/>
  <c r="K173" i="24" s="1"/>
  <c r="K177" i="24"/>
  <c r="K167" i="24"/>
  <c r="K165" i="24"/>
  <c r="K180" i="24"/>
  <c r="K183" i="24"/>
  <c r="K174" i="24"/>
  <c r="K179" i="24" s="1"/>
  <c r="K184" i="24"/>
  <c r="K181" i="24"/>
  <c r="K187" i="24" s="1"/>
  <c r="K185" i="24"/>
  <c r="K175" i="24"/>
  <c r="K182" i="24"/>
  <c r="K164" i="24"/>
  <c r="K166" i="24"/>
  <c r="K172" i="24"/>
  <c r="K169" i="24"/>
  <c r="H284" i="26"/>
  <c r="H262" i="26"/>
  <c r="H265" i="26"/>
  <c r="H268" i="26"/>
  <c r="H283" i="26"/>
  <c r="H269" i="26"/>
  <c r="H281" i="26"/>
  <c r="H275" i="26"/>
  <c r="H270" i="26"/>
  <c r="H279" i="26"/>
  <c r="H263" i="26"/>
  <c r="H273" i="26"/>
  <c r="H266" i="26"/>
  <c r="H276" i="26"/>
  <c r="H280" i="26"/>
  <c r="H274" i="26"/>
  <c r="H264" i="26"/>
  <c r="H278" i="26"/>
  <c r="H282" i="26"/>
  <c r="H272" i="26"/>
  <c r="H277" i="26" s="1"/>
  <c r="H267" i="26"/>
  <c r="H271" i="26"/>
  <c r="I27" i="14"/>
  <c r="I261" i="26"/>
  <c r="I29" i="14"/>
  <c r="I310" i="26"/>
  <c r="G316" i="26"/>
  <c r="F38" i="24"/>
  <c r="H137" i="26"/>
  <c r="F130" i="25"/>
  <c r="F133" i="25"/>
  <c r="F118" i="25"/>
  <c r="F136" i="25"/>
  <c r="F135" i="25"/>
  <c r="F122" i="25"/>
  <c r="F117" i="25"/>
  <c r="F115" i="25"/>
  <c r="F116" i="25"/>
  <c r="F119" i="25" s="1"/>
  <c r="F120" i="25"/>
  <c r="F126" i="25"/>
  <c r="F132" i="25"/>
  <c r="F127" i="25"/>
  <c r="F131" i="25"/>
  <c r="F128" i="25"/>
  <c r="F121" i="25"/>
  <c r="F124" i="25"/>
  <c r="F114" i="25"/>
  <c r="F134" i="25"/>
  <c r="F125" i="25"/>
  <c r="I51" i="14"/>
  <c r="I45" i="14" s="1"/>
  <c r="I163" i="23"/>
  <c r="J47" i="14"/>
  <c r="J63" i="23"/>
  <c r="J234" i="26"/>
  <c r="J229" i="26"/>
  <c r="J223" i="26"/>
  <c r="J213" i="26"/>
  <c r="J217" i="26"/>
  <c r="J233" i="26"/>
  <c r="J232" i="26"/>
  <c r="J220" i="26"/>
  <c r="J216" i="26"/>
  <c r="J215" i="26"/>
  <c r="J218" i="26" s="1"/>
  <c r="J235" i="26"/>
  <c r="J219" i="26"/>
  <c r="J230" i="26"/>
  <c r="J221" i="26"/>
  <c r="J222" i="26" s="1"/>
  <c r="J226" i="26"/>
  <c r="J214" i="26"/>
  <c r="J227" i="26"/>
  <c r="J228" i="26" s="1"/>
  <c r="J231" i="26"/>
  <c r="J225" i="26"/>
  <c r="J224" i="26"/>
  <c r="E30" i="28"/>
  <c r="H69" i="23"/>
  <c r="H14" i="23"/>
  <c r="I53" i="14"/>
  <c r="I212" i="23"/>
  <c r="E129" i="25"/>
  <c r="G79" i="24"/>
  <c r="H117" i="24"/>
  <c r="H114" i="24"/>
  <c r="H130" i="24"/>
  <c r="H131" i="24"/>
  <c r="H134" i="24"/>
  <c r="H127" i="24"/>
  <c r="H116" i="24"/>
  <c r="H136" i="24"/>
  <c r="H121" i="24"/>
  <c r="H118" i="24"/>
  <c r="H132" i="24"/>
  <c r="H137" i="24" s="1"/>
  <c r="H115" i="24"/>
  <c r="H135" i="24"/>
  <c r="H128" i="24"/>
  <c r="H120" i="24"/>
  <c r="H122" i="24"/>
  <c r="H133" i="24"/>
  <c r="H124" i="24"/>
  <c r="H125" i="24"/>
  <c r="H126" i="24"/>
  <c r="G19" i="23"/>
  <c r="G37" i="23"/>
  <c r="G17" i="23"/>
  <c r="G34" i="23"/>
  <c r="G22" i="23"/>
  <c r="G25" i="23"/>
  <c r="G30" i="23" s="1"/>
  <c r="G29" i="23"/>
  <c r="G31" i="23"/>
  <c r="G32" i="23"/>
  <c r="G28" i="23"/>
  <c r="G18" i="23"/>
  <c r="G26" i="23"/>
  <c r="G35" i="23"/>
  <c r="G15" i="23"/>
  <c r="G20" i="23" s="1"/>
  <c r="G21" i="23"/>
  <c r="G24" i="23" s="1"/>
  <c r="G36" i="23"/>
  <c r="G27" i="23"/>
  <c r="G16" i="23"/>
  <c r="G23" i="23"/>
  <c r="G33" i="23"/>
  <c r="I39" i="14"/>
  <c r="I113" i="24"/>
  <c r="H82" i="24"/>
  <c r="H68" i="24"/>
  <c r="H14" i="24"/>
  <c r="H77" i="24"/>
  <c r="H72" i="24"/>
  <c r="H64" i="24"/>
  <c r="H81" i="24"/>
  <c r="H66" i="24"/>
  <c r="H84" i="24"/>
  <c r="H76" i="24"/>
  <c r="H74" i="24"/>
  <c r="H79" i="24" s="1"/>
  <c r="H70" i="24"/>
  <c r="H71" i="24"/>
  <c r="H67" i="24"/>
  <c r="H85" i="24"/>
  <c r="H65" i="24"/>
  <c r="H75" i="24"/>
  <c r="H83" i="24"/>
  <c r="H78" i="24"/>
  <c r="H86" i="24"/>
  <c r="H80" i="24"/>
  <c r="H73" i="24"/>
  <c r="J179" i="24"/>
  <c r="G222" i="23"/>
  <c r="I37" i="14"/>
  <c r="I63" i="24"/>
  <c r="H35" i="14"/>
  <c r="G123" i="24"/>
  <c r="G225" i="25"/>
  <c r="G220" i="25"/>
  <c r="G234" i="25"/>
  <c r="G231" i="25"/>
  <c r="G216" i="25"/>
  <c r="G230" i="25"/>
  <c r="G236" i="25" s="1"/>
  <c r="G217" i="25"/>
  <c r="G229" i="25"/>
  <c r="G232" i="25"/>
  <c r="G214" i="25"/>
  <c r="G235" i="25"/>
  <c r="G226" i="25"/>
  <c r="G227" i="25"/>
  <c r="G221" i="25"/>
  <c r="G222" i="25" s="1"/>
  <c r="G223" i="25"/>
  <c r="G233" i="25"/>
  <c r="G215" i="25"/>
  <c r="G213" i="25"/>
  <c r="G218" i="25" s="1"/>
  <c r="G224" i="25"/>
  <c r="G219" i="25"/>
  <c r="G228" i="25"/>
  <c r="G320" i="26"/>
  <c r="I218" i="24"/>
  <c r="F24" i="24"/>
  <c r="G61" i="14"/>
  <c r="G113" i="25"/>
  <c r="E22" i="25"/>
  <c r="E35" i="25"/>
  <c r="E37" i="25"/>
  <c r="E18" i="25"/>
  <c r="E26" i="25"/>
  <c r="E27" i="25"/>
  <c r="E34" i="25"/>
  <c r="E21" i="25"/>
  <c r="E29" i="25"/>
  <c r="E17" i="25"/>
  <c r="E32" i="25"/>
  <c r="E19" i="25"/>
  <c r="E16" i="25"/>
  <c r="E36" i="25"/>
  <c r="E28" i="25"/>
  <c r="E15" i="25"/>
  <c r="E23" i="25"/>
  <c r="E31" i="25"/>
  <c r="E38" i="25" s="1"/>
  <c r="E33" i="25"/>
  <c r="E25" i="25"/>
  <c r="E20" i="25"/>
  <c r="E30" i="25"/>
  <c r="E24" i="25"/>
  <c r="K25" i="14"/>
  <c r="K212" i="26"/>
  <c r="H73" i="23"/>
  <c r="K15" i="14"/>
  <c r="K113" i="15"/>
  <c r="J127" i="15"/>
  <c r="J120" i="15"/>
  <c r="J123" i="15" s="1"/>
  <c r="J116" i="15"/>
  <c r="J134" i="15"/>
  <c r="J131" i="15"/>
  <c r="J114" i="15"/>
  <c r="J135" i="15"/>
  <c r="J128" i="15"/>
  <c r="J125" i="15"/>
  <c r="J121" i="15"/>
  <c r="J132" i="15"/>
  <c r="J117" i="15"/>
  <c r="J133" i="15"/>
  <c r="J130" i="15"/>
  <c r="J118" i="15"/>
  <c r="J126" i="15"/>
  <c r="J124" i="15"/>
  <c r="J115" i="15"/>
  <c r="J122" i="15"/>
  <c r="J136" i="15"/>
  <c r="G93" i="15"/>
  <c r="G94" i="15"/>
  <c r="G97" i="15"/>
  <c r="G102" i="15"/>
  <c r="G109" i="15"/>
  <c r="G111" i="15"/>
  <c r="G96" i="15"/>
  <c r="G99" i="15"/>
  <c r="G100" i="15"/>
  <c r="G103" i="15"/>
  <c r="G107" i="15"/>
  <c r="G110" i="15"/>
  <c r="H92" i="15"/>
  <c r="F105" i="15"/>
  <c r="F106" i="15"/>
  <c r="F104" i="15"/>
  <c r="G26" i="27" l="1" a="1"/>
  <c r="G26" i="27" s="1"/>
  <c r="H73" i="15"/>
  <c r="G43" i="27" a="1"/>
  <c r="G43" i="27" s="1"/>
  <c r="G30" i="15"/>
  <c r="G38" i="15"/>
  <c r="F24" i="28"/>
  <c r="H69" i="15"/>
  <c r="G41" i="27" a="1"/>
  <c r="G41" i="27" s="1"/>
  <c r="F38" i="28"/>
  <c r="F20" i="28"/>
  <c r="F33" i="27" a="1"/>
  <c r="F33" i="27" s="1"/>
  <c r="J137" i="15"/>
  <c r="J129" i="15"/>
  <c r="G20" i="15"/>
  <c r="J119" i="15"/>
  <c r="G24" i="15"/>
  <c r="I135" i="24"/>
  <c r="I131" i="24"/>
  <c r="I133" i="24"/>
  <c r="I125" i="24"/>
  <c r="I134" i="24"/>
  <c r="I128" i="24"/>
  <c r="I132" i="24"/>
  <c r="I120" i="24"/>
  <c r="I126" i="24"/>
  <c r="I116" i="24"/>
  <c r="I118" i="24"/>
  <c r="I114" i="24"/>
  <c r="I115" i="24"/>
  <c r="I130" i="24"/>
  <c r="I121" i="24"/>
  <c r="I124" i="24"/>
  <c r="I129" i="24" s="1"/>
  <c r="I117" i="24"/>
  <c r="I136" i="24"/>
  <c r="I122" i="24"/>
  <c r="I127" i="24"/>
  <c r="H119" i="24"/>
  <c r="H87" i="24"/>
  <c r="H61" i="14"/>
  <c r="H113" i="25"/>
  <c r="H129" i="24"/>
  <c r="G38" i="23"/>
  <c r="F129" i="25"/>
  <c r="F137" i="25"/>
  <c r="H63" i="14"/>
  <c r="H163" i="25"/>
  <c r="F187" i="25"/>
  <c r="J133" i="26"/>
  <c r="J118" i="26"/>
  <c r="J116" i="26"/>
  <c r="J131" i="26"/>
  <c r="J128" i="26"/>
  <c r="J132" i="26"/>
  <c r="J122" i="26"/>
  <c r="J123" i="26" s="1"/>
  <c r="J121" i="26"/>
  <c r="J114" i="26"/>
  <c r="J126" i="26"/>
  <c r="J136" i="26"/>
  <c r="J134" i="26"/>
  <c r="J115" i="26"/>
  <c r="J119" i="26" s="1"/>
  <c r="J117" i="26"/>
  <c r="J120" i="26"/>
  <c r="J135" i="26"/>
  <c r="J124" i="26"/>
  <c r="J125" i="26"/>
  <c r="J130" i="26"/>
  <c r="J127" i="26"/>
  <c r="J137" i="26"/>
  <c r="K280" i="24"/>
  <c r="K272" i="24"/>
  <c r="K268" i="24"/>
  <c r="K279" i="24"/>
  <c r="K264" i="24"/>
  <c r="K262" i="24"/>
  <c r="K273" i="24"/>
  <c r="K269" i="24"/>
  <c r="K282" i="24"/>
  <c r="K278" i="24"/>
  <c r="K263" i="24"/>
  <c r="K274" i="24"/>
  <c r="K276" i="24"/>
  <c r="K265" i="24"/>
  <c r="K281" i="24"/>
  <c r="K284" i="24"/>
  <c r="K266" i="24"/>
  <c r="K267" i="24" s="1"/>
  <c r="K270" i="24"/>
  <c r="K283" i="24"/>
  <c r="K275" i="24"/>
  <c r="K277" i="24"/>
  <c r="H17" i="15"/>
  <c r="H19" i="15"/>
  <c r="H18" i="15"/>
  <c r="H16" i="15"/>
  <c r="H37" i="15"/>
  <c r="H31" i="15"/>
  <c r="H33" i="15"/>
  <c r="H26" i="15"/>
  <c r="H28" i="15"/>
  <c r="H21" i="15"/>
  <c r="H36" i="15"/>
  <c r="H35" i="15"/>
  <c r="H25" i="15"/>
  <c r="H32" i="15"/>
  <c r="H29" i="15"/>
  <c r="H23" i="15"/>
  <c r="H34" i="15"/>
  <c r="H22" i="15"/>
  <c r="H27" i="15"/>
  <c r="H15" i="15"/>
  <c r="H79" i="15"/>
  <c r="I84" i="24"/>
  <c r="I68" i="24"/>
  <c r="I14" i="24"/>
  <c r="I64" i="24"/>
  <c r="I78" i="24"/>
  <c r="I70" i="24"/>
  <c r="I81" i="24"/>
  <c r="I86" i="24"/>
  <c r="I82" i="24"/>
  <c r="I80" i="24"/>
  <c r="I83" i="24"/>
  <c r="I75" i="24"/>
  <c r="I76" i="24"/>
  <c r="I66" i="24"/>
  <c r="I65" i="24"/>
  <c r="I77" i="24"/>
  <c r="I85" i="24"/>
  <c r="I74" i="24"/>
  <c r="I79" i="24" s="1"/>
  <c r="I71" i="24"/>
  <c r="I73" i="24" s="1"/>
  <c r="I72" i="24"/>
  <c r="I67" i="24"/>
  <c r="F169" i="25"/>
  <c r="F69" i="25"/>
  <c r="F30" i="28"/>
  <c r="H213" i="25"/>
  <c r="H231" i="25"/>
  <c r="H230" i="25"/>
  <c r="H236" i="25" s="1"/>
  <c r="H229" i="25"/>
  <c r="H227" i="25"/>
  <c r="H223" i="25"/>
  <c r="H214" i="25"/>
  <c r="H216" i="25"/>
  <c r="H233" i="25"/>
  <c r="H235" i="25"/>
  <c r="H234" i="25"/>
  <c r="H226" i="25"/>
  <c r="H224" i="25"/>
  <c r="H232" i="25"/>
  <c r="H225" i="25"/>
  <c r="H221" i="25"/>
  <c r="H217" i="25"/>
  <c r="H220" i="25"/>
  <c r="H215" i="25"/>
  <c r="H219" i="25"/>
  <c r="H228" i="25"/>
  <c r="H222" i="25"/>
  <c r="H218" i="23"/>
  <c r="K21" i="14"/>
  <c r="K113" i="26"/>
  <c r="H179" i="23"/>
  <c r="I70" i="15"/>
  <c r="I85" i="15"/>
  <c r="I83" i="15"/>
  <c r="I81" i="15"/>
  <c r="I76" i="15"/>
  <c r="I78" i="15"/>
  <c r="I75" i="15"/>
  <c r="I72" i="15"/>
  <c r="I66" i="15"/>
  <c r="I71" i="15"/>
  <c r="I82" i="15"/>
  <c r="I74" i="15"/>
  <c r="I67" i="15"/>
  <c r="I80" i="15"/>
  <c r="I64" i="15"/>
  <c r="I86" i="15"/>
  <c r="I65" i="15"/>
  <c r="I77" i="15"/>
  <c r="I68" i="15"/>
  <c r="I84" i="15"/>
  <c r="I14" i="15"/>
  <c r="K284" i="25"/>
  <c r="K282" i="25"/>
  <c r="K275" i="25"/>
  <c r="K270" i="25"/>
  <c r="K265" i="25"/>
  <c r="K280" i="25"/>
  <c r="K263" i="25"/>
  <c r="K267" i="25" s="1"/>
  <c r="K279" i="25"/>
  <c r="K281" i="25"/>
  <c r="K274" i="25"/>
  <c r="K278" i="25"/>
  <c r="K269" i="25"/>
  <c r="K273" i="25"/>
  <c r="K283" i="25"/>
  <c r="K276" i="25"/>
  <c r="K268" i="25"/>
  <c r="K271" i="25" s="1"/>
  <c r="K264" i="25"/>
  <c r="K266" i="25"/>
  <c r="K262" i="25"/>
  <c r="K272" i="25"/>
  <c r="J39" i="14"/>
  <c r="J113" i="24"/>
  <c r="K23" i="14"/>
  <c r="K163" i="26"/>
  <c r="J37" i="14"/>
  <c r="J63" i="24"/>
  <c r="I35" i="14"/>
  <c r="J84" i="23"/>
  <c r="J75" i="23"/>
  <c r="J64" i="23"/>
  <c r="J74" i="23"/>
  <c r="J65" i="23"/>
  <c r="J70" i="23"/>
  <c r="J78" i="23"/>
  <c r="J67" i="23"/>
  <c r="J72" i="23"/>
  <c r="J71" i="23"/>
  <c r="J83" i="23"/>
  <c r="J68" i="23"/>
  <c r="J80" i="23"/>
  <c r="J87" i="23" s="1"/>
  <c r="J85" i="23"/>
  <c r="J86" i="23"/>
  <c r="J77" i="23"/>
  <c r="J76" i="23"/>
  <c r="J82" i="23"/>
  <c r="J66" i="23"/>
  <c r="J81" i="23"/>
  <c r="F179" i="25"/>
  <c r="F29" i="25"/>
  <c r="F33" i="25"/>
  <c r="F37" i="25"/>
  <c r="F26" i="25"/>
  <c r="F30" i="25" s="1"/>
  <c r="F22" i="25"/>
  <c r="F23" i="25"/>
  <c r="F34" i="25"/>
  <c r="F31" i="25"/>
  <c r="F38" i="25" s="1"/>
  <c r="F36" i="25"/>
  <c r="F32" i="25"/>
  <c r="F21" i="25"/>
  <c r="F24" i="25" s="1"/>
  <c r="F27" i="25"/>
  <c r="F15" i="25"/>
  <c r="F16" i="25"/>
  <c r="F25" i="25"/>
  <c r="F19" i="25"/>
  <c r="F17" i="25"/>
  <c r="F28" i="25"/>
  <c r="F35" i="25"/>
  <c r="F18" i="25"/>
  <c r="F20" i="25" s="1"/>
  <c r="I65" i="14"/>
  <c r="I212" i="25"/>
  <c r="J13" i="14"/>
  <c r="J63" i="15"/>
  <c r="I11" i="14"/>
  <c r="I8" i="14" s="1"/>
  <c r="G38" i="26"/>
  <c r="I119" i="26"/>
  <c r="L55" i="14"/>
  <c r="L261" i="24"/>
  <c r="L261" i="23"/>
  <c r="L261" i="25"/>
  <c r="J267" i="24"/>
  <c r="H369" i="26"/>
  <c r="L180" i="24"/>
  <c r="L176" i="24"/>
  <c r="L164" i="24"/>
  <c r="L170" i="24"/>
  <c r="L186" i="24"/>
  <c r="L185" i="24"/>
  <c r="L183" i="24"/>
  <c r="L174" i="24"/>
  <c r="L177" i="24"/>
  <c r="L182" i="24"/>
  <c r="L184" i="24"/>
  <c r="L167" i="24"/>
  <c r="L169" i="24" s="1"/>
  <c r="L175" i="24"/>
  <c r="L165" i="24"/>
  <c r="L172" i="24"/>
  <c r="L171" i="24"/>
  <c r="L178" i="24"/>
  <c r="L166" i="24"/>
  <c r="L168" i="24"/>
  <c r="L181" i="24"/>
  <c r="L187" i="24" s="1"/>
  <c r="L179" i="24"/>
  <c r="H424" i="26"/>
  <c r="J277" i="23"/>
  <c r="J180" i="26"/>
  <c r="J174" i="26"/>
  <c r="J179" i="26" s="1"/>
  <c r="J186" i="26"/>
  <c r="J164" i="26"/>
  <c r="J169" i="26" s="1"/>
  <c r="J166" i="26"/>
  <c r="J176" i="26"/>
  <c r="J182" i="26"/>
  <c r="J170" i="26"/>
  <c r="J184" i="26"/>
  <c r="J172" i="26"/>
  <c r="J177" i="26"/>
  <c r="J185" i="26"/>
  <c r="J168" i="26"/>
  <c r="J178" i="26"/>
  <c r="J181" i="26"/>
  <c r="J165" i="26"/>
  <c r="J171" i="26"/>
  <c r="J173" i="26" s="1"/>
  <c r="J167" i="26"/>
  <c r="J183" i="26"/>
  <c r="J175" i="26"/>
  <c r="I225" i="23"/>
  <c r="I232" i="23"/>
  <c r="I223" i="23"/>
  <c r="I220" i="23"/>
  <c r="I227" i="23"/>
  <c r="I213" i="23"/>
  <c r="I218" i="23" s="1"/>
  <c r="I215" i="23"/>
  <c r="I217" i="23"/>
  <c r="I224" i="23"/>
  <c r="I228" i="23" s="1"/>
  <c r="I231" i="23"/>
  <c r="I233" i="23"/>
  <c r="I216" i="23"/>
  <c r="I229" i="23"/>
  <c r="I235" i="23"/>
  <c r="I219" i="23"/>
  <c r="I214" i="23"/>
  <c r="I226" i="23"/>
  <c r="I234" i="23"/>
  <c r="I221" i="23"/>
  <c r="I230" i="23"/>
  <c r="H36" i="24"/>
  <c r="H15" i="24"/>
  <c r="H25" i="24"/>
  <c r="H34" i="24"/>
  <c r="H22" i="24"/>
  <c r="H21" i="24"/>
  <c r="H31" i="24"/>
  <c r="H29" i="24"/>
  <c r="H27" i="24"/>
  <c r="H30" i="24" s="1"/>
  <c r="H35" i="24"/>
  <c r="H18" i="24"/>
  <c r="H19" i="24"/>
  <c r="H16" i="24"/>
  <c r="H20" i="24" s="1"/>
  <c r="H37" i="24"/>
  <c r="H32" i="24"/>
  <c r="H33" i="24"/>
  <c r="H38" i="24" s="1"/>
  <c r="H17" i="24"/>
  <c r="H28" i="24"/>
  <c r="H23" i="24"/>
  <c r="H26" i="24"/>
  <c r="J53" i="14"/>
  <c r="J212" i="23"/>
  <c r="I181" i="23"/>
  <c r="I165" i="23"/>
  <c r="I174" i="23"/>
  <c r="I176" i="23"/>
  <c r="I185" i="23"/>
  <c r="I180" i="23"/>
  <c r="I166" i="23"/>
  <c r="I170" i="23"/>
  <c r="I175" i="23"/>
  <c r="I171" i="23"/>
  <c r="I183" i="23"/>
  <c r="I184" i="23"/>
  <c r="I172" i="23"/>
  <c r="I173" i="23" s="1"/>
  <c r="I178" i="23"/>
  <c r="I167" i="23"/>
  <c r="I168" i="23"/>
  <c r="I182" i="23"/>
  <c r="I164" i="23"/>
  <c r="I177" i="23"/>
  <c r="I186" i="23"/>
  <c r="F123" i="25"/>
  <c r="J29" i="14"/>
  <c r="J310" i="26"/>
  <c r="J49" i="14"/>
  <c r="J113" i="23"/>
  <c r="G24" i="26"/>
  <c r="K223" i="24"/>
  <c r="K213" i="24"/>
  <c r="K218" i="24" s="1"/>
  <c r="K225" i="24"/>
  <c r="K228" i="24" s="1"/>
  <c r="K232" i="24"/>
  <c r="K230" i="24"/>
  <c r="K220" i="24"/>
  <c r="K229" i="24"/>
  <c r="K236" i="24" s="1"/>
  <c r="K235" i="24"/>
  <c r="K231" i="24"/>
  <c r="K215" i="24"/>
  <c r="K234" i="24"/>
  <c r="K221" i="24"/>
  <c r="K217" i="24"/>
  <c r="K233" i="24"/>
  <c r="K224" i="24"/>
  <c r="K219" i="24"/>
  <c r="K222" i="24" s="1"/>
  <c r="K214" i="24"/>
  <c r="K226" i="24"/>
  <c r="K216" i="24"/>
  <c r="K227" i="24"/>
  <c r="H87" i="15"/>
  <c r="M41" i="14"/>
  <c r="M163" i="24"/>
  <c r="J267" i="23"/>
  <c r="K279" i="23"/>
  <c r="K269" i="23"/>
  <c r="K278" i="23"/>
  <c r="K263" i="23"/>
  <c r="K268" i="23"/>
  <c r="K276" i="23"/>
  <c r="K273" i="23"/>
  <c r="K274" i="23"/>
  <c r="K280" i="23"/>
  <c r="K281" i="23"/>
  <c r="K264" i="23"/>
  <c r="K266" i="23"/>
  <c r="K262" i="23"/>
  <c r="K282" i="23"/>
  <c r="K284" i="23"/>
  <c r="K265" i="23"/>
  <c r="K283" i="23"/>
  <c r="K270" i="23"/>
  <c r="K271" i="23" s="1"/>
  <c r="K272" i="23"/>
  <c r="K275" i="23"/>
  <c r="H59" i="14"/>
  <c r="H63" i="25"/>
  <c r="G57" i="14"/>
  <c r="H73" i="26"/>
  <c r="I130" i="23"/>
  <c r="I137" i="23" s="1"/>
  <c r="I136" i="23"/>
  <c r="I122" i="23"/>
  <c r="I121" i="23"/>
  <c r="I135" i="23"/>
  <c r="I127" i="23"/>
  <c r="I125" i="23"/>
  <c r="I116" i="23"/>
  <c r="I131" i="23"/>
  <c r="I126" i="23"/>
  <c r="I124" i="23"/>
  <c r="I129" i="23" s="1"/>
  <c r="I115" i="23"/>
  <c r="I134" i="23"/>
  <c r="I114" i="23"/>
  <c r="I119" i="23" s="1"/>
  <c r="I132" i="23"/>
  <c r="I120" i="23"/>
  <c r="I123" i="23" s="1"/>
  <c r="I118" i="23"/>
  <c r="I128" i="23"/>
  <c r="I133" i="23"/>
  <c r="I117" i="23"/>
  <c r="L212" i="24"/>
  <c r="L43" i="14"/>
  <c r="K230" i="26"/>
  <c r="K214" i="26"/>
  <c r="K213" i="26"/>
  <c r="K218" i="26" s="1"/>
  <c r="K224" i="26"/>
  <c r="K228" i="26" s="1"/>
  <c r="K219" i="26"/>
  <c r="K229" i="26"/>
  <c r="K223" i="26"/>
  <c r="K225" i="26"/>
  <c r="K233" i="26"/>
  <c r="K221" i="26"/>
  <c r="K217" i="26"/>
  <c r="K216" i="26"/>
  <c r="K234" i="26"/>
  <c r="K232" i="26"/>
  <c r="K235" i="26"/>
  <c r="K220" i="26"/>
  <c r="K222" i="26" s="1"/>
  <c r="K231" i="26"/>
  <c r="K227" i="26"/>
  <c r="K226" i="26"/>
  <c r="K215" i="26"/>
  <c r="L25" i="14"/>
  <c r="L212" i="26"/>
  <c r="H25" i="23"/>
  <c r="H19" i="23"/>
  <c r="H37" i="23"/>
  <c r="H31" i="23"/>
  <c r="H15" i="23"/>
  <c r="H36" i="23"/>
  <c r="H34" i="23"/>
  <c r="H17" i="23"/>
  <c r="H29" i="23"/>
  <c r="H16" i="23"/>
  <c r="H18" i="23"/>
  <c r="H23" i="23"/>
  <c r="H33" i="23"/>
  <c r="H26" i="23"/>
  <c r="H28" i="23"/>
  <c r="H35" i="23"/>
  <c r="H27" i="23"/>
  <c r="H21" i="23"/>
  <c r="H32" i="23"/>
  <c r="H22" i="23"/>
  <c r="H24" i="23"/>
  <c r="H20" i="23"/>
  <c r="J51" i="14"/>
  <c r="J163" i="23"/>
  <c r="I272" i="26"/>
  <c r="I284" i="26"/>
  <c r="I283" i="26"/>
  <c r="I275" i="26"/>
  <c r="I277" i="26" s="1"/>
  <c r="I274" i="26"/>
  <c r="I262" i="26"/>
  <c r="I267" i="26" s="1"/>
  <c r="I281" i="26"/>
  <c r="I264" i="26"/>
  <c r="I273" i="26"/>
  <c r="I263" i="26"/>
  <c r="I269" i="26"/>
  <c r="I266" i="26"/>
  <c r="I280" i="26"/>
  <c r="I268" i="26"/>
  <c r="I271" i="26" s="1"/>
  <c r="I278" i="26"/>
  <c r="I265" i="26"/>
  <c r="I279" i="26"/>
  <c r="I276" i="26"/>
  <c r="I282" i="26"/>
  <c r="I270" i="26"/>
  <c r="I370" i="26"/>
  <c r="I380" i="26"/>
  <c r="I364" i="26"/>
  <c r="I361" i="26"/>
  <c r="I371" i="26"/>
  <c r="I375" i="26" s="1"/>
  <c r="I374" i="26"/>
  <c r="I378" i="26"/>
  <c r="I366" i="26"/>
  <c r="I376" i="26"/>
  <c r="I382" i="26"/>
  <c r="I368" i="26"/>
  <c r="I369" i="26" s="1"/>
  <c r="I367" i="26"/>
  <c r="I360" i="26"/>
  <c r="I365" i="26" s="1"/>
  <c r="I377" i="26"/>
  <c r="I372" i="26"/>
  <c r="I362" i="26"/>
  <c r="I381" i="26"/>
  <c r="I379" i="26"/>
  <c r="I363" i="26"/>
  <c r="I373" i="26"/>
  <c r="I69" i="23"/>
  <c r="I14" i="23"/>
  <c r="H326" i="26"/>
  <c r="H129" i="23"/>
  <c r="G30" i="26"/>
  <c r="I14" i="26"/>
  <c r="I80" i="26"/>
  <c r="I87" i="26" s="1"/>
  <c r="I68" i="26"/>
  <c r="I70" i="26"/>
  <c r="I74" i="26"/>
  <c r="I79" i="26" s="1"/>
  <c r="I65" i="26"/>
  <c r="I71" i="26"/>
  <c r="I84" i="26"/>
  <c r="I81" i="26"/>
  <c r="I83" i="26"/>
  <c r="I75" i="26"/>
  <c r="I78" i="26"/>
  <c r="I82" i="26"/>
  <c r="I72" i="26"/>
  <c r="I86" i="26"/>
  <c r="I77" i="26"/>
  <c r="I85" i="26"/>
  <c r="I64" i="26"/>
  <c r="I69" i="26" s="1"/>
  <c r="I67" i="26"/>
  <c r="I76" i="26"/>
  <c r="I66" i="26"/>
  <c r="I73" i="26"/>
  <c r="G37" i="28"/>
  <c r="G49" i="27" s="1" a="1"/>
  <c r="G49" i="27" s="1"/>
  <c r="G19" i="28"/>
  <c r="G31" i="27" s="1" a="1"/>
  <c r="G31" i="27" s="1"/>
  <c r="G17" i="28"/>
  <c r="G29" i="27" s="1" a="1"/>
  <c r="G29" i="27" s="1"/>
  <c r="G22" i="28"/>
  <c r="G34" i="27" s="1" a="1"/>
  <c r="G34" i="27" s="1"/>
  <c r="G27" i="28"/>
  <c r="G39" i="27" s="1" a="1"/>
  <c r="G39" i="27" s="1"/>
  <c r="G32" i="28"/>
  <c r="G44" i="27" s="1" a="1"/>
  <c r="G44" i="27" s="1"/>
  <c r="G36" i="28"/>
  <c r="G48" i="27" s="1" a="1"/>
  <c r="G48" i="27" s="1"/>
  <c r="G35" i="28"/>
  <c r="G47" i="27" s="1" a="1"/>
  <c r="G47" i="27" s="1"/>
  <c r="G31" i="28"/>
  <c r="G18" i="28"/>
  <c r="G30" i="27" s="1" a="1"/>
  <c r="G30" i="27" s="1"/>
  <c r="G34" i="28"/>
  <c r="G46" i="27" s="1" a="1"/>
  <c r="G46" i="27" s="1"/>
  <c r="G21" i="28"/>
  <c r="G33" i="27" s="1" a="1"/>
  <c r="G33" i="27" s="1"/>
  <c r="G28" i="28"/>
  <c r="G40" i="27" s="1" a="1"/>
  <c r="G40" i="27" s="1"/>
  <c r="G25" i="28"/>
  <c r="G15" i="28"/>
  <c r="G27" i="27" s="1" a="1"/>
  <c r="G27" i="27" s="1"/>
  <c r="G29" i="28"/>
  <c r="G26" i="28"/>
  <c r="G38" i="27" s="1" a="1"/>
  <c r="G38" i="27" s="1"/>
  <c r="G23" i="28"/>
  <c r="G35" i="27" s="1" a="1"/>
  <c r="G35" i="27" s="1"/>
  <c r="G33" i="28"/>
  <c r="G45" i="27" s="1" a="1"/>
  <c r="G45" i="27" s="1"/>
  <c r="G16" i="28"/>
  <c r="G28" i="27" s="1" a="1"/>
  <c r="G28" i="27" s="1"/>
  <c r="I419" i="26"/>
  <c r="I424" i="26" s="1"/>
  <c r="I415" i="26"/>
  <c r="I418" i="26" s="1"/>
  <c r="I425" i="26"/>
  <c r="I420" i="26"/>
  <c r="I429" i="26"/>
  <c r="I411" i="26"/>
  <c r="I426" i="26"/>
  <c r="I417" i="26"/>
  <c r="I422" i="26"/>
  <c r="I413" i="26"/>
  <c r="I430" i="26"/>
  <c r="I428" i="26"/>
  <c r="I410" i="26"/>
  <c r="I431" i="26"/>
  <c r="I409" i="26"/>
  <c r="I427" i="26"/>
  <c r="I416" i="26"/>
  <c r="I412" i="26"/>
  <c r="I414" i="26" s="1"/>
  <c r="I421" i="26"/>
  <c r="I423" i="26"/>
  <c r="H25" i="26"/>
  <c r="H26" i="26"/>
  <c r="H34" i="26"/>
  <c r="H21" i="26"/>
  <c r="H31" i="26"/>
  <c r="H35" i="26"/>
  <c r="H19" i="26"/>
  <c r="H15" i="26"/>
  <c r="H27" i="26"/>
  <c r="H33" i="26"/>
  <c r="H18" i="26"/>
  <c r="H28" i="26"/>
  <c r="H36" i="26"/>
  <c r="H32" i="26"/>
  <c r="H37" i="26"/>
  <c r="H16" i="26"/>
  <c r="H22" i="26"/>
  <c r="H23" i="26"/>
  <c r="H17" i="26"/>
  <c r="H29" i="26"/>
  <c r="H24" i="26"/>
  <c r="H20" i="26"/>
  <c r="H30" i="26"/>
  <c r="H123" i="24"/>
  <c r="K47" i="14"/>
  <c r="K63" i="23"/>
  <c r="J45" i="14"/>
  <c r="I331" i="26"/>
  <c r="I321" i="26"/>
  <c r="I318" i="26"/>
  <c r="I320" i="26" s="1"/>
  <c r="I332" i="26"/>
  <c r="I311" i="26"/>
  <c r="I313" i="26"/>
  <c r="I333" i="26"/>
  <c r="I317" i="26"/>
  <c r="I319" i="26"/>
  <c r="I329" i="26"/>
  <c r="I315" i="26"/>
  <c r="I324" i="26"/>
  <c r="I314" i="26"/>
  <c r="I322" i="26"/>
  <c r="I326" i="26" s="1"/>
  <c r="I325" i="26"/>
  <c r="I328" i="26"/>
  <c r="I323" i="26"/>
  <c r="I330" i="26"/>
  <c r="I327" i="26"/>
  <c r="I312" i="26"/>
  <c r="I316" i="26" s="1"/>
  <c r="H228" i="23"/>
  <c r="G20" i="26"/>
  <c r="J63" i="26"/>
  <c r="J19" i="14"/>
  <c r="I17" i="14"/>
  <c r="G133" i="25"/>
  <c r="G131" i="25"/>
  <c r="G118" i="25"/>
  <c r="G116" i="25"/>
  <c r="G126" i="25"/>
  <c r="G121" i="25"/>
  <c r="G124" i="25"/>
  <c r="G136" i="25"/>
  <c r="G120" i="25"/>
  <c r="G123" i="25" s="1"/>
  <c r="G115" i="25"/>
  <c r="G122" i="25"/>
  <c r="G130" i="25"/>
  <c r="G125" i="25"/>
  <c r="G129" i="25" s="1"/>
  <c r="G128" i="25"/>
  <c r="G135" i="25"/>
  <c r="G132" i="25"/>
  <c r="G137" i="25" s="1"/>
  <c r="G127" i="25"/>
  <c r="G134" i="25"/>
  <c r="G114" i="25"/>
  <c r="G119" i="25" s="1"/>
  <c r="G117" i="25"/>
  <c r="H69" i="24"/>
  <c r="J27" i="14"/>
  <c r="J261" i="26"/>
  <c r="J31" i="14"/>
  <c r="J359" i="26"/>
  <c r="H320" i="26"/>
  <c r="H137" i="23"/>
  <c r="G186" i="25"/>
  <c r="G181" i="25"/>
  <c r="G175" i="25"/>
  <c r="G171" i="25"/>
  <c r="G180" i="25"/>
  <c r="G167" i="25"/>
  <c r="G184" i="25"/>
  <c r="G187" i="25" s="1"/>
  <c r="G166" i="25"/>
  <c r="G172" i="25"/>
  <c r="G168" i="25"/>
  <c r="G170" i="25"/>
  <c r="G182" i="25"/>
  <c r="G177" i="25"/>
  <c r="G165" i="25"/>
  <c r="G185" i="25"/>
  <c r="G174" i="25"/>
  <c r="G179" i="25" s="1"/>
  <c r="G176" i="25"/>
  <c r="G164" i="25"/>
  <c r="G183" i="25"/>
  <c r="G178" i="25"/>
  <c r="G84" i="25"/>
  <c r="G14" i="25"/>
  <c r="G64" i="25"/>
  <c r="G78" i="25"/>
  <c r="G74" i="25"/>
  <c r="G79" i="25" s="1"/>
  <c r="G70" i="25"/>
  <c r="G68" i="25"/>
  <c r="G82" i="25"/>
  <c r="G86" i="25"/>
  <c r="G81" i="25"/>
  <c r="G67" i="25"/>
  <c r="G83" i="25"/>
  <c r="G66" i="25"/>
  <c r="G85" i="25"/>
  <c r="G65" i="25"/>
  <c r="G77" i="25"/>
  <c r="G72" i="25"/>
  <c r="G73" i="25" s="1"/>
  <c r="G80" i="25"/>
  <c r="G87" i="25" s="1"/>
  <c r="G75" i="25"/>
  <c r="G71" i="25"/>
  <c r="G76" i="25"/>
  <c r="J33" i="14"/>
  <c r="J408" i="26"/>
  <c r="L15" i="14"/>
  <c r="L113" i="15"/>
  <c r="K134" i="15"/>
  <c r="K131" i="15"/>
  <c r="K114" i="15"/>
  <c r="K119" i="15" s="1"/>
  <c r="K128" i="15"/>
  <c r="K125" i="15"/>
  <c r="K121" i="15"/>
  <c r="K118" i="15"/>
  <c r="K117" i="15"/>
  <c r="K126" i="15"/>
  <c r="K115" i="15"/>
  <c r="K135" i="15"/>
  <c r="K132" i="15"/>
  <c r="K122" i="15"/>
  <c r="K136" i="15"/>
  <c r="K124" i="15"/>
  <c r="K130" i="15"/>
  <c r="K116" i="15"/>
  <c r="K133" i="15"/>
  <c r="K120" i="15"/>
  <c r="K123" i="15" s="1"/>
  <c r="K127" i="15"/>
  <c r="G106" i="15"/>
  <c r="G105" i="15"/>
  <c r="G104" i="15"/>
  <c r="H99" i="15"/>
  <c r="H103" i="15"/>
  <c r="H107" i="15"/>
  <c r="H110" i="15"/>
  <c r="H111" i="15"/>
  <c r="H100" i="15"/>
  <c r="H102" i="15"/>
  <c r="H109" i="15"/>
  <c r="H93" i="15"/>
  <c r="H94" i="15"/>
  <c r="H96" i="15"/>
  <c r="H97" i="15"/>
  <c r="I92" i="15"/>
  <c r="I87" i="15" l="1"/>
  <c r="I79" i="15"/>
  <c r="G30" i="28"/>
  <c r="I73" i="15"/>
  <c r="G24" i="28"/>
  <c r="G37" i="27" a="1"/>
  <c r="G37" i="27" s="1"/>
  <c r="H24" i="15"/>
  <c r="K129" i="15"/>
  <c r="I69" i="15"/>
  <c r="K137" i="15"/>
  <c r="N41" i="14"/>
  <c r="N163" i="24"/>
  <c r="J126" i="24"/>
  <c r="J121" i="24"/>
  <c r="J125" i="24"/>
  <c r="J115" i="24"/>
  <c r="J119" i="24" s="1"/>
  <c r="J116" i="24"/>
  <c r="J118" i="24"/>
  <c r="J120" i="24"/>
  <c r="J134" i="24"/>
  <c r="J114" i="24"/>
  <c r="J135" i="24"/>
  <c r="J132" i="24"/>
  <c r="J124" i="24"/>
  <c r="J129" i="24" s="1"/>
  <c r="J136" i="24"/>
  <c r="J117" i="24"/>
  <c r="J127" i="24"/>
  <c r="J122" i="24"/>
  <c r="J130" i="24"/>
  <c r="J131" i="24"/>
  <c r="J137" i="24" s="1"/>
  <c r="J133" i="24"/>
  <c r="J128" i="24"/>
  <c r="J428" i="26"/>
  <c r="J420" i="26"/>
  <c r="J410" i="26"/>
  <c r="J430" i="26"/>
  <c r="J431" i="26"/>
  <c r="J413" i="26"/>
  <c r="J423" i="26"/>
  <c r="J419" i="26"/>
  <c r="J424" i="26" s="1"/>
  <c r="J417" i="26"/>
  <c r="J425" i="26"/>
  <c r="J415" i="26"/>
  <c r="J427" i="26"/>
  <c r="J421" i="26"/>
  <c r="J416" i="26"/>
  <c r="J409" i="26"/>
  <c r="J426" i="26"/>
  <c r="J429" i="26"/>
  <c r="J422" i="26"/>
  <c r="J412" i="26"/>
  <c r="J411" i="26"/>
  <c r="I36" i="26"/>
  <c r="I23" i="26"/>
  <c r="I22" i="26"/>
  <c r="I21" i="26"/>
  <c r="I31" i="26"/>
  <c r="I25" i="26"/>
  <c r="I18" i="26"/>
  <c r="I16" i="26"/>
  <c r="I15" i="26"/>
  <c r="I33" i="26"/>
  <c r="I26" i="26"/>
  <c r="I28" i="26"/>
  <c r="I37" i="26"/>
  <c r="I29" i="26"/>
  <c r="I34" i="26"/>
  <c r="I27" i="26"/>
  <c r="I19" i="26"/>
  <c r="I32" i="26"/>
  <c r="I17" i="26"/>
  <c r="I35" i="26"/>
  <c r="I20" i="26"/>
  <c r="L214" i="24"/>
  <c r="L223" i="24"/>
  <c r="L228" i="24" s="1"/>
  <c r="L231" i="24"/>
  <c r="L221" i="24"/>
  <c r="L224" i="24"/>
  <c r="L232" i="24"/>
  <c r="L216" i="24"/>
  <c r="L234" i="24"/>
  <c r="L227" i="24"/>
  <c r="L225" i="24"/>
  <c r="L230" i="24"/>
  <c r="L213" i="24"/>
  <c r="L220" i="24"/>
  <c r="L215" i="24"/>
  <c r="L226" i="24"/>
  <c r="L217" i="24"/>
  <c r="L219" i="24"/>
  <c r="L229" i="24"/>
  <c r="L236" i="24" s="1"/>
  <c r="L233" i="24"/>
  <c r="L235" i="24"/>
  <c r="I179" i="23"/>
  <c r="I222" i="23"/>
  <c r="K39" i="14"/>
  <c r="K113" i="24"/>
  <c r="I17" i="15"/>
  <c r="I19" i="15"/>
  <c r="I18" i="15"/>
  <c r="I16" i="15"/>
  <c r="I37" i="15"/>
  <c r="I36" i="15"/>
  <c r="I15" i="15"/>
  <c r="I33" i="15"/>
  <c r="I22" i="15"/>
  <c r="I28" i="15"/>
  <c r="I29" i="15"/>
  <c r="I34" i="15"/>
  <c r="I32" i="15"/>
  <c r="I23" i="15"/>
  <c r="I25" i="15"/>
  <c r="I27" i="15"/>
  <c r="I26" i="15"/>
  <c r="I31" i="15"/>
  <c r="I35" i="15"/>
  <c r="I21" i="15"/>
  <c r="K115" i="26"/>
  <c r="K133" i="26"/>
  <c r="K118" i="26"/>
  <c r="K132" i="26"/>
  <c r="K117" i="26"/>
  <c r="K134" i="26"/>
  <c r="K127" i="26"/>
  <c r="K122" i="26"/>
  <c r="K135" i="26"/>
  <c r="K121" i="26"/>
  <c r="K114" i="26"/>
  <c r="K116" i="26"/>
  <c r="K131" i="26"/>
  <c r="K136" i="26"/>
  <c r="K120" i="26"/>
  <c r="K123" i="26" s="1"/>
  <c r="K130" i="26"/>
  <c r="K137" i="26" s="1"/>
  <c r="K124" i="26"/>
  <c r="K128" i="26"/>
  <c r="K125" i="26"/>
  <c r="K126" i="26"/>
  <c r="K119" i="26"/>
  <c r="K129" i="26"/>
  <c r="H218" i="25"/>
  <c r="K63" i="15"/>
  <c r="K13" i="14"/>
  <c r="J11" i="14"/>
  <c r="J8" i="14" s="1"/>
  <c r="K33" i="14"/>
  <c r="K408" i="26"/>
  <c r="J114" i="23"/>
  <c r="J119" i="23" s="1"/>
  <c r="J124" i="23"/>
  <c r="J129" i="23" s="1"/>
  <c r="J132" i="23"/>
  <c r="J116" i="23"/>
  <c r="J136" i="23"/>
  <c r="J135" i="23"/>
  <c r="J128" i="23"/>
  <c r="J127" i="23"/>
  <c r="J115" i="23"/>
  <c r="J118" i="23"/>
  <c r="J133" i="23"/>
  <c r="J121" i="23"/>
  <c r="J134" i="23"/>
  <c r="J120" i="23"/>
  <c r="J123" i="23" s="1"/>
  <c r="J131" i="23"/>
  <c r="J130" i="23"/>
  <c r="J122" i="23"/>
  <c r="J126" i="23"/>
  <c r="J117" i="23"/>
  <c r="J125" i="23"/>
  <c r="I169" i="23"/>
  <c r="I213" i="25"/>
  <c r="I232" i="25"/>
  <c r="I231" i="25"/>
  <c r="I224" i="25"/>
  <c r="I214" i="25"/>
  <c r="I223" i="25"/>
  <c r="I217" i="25"/>
  <c r="I233" i="25"/>
  <c r="I236" i="25" s="1"/>
  <c r="I226" i="25"/>
  <c r="I219" i="25"/>
  <c r="I235" i="25"/>
  <c r="I216" i="25"/>
  <c r="I227" i="25"/>
  <c r="I229" i="25"/>
  <c r="I230" i="25"/>
  <c r="I225" i="25"/>
  <c r="I228" i="25" s="1"/>
  <c r="I234" i="25"/>
  <c r="I220" i="25"/>
  <c r="I215" i="25"/>
  <c r="I221" i="25"/>
  <c r="I222" i="25" s="1"/>
  <c r="J73" i="23"/>
  <c r="J14" i="24"/>
  <c r="J76" i="24"/>
  <c r="J65" i="24"/>
  <c r="J71" i="24"/>
  <c r="J66" i="24"/>
  <c r="J69" i="24" s="1"/>
  <c r="J80" i="24"/>
  <c r="J72" i="24"/>
  <c r="J68" i="24"/>
  <c r="J75" i="24"/>
  <c r="J85" i="24"/>
  <c r="J70" i="24"/>
  <c r="J67" i="24"/>
  <c r="J81" i="24"/>
  <c r="J84" i="24"/>
  <c r="J77" i="24"/>
  <c r="J82" i="24"/>
  <c r="J83" i="24"/>
  <c r="J78" i="24"/>
  <c r="J64" i="24"/>
  <c r="J86" i="24"/>
  <c r="J74" i="24"/>
  <c r="J79" i="24" s="1"/>
  <c r="J73" i="24"/>
  <c r="L21" i="14"/>
  <c r="L113" i="26"/>
  <c r="I69" i="24"/>
  <c r="J278" i="26"/>
  <c r="J280" i="26"/>
  <c r="J276" i="26"/>
  <c r="J262" i="26"/>
  <c r="J272" i="26"/>
  <c r="J277" i="26" s="1"/>
  <c r="J279" i="26"/>
  <c r="J268" i="26"/>
  <c r="J281" i="26"/>
  <c r="J283" i="26"/>
  <c r="J269" i="26"/>
  <c r="J263" i="26"/>
  <c r="J270" i="26"/>
  <c r="J282" i="26"/>
  <c r="J273" i="26"/>
  <c r="J265" i="26"/>
  <c r="J275" i="26"/>
  <c r="J264" i="26"/>
  <c r="J284" i="26"/>
  <c r="J266" i="26"/>
  <c r="J274" i="26"/>
  <c r="J271" i="26"/>
  <c r="L281" i="24"/>
  <c r="L274" i="24"/>
  <c r="L264" i="24"/>
  <c r="L270" i="24"/>
  <c r="L279" i="24"/>
  <c r="L275" i="24"/>
  <c r="L273" i="24"/>
  <c r="L269" i="24"/>
  <c r="L278" i="24"/>
  <c r="L263" i="24"/>
  <c r="L268" i="24"/>
  <c r="L265" i="24"/>
  <c r="L280" i="24"/>
  <c r="L283" i="24"/>
  <c r="L262" i="24"/>
  <c r="L266" i="24"/>
  <c r="L271" i="24"/>
  <c r="L282" i="24"/>
  <c r="L276" i="24"/>
  <c r="L272" i="24"/>
  <c r="L284" i="24"/>
  <c r="G36" i="25"/>
  <c r="G28" i="25"/>
  <c r="G37" i="25"/>
  <c r="G26" i="25"/>
  <c r="G30" i="25" s="1"/>
  <c r="G21" i="25"/>
  <c r="G24" i="25" s="1"/>
  <c r="G25" i="25"/>
  <c r="G31" i="25"/>
  <c r="G32" i="25"/>
  <c r="G15" i="25"/>
  <c r="G20" i="25" s="1"/>
  <c r="G27" i="25"/>
  <c r="G16" i="25"/>
  <c r="G22" i="25"/>
  <c r="G34" i="25"/>
  <c r="G38" i="25" s="1"/>
  <c r="G19" i="25"/>
  <c r="G33" i="25"/>
  <c r="G35" i="25"/>
  <c r="G23" i="25"/>
  <c r="G29" i="25"/>
  <c r="G17" i="25"/>
  <c r="G18" i="25"/>
  <c r="K27" i="14"/>
  <c r="K261" i="26"/>
  <c r="K63" i="26"/>
  <c r="J17" i="14"/>
  <c r="K19" i="14"/>
  <c r="G173" i="25"/>
  <c r="J381" i="26"/>
  <c r="J376" i="26"/>
  <c r="J374" i="26"/>
  <c r="J380" i="26"/>
  <c r="J361" i="26"/>
  <c r="J377" i="26"/>
  <c r="J373" i="26"/>
  <c r="J370" i="26"/>
  <c r="J375" i="26" s="1"/>
  <c r="J372" i="26"/>
  <c r="J379" i="26"/>
  <c r="J378" i="26"/>
  <c r="J371" i="26"/>
  <c r="J363" i="26"/>
  <c r="J360" i="26"/>
  <c r="J365" i="26" s="1"/>
  <c r="J366" i="26"/>
  <c r="J368" i="26"/>
  <c r="J364" i="26"/>
  <c r="J382" i="26"/>
  <c r="J367" i="26"/>
  <c r="J362" i="26"/>
  <c r="J14" i="26"/>
  <c r="J85" i="26"/>
  <c r="J84" i="26"/>
  <c r="J80" i="26"/>
  <c r="J75" i="26"/>
  <c r="J72" i="26"/>
  <c r="J82" i="26"/>
  <c r="J64" i="26"/>
  <c r="J78" i="26"/>
  <c r="J83" i="26"/>
  <c r="J86" i="26"/>
  <c r="J65" i="26"/>
  <c r="J77" i="26"/>
  <c r="J71" i="26"/>
  <c r="J73" i="26" s="1"/>
  <c r="J74" i="26"/>
  <c r="J79" i="26" s="1"/>
  <c r="J76" i="26"/>
  <c r="J67" i="26"/>
  <c r="J81" i="26"/>
  <c r="J87" i="26" s="1"/>
  <c r="J66" i="26"/>
  <c r="J69" i="26" s="1"/>
  <c r="J70" i="26"/>
  <c r="J68" i="26"/>
  <c r="I34" i="23"/>
  <c r="I37" i="23"/>
  <c r="I36" i="23"/>
  <c r="I18" i="23"/>
  <c r="I32" i="23"/>
  <c r="I38" i="23" s="1"/>
  <c r="I33" i="23"/>
  <c r="I17" i="23"/>
  <c r="I22" i="23"/>
  <c r="I15" i="23"/>
  <c r="I23" i="23"/>
  <c r="I31" i="23"/>
  <c r="I35" i="23"/>
  <c r="I28" i="23"/>
  <c r="I16" i="23"/>
  <c r="I21" i="23"/>
  <c r="I24" i="23" s="1"/>
  <c r="I19" i="23"/>
  <c r="I26" i="23"/>
  <c r="I29" i="23"/>
  <c r="I27" i="23"/>
  <c r="I25" i="23"/>
  <c r="I30" i="23" s="1"/>
  <c r="I20" i="23"/>
  <c r="J167" i="23"/>
  <c r="J166" i="23"/>
  <c r="J172" i="23"/>
  <c r="J177" i="23"/>
  <c r="J170" i="23"/>
  <c r="J173" i="23" s="1"/>
  <c r="J178" i="23"/>
  <c r="J183" i="23"/>
  <c r="J165" i="23"/>
  <c r="J184" i="23"/>
  <c r="J181" i="23"/>
  <c r="J186" i="23"/>
  <c r="J168" i="23"/>
  <c r="J164" i="23"/>
  <c r="J169" i="23" s="1"/>
  <c r="J182" i="23"/>
  <c r="J171" i="23"/>
  <c r="J176" i="23"/>
  <c r="J175" i="23"/>
  <c r="J180" i="23"/>
  <c r="J185" i="23"/>
  <c r="J174" i="23"/>
  <c r="J179" i="23"/>
  <c r="L220" i="26"/>
  <c r="L231" i="26"/>
  <c r="L214" i="26"/>
  <c r="L215" i="26"/>
  <c r="L229" i="26"/>
  <c r="L230" i="26"/>
  <c r="L219" i="26"/>
  <c r="L234" i="26"/>
  <c r="L223" i="26"/>
  <c r="L228" i="26" s="1"/>
  <c r="L232" i="26"/>
  <c r="L216" i="26"/>
  <c r="L227" i="26"/>
  <c r="L226" i="26"/>
  <c r="L224" i="26"/>
  <c r="L213" i="26"/>
  <c r="L217" i="26"/>
  <c r="L233" i="26"/>
  <c r="L235" i="26"/>
  <c r="L221" i="26"/>
  <c r="L225" i="26"/>
  <c r="L218" i="26"/>
  <c r="H14" i="28"/>
  <c r="K49" i="14"/>
  <c r="K113" i="23"/>
  <c r="H24" i="24"/>
  <c r="J65" i="14"/>
  <c r="J212" i="25"/>
  <c r="J79" i="23"/>
  <c r="J14" i="23"/>
  <c r="K37" i="14"/>
  <c r="K63" i="24"/>
  <c r="J35" i="14"/>
  <c r="K277" i="25"/>
  <c r="H30" i="15"/>
  <c r="M43" i="14"/>
  <c r="M212" i="24"/>
  <c r="M55" i="14"/>
  <c r="M261" i="23"/>
  <c r="M261" i="24"/>
  <c r="M261" i="25"/>
  <c r="J69" i="23"/>
  <c r="G69" i="25"/>
  <c r="G169" i="25"/>
  <c r="K31" i="14"/>
  <c r="K359" i="26"/>
  <c r="K70" i="23"/>
  <c r="K81" i="23"/>
  <c r="K67" i="23"/>
  <c r="K85" i="23"/>
  <c r="K71" i="23"/>
  <c r="K75" i="23"/>
  <c r="K76" i="23"/>
  <c r="K80" i="23"/>
  <c r="K66" i="23"/>
  <c r="K84" i="23"/>
  <c r="K64" i="23"/>
  <c r="K65" i="23"/>
  <c r="K86" i="23"/>
  <c r="K82" i="23"/>
  <c r="K72" i="23"/>
  <c r="K73" i="23" s="1"/>
  <c r="K83" i="23"/>
  <c r="K68" i="23"/>
  <c r="K74" i="23"/>
  <c r="K69" i="23"/>
  <c r="K78" i="23"/>
  <c r="K77" i="23"/>
  <c r="K87" i="23"/>
  <c r="G20" i="28"/>
  <c r="K51" i="14"/>
  <c r="K163" i="23"/>
  <c r="M25" i="14"/>
  <c r="M212" i="26"/>
  <c r="H14" i="25"/>
  <c r="H83" i="25"/>
  <c r="H80" i="25"/>
  <c r="H87" i="25" s="1"/>
  <c r="H64" i="25"/>
  <c r="H69" i="25" s="1"/>
  <c r="H85" i="25"/>
  <c r="H75" i="25"/>
  <c r="H79" i="25" s="1"/>
  <c r="H68" i="25"/>
  <c r="H82" i="25"/>
  <c r="H70" i="25"/>
  <c r="H71" i="25"/>
  <c r="H65" i="25"/>
  <c r="H74" i="25"/>
  <c r="H77" i="25"/>
  <c r="H72" i="25"/>
  <c r="H67" i="25"/>
  <c r="H78" i="25"/>
  <c r="H66" i="25"/>
  <c r="H81" i="25"/>
  <c r="H86" i="25"/>
  <c r="H76" i="25"/>
  <c r="H84" i="25"/>
  <c r="J213" i="23"/>
  <c r="J223" i="23"/>
  <c r="J229" i="23"/>
  <c r="J216" i="23"/>
  <c r="J231" i="23"/>
  <c r="J220" i="23"/>
  <c r="J222" i="23" s="1"/>
  <c r="J219" i="23"/>
  <c r="J230" i="23"/>
  <c r="J214" i="23"/>
  <c r="J234" i="23"/>
  <c r="J227" i="23"/>
  <c r="J233" i="23"/>
  <c r="J217" i="23"/>
  <c r="J232" i="23"/>
  <c r="J226" i="23"/>
  <c r="J225" i="23"/>
  <c r="J224" i="23"/>
  <c r="J215" i="23"/>
  <c r="J235" i="23"/>
  <c r="J221" i="23"/>
  <c r="J129" i="26"/>
  <c r="H116" i="25"/>
  <c r="H114" i="25"/>
  <c r="H126" i="25"/>
  <c r="H135" i="25"/>
  <c r="H121" i="25"/>
  <c r="H127" i="25"/>
  <c r="H124" i="25"/>
  <c r="H136" i="25"/>
  <c r="H132" i="25"/>
  <c r="H131" i="25"/>
  <c r="H122" i="25"/>
  <c r="H123" i="25" s="1"/>
  <c r="H117" i="25"/>
  <c r="H120" i="25"/>
  <c r="H118" i="25"/>
  <c r="H134" i="25"/>
  <c r="H128" i="25"/>
  <c r="H125" i="25"/>
  <c r="H130" i="25"/>
  <c r="H137" i="25" s="1"/>
  <c r="H129" i="25"/>
  <c r="H115" i="25"/>
  <c r="H133" i="25"/>
  <c r="I123" i="24"/>
  <c r="I63" i="14"/>
  <c r="I163" i="25"/>
  <c r="L47" i="14"/>
  <c r="L63" i="23"/>
  <c r="K45" i="14"/>
  <c r="G38" i="28"/>
  <c r="H38" i="23"/>
  <c r="I59" i="14"/>
  <c r="I63" i="25"/>
  <c r="H57" i="14"/>
  <c r="I14" i="28" s="1"/>
  <c r="I12" i="28" s="1"/>
  <c r="K267" i="23"/>
  <c r="J321" i="26"/>
  <c r="J326" i="26" s="1"/>
  <c r="J311" i="26"/>
  <c r="J333" i="26"/>
  <c r="J319" i="26"/>
  <c r="J329" i="26"/>
  <c r="J323" i="26"/>
  <c r="J317" i="26"/>
  <c r="J320" i="26" s="1"/>
  <c r="J328" i="26"/>
  <c r="J327" i="26"/>
  <c r="J331" i="26"/>
  <c r="J318" i="26"/>
  <c r="J325" i="26"/>
  <c r="J324" i="26"/>
  <c r="J312" i="26"/>
  <c r="J332" i="26"/>
  <c r="J313" i="26"/>
  <c r="J316" i="26" s="1"/>
  <c r="J315" i="26"/>
  <c r="J322" i="26"/>
  <c r="J330" i="26"/>
  <c r="J314" i="26"/>
  <c r="K53" i="14"/>
  <c r="K212" i="23"/>
  <c r="L173" i="24"/>
  <c r="L274" i="25"/>
  <c r="L282" i="25"/>
  <c r="L275" i="25"/>
  <c r="L265" i="25"/>
  <c r="L280" i="25"/>
  <c r="L281" i="25"/>
  <c r="L269" i="25"/>
  <c r="L264" i="25"/>
  <c r="L279" i="25"/>
  <c r="L266" i="25"/>
  <c r="L270" i="25"/>
  <c r="L271" i="25" s="1"/>
  <c r="L276" i="25"/>
  <c r="L283" i="25"/>
  <c r="L278" i="25"/>
  <c r="L273" i="25"/>
  <c r="L268" i="25"/>
  <c r="L263" i="25"/>
  <c r="L272" i="25"/>
  <c r="L262" i="25"/>
  <c r="L267" i="25" s="1"/>
  <c r="L284" i="25"/>
  <c r="K181" i="26"/>
  <c r="K175" i="26"/>
  <c r="K170" i="26"/>
  <c r="K165" i="26"/>
  <c r="K174" i="26"/>
  <c r="K164" i="26"/>
  <c r="K180" i="26"/>
  <c r="K176" i="26"/>
  <c r="K167" i="26"/>
  <c r="K177" i="26"/>
  <c r="K186" i="26"/>
  <c r="K168" i="26"/>
  <c r="K166" i="26"/>
  <c r="K169" i="26" s="1"/>
  <c r="K183" i="26"/>
  <c r="K171" i="26"/>
  <c r="K173" i="26" s="1"/>
  <c r="K178" i="26"/>
  <c r="K185" i="26"/>
  <c r="K172" i="26"/>
  <c r="K182" i="26"/>
  <c r="K184" i="26"/>
  <c r="K179" i="26"/>
  <c r="I18" i="24"/>
  <c r="I33" i="24"/>
  <c r="I15" i="24"/>
  <c r="I28" i="24"/>
  <c r="I16" i="24"/>
  <c r="I20" i="24" s="1"/>
  <c r="I31" i="24"/>
  <c r="I29" i="24"/>
  <c r="I27" i="24"/>
  <c r="I23" i="24"/>
  <c r="I25" i="24"/>
  <c r="I34" i="24"/>
  <c r="I21" i="24"/>
  <c r="I24" i="24" s="1"/>
  <c r="I36" i="24"/>
  <c r="I17" i="24"/>
  <c r="I26" i="24"/>
  <c r="I30" i="24" s="1"/>
  <c r="I22" i="24"/>
  <c r="I32" i="24"/>
  <c r="I37" i="24"/>
  <c r="I19" i="24"/>
  <c r="I35" i="24"/>
  <c r="I38" i="24"/>
  <c r="H20" i="15"/>
  <c r="I61" i="14"/>
  <c r="I113" i="25"/>
  <c r="I137" i="24"/>
  <c r="H38" i="26"/>
  <c r="H30" i="23"/>
  <c r="K277" i="23"/>
  <c r="M180" i="24"/>
  <c r="M187" i="24" s="1"/>
  <c r="M172" i="24"/>
  <c r="M170" i="24"/>
  <c r="M182" i="24"/>
  <c r="M171" i="24"/>
  <c r="M177" i="24"/>
  <c r="M166" i="24"/>
  <c r="M165" i="24"/>
  <c r="M181" i="24"/>
  <c r="M175" i="24"/>
  <c r="M179" i="24" s="1"/>
  <c r="M168" i="24"/>
  <c r="M167" i="24"/>
  <c r="M184" i="24"/>
  <c r="M186" i="24"/>
  <c r="M183" i="24"/>
  <c r="M176" i="24"/>
  <c r="M185" i="24"/>
  <c r="M178" i="24"/>
  <c r="M173" i="24"/>
  <c r="M174" i="24"/>
  <c r="M164" i="24"/>
  <c r="M169" i="24" s="1"/>
  <c r="K29" i="14"/>
  <c r="K310" i="26"/>
  <c r="L282" i="23"/>
  <c r="L269" i="23"/>
  <c r="L281" i="23"/>
  <c r="L262" i="23"/>
  <c r="L272" i="23"/>
  <c r="L274" i="23"/>
  <c r="L273" i="23"/>
  <c r="L277" i="23" s="1"/>
  <c r="L278" i="23"/>
  <c r="L266" i="23"/>
  <c r="L263" i="23"/>
  <c r="L268" i="23"/>
  <c r="L283" i="23"/>
  <c r="L276" i="23"/>
  <c r="L280" i="23"/>
  <c r="L265" i="23"/>
  <c r="L275" i="23"/>
  <c r="L284" i="23"/>
  <c r="L279" i="23"/>
  <c r="L264" i="23"/>
  <c r="L270" i="23"/>
  <c r="L271" i="23"/>
  <c r="L267" i="23"/>
  <c r="J67" i="15"/>
  <c r="J65" i="15"/>
  <c r="J74" i="15"/>
  <c r="J79" i="15" s="1"/>
  <c r="J70" i="15"/>
  <c r="J85" i="15"/>
  <c r="J83" i="15"/>
  <c r="J81" i="15"/>
  <c r="J76" i="15"/>
  <c r="J66" i="15"/>
  <c r="J75" i="15"/>
  <c r="J84" i="15"/>
  <c r="J82" i="15"/>
  <c r="J80" i="15"/>
  <c r="J64" i="15"/>
  <c r="J86" i="15"/>
  <c r="J77" i="15"/>
  <c r="J71" i="15"/>
  <c r="J78" i="15"/>
  <c r="J68" i="15"/>
  <c r="J72" i="15"/>
  <c r="J14" i="15"/>
  <c r="L23" i="14"/>
  <c r="L163" i="26"/>
  <c r="I87" i="24"/>
  <c r="H38" i="15"/>
  <c r="K271" i="24"/>
  <c r="H181" i="25"/>
  <c r="H174" i="25"/>
  <c r="H185" i="25"/>
  <c r="H168" i="25"/>
  <c r="H183" i="25"/>
  <c r="H164" i="25"/>
  <c r="H167" i="25"/>
  <c r="H176" i="25"/>
  <c r="H186" i="25"/>
  <c r="H171" i="25"/>
  <c r="H178" i="25"/>
  <c r="H182" i="25"/>
  <c r="H184" i="25"/>
  <c r="H172" i="25"/>
  <c r="H180" i="25"/>
  <c r="H177" i="25"/>
  <c r="H175" i="25"/>
  <c r="H170" i="25"/>
  <c r="H165" i="25"/>
  <c r="H166" i="25"/>
  <c r="I119" i="24"/>
  <c r="L128" i="15"/>
  <c r="L125" i="15"/>
  <c r="L121" i="15"/>
  <c r="L117" i="15"/>
  <c r="L130" i="15"/>
  <c r="L135" i="15"/>
  <c r="L132" i="15"/>
  <c r="L126" i="15"/>
  <c r="L122" i="15"/>
  <c r="L118" i="15"/>
  <c r="L115" i="15"/>
  <c r="L133" i="15"/>
  <c r="L127" i="15"/>
  <c r="L120" i="15"/>
  <c r="L116" i="15"/>
  <c r="L114" i="15"/>
  <c r="L124" i="15"/>
  <c r="L131" i="15"/>
  <c r="L136" i="15"/>
  <c r="L134" i="15"/>
  <c r="M15" i="14"/>
  <c r="M113" i="15"/>
  <c r="H106" i="15"/>
  <c r="H105" i="15"/>
  <c r="H104" i="15"/>
  <c r="I96" i="15"/>
  <c r="I100" i="15"/>
  <c r="I102" i="15"/>
  <c r="I109" i="15"/>
  <c r="I93" i="15"/>
  <c r="I94" i="15"/>
  <c r="I97" i="15"/>
  <c r="I99" i="15"/>
  <c r="I103" i="15"/>
  <c r="I107" i="15"/>
  <c r="I110" i="15"/>
  <c r="I111" i="15"/>
  <c r="J92" i="15"/>
  <c r="H12" i="28" l="1"/>
  <c r="H26" i="27" a="1"/>
  <c r="H26" i="27" s="1"/>
  <c r="I47" i="27" a="1"/>
  <c r="I47" i="27" s="1"/>
  <c r="I41" i="27" a="1"/>
  <c r="I41" i="27" s="1"/>
  <c r="I31" i="27" a="1"/>
  <c r="I31" i="27" s="1"/>
  <c r="I26" i="27" a="1"/>
  <c r="I26" i="27" s="1"/>
  <c r="I20" i="15"/>
  <c r="L129" i="15"/>
  <c r="L123" i="15"/>
  <c r="L119" i="15"/>
  <c r="J69" i="15"/>
  <c r="I24" i="15"/>
  <c r="J87" i="15"/>
  <c r="I30" i="15"/>
  <c r="L137" i="15"/>
  <c r="J73" i="15"/>
  <c r="I38" i="15"/>
  <c r="M21" i="14"/>
  <c r="M113" i="26"/>
  <c r="K64" i="15"/>
  <c r="K81" i="15"/>
  <c r="K76" i="15"/>
  <c r="K67" i="15"/>
  <c r="K65" i="15"/>
  <c r="K74" i="15"/>
  <c r="K79" i="15" s="1"/>
  <c r="K78" i="15"/>
  <c r="K70" i="15"/>
  <c r="K85" i="15"/>
  <c r="K83" i="15"/>
  <c r="K72" i="15"/>
  <c r="K86" i="15"/>
  <c r="K71" i="15"/>
  <c r="K73" i="15" s="1"/>
  <c r="K68" i="15"/>
  <c r="K84" i="15"/>
  <c r="K82" i="15"/>
  <c r="K66" i="15"/>
  <c r="K80" i="15"/>
  <c r="K75" i="15"/>
  <c r="K77" i="15"/>
  <c r="K14" i="15"/>
  <c r="L277" i="25"/>
  <c r="J228" i="23"/>
  <c r="L39" i="14"/>
  <c r="L113" i="24"/>
  <c r="I30" i="26"/>
  <c r="K312" i="26"/>
  <c r="K319" i="26"/>
  <c r="K311" i="26"/>
  <c r="K316" i="26" s="1"/>
  <c r="K314" i="26"/>
  <c r="K327" i="26"/>
  <c r="K318" i="26"/>
  <c r="K315" i="26"/>
  <c r="K329" i="26"/>
  <c r="K324" i="26"/>
  <c r="K317" i="26"/>
  <c r="K320" i="26" s="1"/>
  <c r="K330" i="26"/>
  <c r="K333" i="26"/>
  <c r="K331" i="26"/>
  <c r="K321" i="26"/>
  <c r="K322" i="26"/>
  <c r="K326" i="26" s="1"/>
  <c r="K323" i="26"/>
  <c r="K328" i="26"/>
  <c r="K313" i="26"/>
  <c r="K325" i="26"/>
  <c r="K332" i="26"/>
  <c r="I31" i="28"/>
  <c r="I43" i="27" s="1" a="1"/>
  <c r="I43" i="27" s="1"/>
  <c r="I35" i="28"/>
  <c r="I18" i="28"/>
  <c r="I30" i="27" s="1" a="1"/>
  <c r="I30" i="27" s="1"/>
  <c r="I22" i="28"/>
  <c r="I34" i="27" s="1" a="1"/>
  <c r="I34" i="27" s="1"/>
  <c r="I16" i="28"/>
  <c r="I28" i="27" s="1" a="1"/>
  <c r="I28" i="27" s="1"/>
  <c r="I25" i="28"/>
  <c r="I37" i="27" s="1" a="1"/>
  <c r="I37" i="27" s="1"/>
  <c r="I17" i="28"/>
  <c r="I29" i="27" s="1" a="1"/>
  <c r="I29" i="27" s="1"/>
  <c r="I34" i="28"/>
  <c r="I38" i="28" s="1"/>
  <c r="I19" i="28"/>
  <c r="I32" i="28"/>
  <c r="I44" i="27" s="1" a="1"/>
  <c r="I44" i="27" s="1"/>
  <c r="I36" i="28"/>
  <c r="I48" i="27" s="1" a="1"/>
  <c r="I48" i="27" s="1"/>
  <c r="I28" i="28"/>
  <c r="I40" i="27" s="1" a="1"/>
  <c r="I40" i="27" s="1"/>
  <c r="I29" i="28"/>
  <c r="I15" i="28"/>
  <c r="I37" i="28"/>
  <c r="I49" i="27" s="1" a="1"/>
  <c r="I49" i="27" s="1"/>
  <c r="I23" i="28"/>
  <c r="I35" i="27" s="1" a="1"/>
  <c r="I35" i="27" s="1"/>
  <c r="I26" i="28"/>
  <c r="I38" i="27" s="1" a="1"/>
  <c r="I38" i="27" s="1"/>
  <c r="I27" i="28"/>
  <c r="I39" i="27" s="1" a="1"/>
  <c r="I39" i="27" s="1"/>
  <c r="I33" i="28"/>
  <c r="I45" i="27" s="1" a="1"/>
  <c r="I45" i="27" s="1"/>
  <c r="I21" i="28"/>
  <c r="M47" i="14"/>
  <c r="M63" i="23"/>
  <c r="M283" i="25"/>
  <c r="M280" i="25"/>
  <c r="M270" i="25"/>
  <c r="M262" i="25"/>
  <c r="M265" i="25"/>
  <c r="M276" i="25"/>
  <c r="M284" i="25"/>
  <c r="M264" i="25"/>
  <c r="M278" i="25"/>
  <c r="M282" i="25"/>
  <c r="M266" i="25"/>
  <c r="M263" i="25"/>
  <c r="M274" i="25"/>
  <c r="M269" i="25"/>
  <c r="M272" i="25"/>
  <c r="M281" i="25"/>
  <c r="M273" i="25"/>
  <c r="M268" i="25"/>
  <c r="M279" i="25"/>
  <c r="M275" i="25"/>
  <c r="K14" i="24"/>
  <c r="K81" i="24"/>
  <c r="K84" i="24"/>
  <c r="K76" i="24"/>
  <c r="K79" i="24" s="1"/>
  <c r="K65" i="24"/>
  <c r="K74" i="24"/>
  <c r="K77" i="24"/>
  <c r="K67" i="24"/>
  <c r="K64" i="24"/>
  <c r="K70" i="24"/>
  <c r="K68" i="24"/>
  <c r="K71" i="24"/>
  <c r="K82" i="24"/>
  <c r="K83" i="24"/>
  <c r="K75" i="24"/>
  <c r="K72" i="24"/>
  <c r="K86" i="24"/>
  <c r="K78" i="24"/>
  <c r="K66" i="24"/>
  <c r="K80" i="24"/>
  <c r="K87" i="24" s="1"/>
  <c r="K85" i="24"/>
  <c r="L222" i="26"/>
  <c r="J36" i="26"/>
  <c r="J21" i="26"/>
  <c r="J31" i="26"/>
  <c r="J28" i="26"/>
  <c r="J25" i="26"/>
  <c r="J26" i="26"/>
  <c r="J37" i="26"/>
  <c r="J18" i="26"/>
  <c r="J15" i="26"/>
  <c r="J33" i="26"/>
  <c r="J29" i="26"/>
  <c r="J35" i="26"/>
  <c r="J22" i="26"/>
  <c r="J16" i="26"/>
  <c r="J32" i="26"/>
  <c r="J19" i="26"/>
  <c r="J17" i="26"/>
  <c r="J34" i="26"/>
  <c r="J27" i="26"/>
  <c r="J23" i="26"/>
  <c r="J369" i="26"/>
  <c r="L267" i="24"/>
  <c r="I24" i="26"/>
  <c r="I33" i="27" a="1"/>
  <c r="I33" i="27" s="1"/>
  <c r="K167" i="23"/>
  <c r="K181" i="23"/>
  <c r="K178" i="23"/>
  <c r="K183" i="23"/>
  <c r="K174" i="23"/>
  <c r="K179" i="23" s="1"/>
  <c r="K182" i="23"/>
  <c r="K168" i="23"/>
  <c r="K164" i="23"/>
  <c r="K177" i="23"/>
  <c r="K172" i="23"/>
  <c r="K175" i="23"/>
  <c r="K171" i="23"/>
  <c r="K170" i="23"/>
  <c r="K184" i="23"/>
  <c r="K166" i="23"/>
  <c r="K169" i="23" s="1"/>
  <c r="K165" i="23"/>
  <c r="K186" i="23"/>
  <c r="K180" i="23"/>
  <c r="K185" i="23"/>
  <c r="K176" i="23"/>
  <c r="J61" i="14"/>
  <c r="J113" i="25"/>
  <c r="J218" i="23"/>
  <c r="L29" i="14"/>
  <c r="L310" i="26"/>
  <c r="I14" i="25"/>
  <c r="I66" i="25"/>
  <c r="I71" i="25"/>
  <c r="I68" i="25"/>
  <c r="I76" i="25"/>
  <c r="I70" i="25"/>
  <c r="I65" i="25"/>
  <c r="I84" i="25"/>
  <c r="I75" i="25"/>
  <c r="I82" i="25"/>
  <c r="I72" i="25"/>
  <c r="I80" i="25"/>
  <c r="I64" i="25"/>
  <c r="I69" i="25" s="1"/>
  <c r="I74" i="25"/>
  <c r="I79" i="25" s="1"/>
  <c r="I67" i="25"/>
  <c r="I77" i="25"/>
  <c r="I78" i="25"/>
  <c r="I85" i="25"/>
  <c r="I86" i="25"/>
  <c r="I81" i="25"/>
  <c r="I83" i="25"/>
  <c r="I87" i="25"/>
  <c r="H36" i="25"/>
  <c r="H19" i="25"/>
  <c r="H33" i="25"/>
  <c r="H21" i="25"/>
  <c r="H35" i="25"/>
  <c r="H16" i="25"/>
  <c r="H34" i="25"/>
  <c r="H23" i="25"/>
  <c r="H25" i="25"/>
  <c r="H17" i="25"/>
  <c r="H28" i="25"/>
  <c r="H29" i="25"/>
  <c r="H15" i="25"/>
  <c r="H20" i="25" s="1"/>
  <c r="H26" i="25"/>
  <c r="H37" i="25"/>
  <c r="H31" i="25"/>
  <c r="H27" i="25"/>
  <c r="H18" i="25"/>
  <c r="H22" i="25"/>
  <c r="H32" i="25"/>
  <c r="H24" i="25"/>
  <c r="H38" i="25"/>
  <c r="M284" i="24"/>
  <c r="M279" i="24"/>
  <c r="M264" i="24"/>
  <c r="M280" i="24"/>
  <c r="M270" i="24"/>
  <c r="M275" i="24"/>
  <c r="M278" i="24"/>
  <c r="M273" i="24"/>
  <c r="M277" i="24" s="1"/>
  <c r="M276" i="24"/>
  <c r="M268" i="24"/>
  <c r="M282" i="24"/>
  <c r="M265" i="24"/>
  <c r="M266" i="24"/>
  <c r="M263" i="24"/>
  <c r="M274" i="24"/>
  <c r="M281" i="24"/>
  <c r="M283" i="24"/>
  <c r="M269" i="24"/>
  <c r="M272" i="24"/>
  <c r="M262" i="24"/>
  <c r="L37" i="14"/>
  <c r="L63" i="24"/>
  <c r="K35" i="14"/>
  <c r="K125" i="23"/>
  <c r="K120" i="23"/>
  <c r="K133" i="23"/>
  <c r="K130" i="23"/>
  <c r="K115" i="23"/>
  <c r="K121" i="23"/>
  <c r="K126" i="23"/>
  <c r="K122" i="23"/>
  <c r="K123" i="23" s="1"/>
  <c r="K117" i="23"/>
  <c r="K136" i="23"/>
  <c r="K128" i="23"/>
  <c r="K116" i="23"/>
  <c r="K134" i="23"/>
  <c r="K135" i="23"/>
  <c r="K132" i="23"/>
  <c r="K124" i="23"/>
  <c r="K129" i="23" s="1"/>
  <c r="K131" i="23"/>
  <c r="K127" i="23"/>
  <c r="K114" i="23"/>
  <c r="K118" i="23"/>
  <c r="K282" i="26"/>
  <c r="K278" i="26"/>
  <c r="K268" i="26"/>
  <c r="K271" i="26" s="1"/>
  <c r="K265" i="26"/>
  <c r="K264" i="26"/>
  <c r="K283" i="26"/>
  <c r="K269" i="26"/>
  <c r="K280" i="26"/>
  <c r="K273" i="26"/>
  <c r="K270" i="26"/>
  <c r="K263" i="26"/>
  <c r="K267" i="26" s="1"/>
  <c r="K284" i="26"/>
  <c r="K276" i="26"/>
  <c r="K262" i="26"/>
  <c r="K272" i="26"/>
  <c r="K279" i="26"/>
  <c r="K266" i="26"/>
  <c r="K274" i="26"/>
  <c r="K277" i="26"/>
  <c r="K281" i="26"/>
  <c r="K275" i="26"/>
  <c r="L218" i="24"/>
  <c r="I128" i="25"/>
  <c r="I133" i="25"/>
  <c r="I134" i="25"/>
  <c r="I126" i="25"/>
  <c r="I117" i="25"/>
  <c r="I124" i="25"/>
  <c r="I129" i="25" s="1"/>
  <c r="I121" i="25"/>
  <c r="I122" i="25"/>
  <c r="I125" i="25"/>
  <c r="I136" i="25"/>
  <c r="I131" i="25"/>
  <c r="I116" i="25"/>
  <c r="I127" i="25"/>
  <c r="I132" i="25"/>
  <c r="I114" i="25"/>
  <c r="I118" i="25"/>
  <c r="I135" i="25"/>
  <c r="I130" i="25"/>
  <c r="I137" i="25" s="1"/>
  <c r="I120" i="25"/>
  <c r="I123" i="25" s="1"/>
  <c r="I115" i="25"/>
  <c r="I119" i="25"/>
  <c r="K224" i="23"/>
  <c r="K229" i="23"/>
  <c r="K219" i="23"/>
  <c r="K222" i="23" s="1"/>
  <c r="K223" i="23"/>
  <c r="K214" i="23"/>
  <c r="K213" i="23"/>
  <c r="K230" i="23"/>
  <c r="K226" i="23"/>
  <c r="K217" i="23"/>
  <c r="K232" i="23"/>
  <c r="K221" i="23"/>
  <c r="K233" i="23"/>
  <c r="K235" i="23"/>
  <c r="K220" i="23"/>
  <c r="K234" i="23"/>
  <c r="K227" i="23"/>
  <c r="K215" i="23"/>
  <c r="K225" i="23"/>
  <c r="K228" i="23" s="1"/>
  <c r="K216" i="23"/>
  <c r="K231" i="23"/>
  <c r="K371" i="26"/>
  <c r="K377" i="26"/>
  <c r="K361" i="26"/>
  <c r="K365" i="26" s="1"/>
  <c r="K366" i="26"/>
  <c r="K381" i="26"/>
  <c r="K360" i="26"/>
  <c r="K370" i="26"/>
  <c r="K379" i="26"/>
  <c r="K362" i="26"/>
  <c r="K374" i="26"/>
  <c r="K382" i="26"/>
  <c r="K364" i="26"/>
  <c r="K378" i="26"/>
  <c r="K363" i="26"/>
  <c r="K380" i="26"/>
  <c r="K367" i="26"/>
  <c r="K376" i="26"/>
  <c r="K373" i="26"/>
  <c r="K372" i="26"/>
  <c r="K375" i="26" s="1"/>
  <c r="K368" i="26"/>
  <c r="L76" i="23"/>
  <c r="L67" i="23"/>
  <c r="L71" i="23"/>
  <c r="L77" i="23"/>
  <c r="L72" i="23"/>
  <c r="L74" i="23"/>
  <c r="L81" i="23"/>
  <c r="L82" i="23"/>
  <c r="L68" i="23"/>
  <c r="L65" i="23"/>
  <c r="L83" i="23"/>
  <c r="L86" i="23"/>
  <c r="L64" i="23"/>
  <c r="L69" i="23" s="1"/>
  <c r="L78" i="23"/>
  <c r="L70" i="23"/>
  <c r="L73" i="23" s="1"/>
  <c r="L85" i="23"/>
  <c r="L84" i="23"/>
  <c r="L75" i="23"/>
  <c r="L80" i="23"/>
  <c r="L66" i="23"/>
  <c r="L79" i="23"/>
  <c r="H179" i="25"/>
  <c r="L49" i="14"/>
  <c r="L45" i="14" s="1"/>
  <c r="L113" i="23"/>
  <c r="J418" i="26"/>
  <c r="K14" i="26"/>
  <c r="K76" i="26"/>
  <c r="K85" i="26"/>
  <c r="K70" i="26"/>
  <c r="K73" i="26" s="1"/>
  <c r="K78" i="26"/>
  <c r="K86" i="26"/>
  <c r="K77" i="26"/>
  <c r="K65" i="26"/>
  <c r="K69" i="26" s="1"/>
  <c r="K72" i="26"/>
  <c r="K68" i="26"/>
  <c r="K74" i="26"/>
  <c r="K82" i="26"/>
  <c r="K71" i="26"/>
  <c r="K67" i="26"/>
  <c r="K83" i="26"/>
  <c r="K64" i="26"/>
  <c r="K66" i="26"/>
  <c r="K75" i="26"/>
  <c r="K81" i="26"/>
  <c r="K87" i="26" s="1"/>
  <c r="K84" i="26"/>
  <c r="K80" i="26"/>
  <c r="K79" i="26"/>
  <c r="K133" i="24"/>
  <c r="K131" i="24"/>
  <c r="K128" i="24"/>
  <c r="K124" i="24"/>
  <c r="K118" i="24"/>
  <c r="K116" i="24"/>
  <c r="K122" i="24"/>
  <c r="K114" i="24"/>
  <c r="K126" i="24"/>
  <c r="K130" i="24"/>
  <c r="K121" i="24"/>
  <c r="K123" i="24" s="1"/>
  <c r="K125" i="24"/>
  <c r="K127" i="24"/>
  <c r="K132" i="24"/>
  <c r="K135" i="24"/>
  <c r="K137" i="24" s="1"/>
  <c r="K136" i="24"/>
  <c r="K117" i="24"/>
  <c r="K120" i="24"/>
  <c r="K134" i="24"/>
  <c r="K115" i="24"/>
  <c r="H73" i="25"/>
  <c r="M224" i="26"/>
  <c r="M215" i="26"/>
  <c r="M229" i="26"/>
  <c r="M232" i="26"/>
  <c r="M231" i="26"/>
  <c r="M225" i="26"/>
  <c r="M223" i="26"/>
  <c r="M221" i="26"/>
  <c r="M216" i="26"/>
  <c r="M214" i="26"/>
  <c r="M230" i="26"/>
  <c r="M213" i="26"/>
  <c r="M220" i="26"/>
  <c r="M219" i="26"/>
  <c r="M222" i="26" s="1"/>
  <c r="M234" i="26"/>
  <c r="M233" i="26"/>
  <c r="M217" i="26"/>
  <c r="M235" i="26"/>
  <c r="M227" i="26"/>
  <c r="M226" i="26"/>
  <c r="M270" i="23"/>
  <c r="M280" i="23"/>
  <c r="M275" i="23"/>
  <c r="M265" i="23"/>
  <c r="M276" i="23"/>
  <c r="M281" i="23"/>
  <c r="M283" i="23"/>
  <c r="M282" i="23"/>
  <c r="M266" i="23"/>
  <c r="M262" i="23"/>
  <c r="M272" i="23"/>
  <c r="M263" i="23"/>
  <c r="M268" i="23"/>
  <c r="M271" i="23" s="1"/>
  <c r="M273" i="23"/>
  <c r="M278" i="23"/>
  <c r="M264" i="23"/>
  <c r="M269" i="23"/>
  <c r="M284" i="23"/>
  <c r="M274" i="23"/>
  <c r="M279" i="23"/>
  <c r="J25" i="23"/>
  <c r="J28" i="23"/>
  <c r="J30" i="23" s="1"/>
  <c r="J31" i="23"/>
  <c r="J38" i="23" s="1"/>
  <c r="J23" i="23"/>
  <c r="J16" i="23"/>
  <c r="J21" i="23"/>
  <c r="J33" i="23"/>
  <c r="J22" i="23"/>
  <c r="J24" i="23" s="1"/>
  <c r="J26" i="23"/>
  <c r="J35" i="23"/>
  <c r="J19" i="23"/>
  <c r="J15" i="23"/>
  <c r="J20" i="23" s="1"/>
  <c r="J18" i="23"/>
  <c r="J34" i="23"/>
  <c r="J17" i="23"/>
  <c r="J29" i="23"/>
  <c r="J27" i="23"/>
  <c r="J32" i="23"/>
  <c r="J36" i="23"/>
  <c r="J37" i="23"/>
  <c r="L27" i="14"/>
  <c r="L261" i="26"/>
  <c r="J87" i="24"/>
  <c r="H187" i="25"/>
  <c r="L176" i="26"/>
  <c r="L164" i="26"/>
  <c r="L180" i="26"/>
  <c r="L171" i="26"/>
  <c r="L170" i="26"/>
  <c r="L181" i="26"/>
  <c r="L182" i="26"/>
  <c r="L168" i="26"/>
  <c r="L175" i="26"/>
  <c r="L174" i="26"/>
  <c r="L185" i="26"/>
  <c r="L183" i="26"/>
  <c r="L167" i="26"/>
  <c r="L177" i="26"/>
  <c r="L179" i="26" s="1"/>
  <c r="L186" i="26"/>
  <c r="L178" i="26"/>
  <c r="L184" i="26"/>
  <c r="L172" i="26"/>
  <c r="L165" i="26"/>
  <c r="L166" i="26"/>
  <c r="L169" i="26"/>
  <c r="N25" i="14"/>
  <c r="N212" i="26"/>
  <c r="K79" i="23"/>
  <c r="N55" i="14"/>
  <c r="N261" i="24"/>
  <c r="N261" i="23"/>
  <c r="N261" i="25"/>
  <c r="H25" i="28"/>
  <c r="H37" i="27" s="1" a="1"/>
  <c r="H37" i="27" s="1"/>
  <c r="H16" i="28"/>
  <c r="H28" i="27" s="1" a="1"/>
  <c r="H28" i="27" s="1"/>
  <c r="H35" i="28"/>
  <c r="H47" i="27" s="1" a="1"/>
  <c r="H47" i="27" s="1"/>
  <c r="H18" i="28"/>
  <c r="H30" i="27" s="1" a="1"/>
  <c r="H30" i="27" s="1"/>
  <c r="H23" i="28"/>
  <c r="H35" i="27" s="1" a="1"/>
  <c r="H35" i="27" s="1"/>
  <c r="H28" i="28"/>
  <c r="H40" i="27" s="1" a="1"/>
  <c r="H40" i="27" s="1"/>
  <c r="H33" i="28"/>
  <c r="H45" i="27" s="1" a="1"/>
  <c r="H45" i="27" s="1"/>
  <c r="H27" i="28"/>
  <c r="H39" i="27" s="1" a="1"/>
  <c r="H39" i="27" s="1"/>
  <c r="H21" i="28"/>
  <c r="H15" i="28"/>
  <c r="H27" i="27" s="1" a="1"/>
  <c r="H27" i="27" s="1"/>
  <c r="H34" i="28"/>
  <c r="H46" i="27" s="1" a="1"/>
  <c r="H46" i="27" s="1"/>
  <c r="H36" i="28"/>
  <c r="H48" i="27" s="1" a="1"/>
  <c r="H48" i="27" s="1"/>
  <c r="H19" i="28"/>
  <c r="H31" i="27" s="1" a="1"/>
  <c r="H31" i="27" s="1"/>
  <c r="H22" i="28"/>
  <c r="H34" i="27" s="1" a="1"/>
  <c r="H34" i="27" s="1"/>
  <c r="H29" i="28"/>
  <c r="H41" i="27" s="1" a="1"/>
  <c r="H41" i="27" s="1"/>
  <c r="H32" i="28"/>
  <c r="H44" i="27" s="1" a="1"/>
  <c r="H44" i="27" s="1"/>
  <c r="H26" i="28"/>
  <c r="H38" i="27" s="1" a="1"/>
  <c r="H38" i="27" s="1"/>
  <c r="H37" i="28"/>
  <c r="H49" i="27" s="1" a="1"/>
  <c r="H49" i="27" s="1"/>
  <c r="H17" i="28"/>
  <c r="H29" i="27" s="1" a="1"/>
  <c r="H29" i="27" s="1"/>
  <c r="H31" i="28"/>
  <c r="H43" i="27" s="1" a="1"/>
  <c r="H43" i="27" s="1"/>
  <c r="J123" i="24"/>
  <c r="L53" i="14"/>
  <c r="L212" i="23"/>
  <c r="L31" i="14"/>
  <c r="L359" i="26"/>
  <c r="K14" i="23"/>
  <c r="M219" i="24"/>
  <c r="M222" i="24" s="1"/>
  <c r="M220" i="24"/>
  <c r="M215" i="24"/>
  <c r="M216" i="24"/>
  <c r="M213" i="24"/>
  <c r="M224" i="24"/>
  <c r="M223" i="24"/>
  <c r="M228" i="24" s="1"/>
  <c r="M221" i="24"/>
  <c r="M214" i="24"/>
  <c r="M226" i="24"/>
  <c r="M235" i="24"/>
  <c r="M229" i="24"/>
  <c r="M236" i="24" s="1"/>
  <c r="M227" i="24"/>
  <c r="M225" i="24"/>
  <c r="M230" i="24"/>
  <c r="M231" i="24"/>
  <c r="M234" i="24"/>
  <c r="M217" i="24"/>
  <c r="M232" i="24"/>
  <c r="M233" i="24"/>
  <c r="L63" i="26"/>
  <c r="L19" i="14"/>
  <c r="K17" i="14"/>
  <c r="J267" i="26"/>
  <c r="I218" i="25"/>
  <c r="N181" i="24"/>
  <c r="N174" i="24"/>
  <c r="N187" i="24"/>
  <c r="N166" i="24"/>
  <c r="N172" i="24"/>
  <c r="N165" i="24"/>
  <c r="N178" i="24"/>
  <c r="N164" i="24"/>
  <c r="N175" i="24"/>
  <c r="N167" i="24"/>
  <c r="N170" i="24"/>
  <c r="N173" i="24" s="1"/>
  <c r="N180" i="24"/>
  <c r="N183" i="24"/>
  <c r="N171" i="24"/>
  <c r="N185" i="24"/>
  <c r="N177" i="24"/>
  <c r="N168" i="24"/>
  <c r="N182" i="24"/>
  <c r="N176" i="24"/>
  <c r="N184" i="24"/>
  <c r="N186" i="24"/>
  <c r="J25" i="24"/>
  <c r="J35" i="24"/>
  <c r="J19" i="24"/>
  <c r="J18" i="24"/>
  <c r="J32" i="24"/>
  <c r="J36" i="24"/>
  <c r="J16" i="24"/>
  <c r="J28" i="24"/>
  <c r="J26" i="24"/>
  <c r="J34" i="24"/>
  <c r="J37" i="24"/>
  <c r="J31" i="24"/>
  <c r="J38" i="24" s="1"/>
  <c r="J29" i="24"/>
  <c r="J17" i="24"/>
  <c r="J20" i="24" s="1"/>
  <c r="J23" i="24"/>
  <c r="J21" i="24"/>
  <c r="J15" i="24"/>
  <c r="J22" i="24"/>
  <c r="J33" i="24"/>
  <c r="J27" i="24"/>
  <c r="J30" i="24" s="1"/>
  <c r="J24" i="24"/>
  <c r="L33" i="14"/>
  <c r="L408" i="26"/>
  <c r="L51" i="14"/>
  <c r="L163" i="23"/>
  <c r="J59" i="14"/>
  <c r="J63" i="25"/>
  <c r="I57" i="14"/>
  <c r="J14" i="28" s="1"/>
  <c r="J12" i="28" s="1"/>
  <c r="H169" i="25"/>
  <c r="M23" i="14"/>
  <c r="M163" i="26"/>
  <c r="I186" i="25"/>
  <c r="I183" i="25"/>
  <c r="I174" i="25"/>
  <c r="I164" i="25"/>
  <c r="I168" i="25"/>
  <c r="I176" i="25"/>
  <c r="I167" i="25"/>
  <c r="I178" i="25"/>
  <c r="I179" i="25" s="1"/>
  <c r="I171" i="25"/>
  <c r="I175" i="25"/>
  <c r="I177" i="25"/>
  <c r="I180" i="25"/>
  <c r="I172" i="25"/>
  <c r="I182" i="25"/>
  <c r="I184" i="25"/>
  <c r="I181" i="25"/>
  <c r="I166" i="25"/>
  <c r="I165" i="25"/>
  <c r="I185" i="25"/>
  <c r="I170" i="25"/>
  <c r="I173" i="25" s="1"/>
  <c r="I169" i="25"/>
  <c r="J220" i="25"/>
  <c r="J219" i="25"/>
  <c r="J215" i="25"/>
  <c r="J224" i="25"/>
  <c r="J234" i="25"/>
  <c r="J230" i="25"/>
  <c r="J223" i="25"/>
  <c r="J228" i="25" s="1"/>
  <c r="J227" i="25"/>
  <c r="J213" i="25"/>
  <c r="J233" i="25"/>
  <c r="J229" i="25"/>
  <c r="J235" i="25"/>
  <c r="J214" i="25"/>
  <c r="J226" i="25"/>
  <c r="J221" i="25"/>
  <c r="J217" i="25"/>
  <c r="J216" i="25"/>
  <c r="J232" i="25"/>
  <c r="J231" i="25"/>
  <c r="J225" i="25"/>
  <c r="J218" i="25"/>
  <c r="H173" i="25"/>
  <c r="J16" i="15"/>
  <c r="J17" i="15"/>
  <c r="J19" i="15"/>
  <c r="J18" i="15"/>
  <c r="J37" i="15"/>
  <c r="J25" i="15"/>
  <c r="J28" i="15"/>
  <c r="J22" i="15"/>
  <c r="J34" i="15"/>
  <c r="J15" i="15"/>
  <c r="J32" i="15"/>
  <c r="J23" i="15"/>
  <c r="J26" i="15"/>
  <c r="J35" i="15"/>
  <c r="J27" i="15"/>
  <c r="J36" i="15"/>
  <c r="J21" i="15"/>
  <c r="J31" i="15"/>
  <c r="J33" i="15"/>
  <c r="J29" i="15"/>
  <c r="J63" i="14"/>
  <c r="J163" i="25"/>
  <c r="H119" i="25"/>
  <c r="N43" i="14"/>
  <c r="N212" i="24"/>
  <c r="K65" i="14"/>
  <c r="K212" i="25"/>
  <c r="L277" i="24"/>
  <c r="L118" i="26"/>
  <c r="L128" i="26"/>
  <c r="L127" i="26"/>
  <c r="L116" i="26"/>
  <c r="L114" i="26"/>
  <c r="L134" i="26"/>
  <c r="L125" i="26"/>
  <c r="L122" i="26"/>
  <c r="L131" i="26"/>
  <c r="L126" i="26"/>
  <c r="L115" i="26"/>
  <c r="L136" i="26"/>
  <c r="L135" i="26"/>
  <c r="L117" i="26"/>
  <c r="L133" i="26"/>
  <c r="L120" i="26"/>
  <c r="L132" i="26"/>
  <c r="L130" i="26"/>
  <c r="L137" i="26" s="1"/>
  <c r="L121" i="26"/>
  <c r="L124" i="26"/>
  <c r="L129" i="26" s="1"/>
  <c r="L119" i="26"/>
  <c r="J137" i="23"/>
  <c r="K410" i="26"/>
  <c r="K425" i="26"/>
  <c r="K412" i="26"/>
  <c r="K422" i="26"/>
  <c r="K426" i="26"/>
  <c r="K415" i="26"/>
  <c r="K429" i="26"/>
  <c r="K421" i="26"/>
  <c r="K423" i="26"/>
  <c r="K417" i="26"/>
  <c r="K427" i="26"/>
  <c r="K420" i="26"/>
  <c r="K428" i="26"/>
  <c r="K411" i="26"/>
  <c r="K431" i="26"/>
  <c r="K409" i="26"/>
  <c r="K414" i="26" s="1"/>
  <c r="K430" i="26"/>
  <c r="K413" i="26"/>
  <c r="K416" i="26"/>
  <c r="K418" i="26" s="1"/>
  <c r="K419" i="26"/>
  <c r="L13" i="14"/>
  <c r="L63" i="15"/>
  <c r="K11" i="14"/>
  <c r="K8" i="14" s="1"/>
  <c r="L222" i="24"/>
  <c r="I38" i="26"/>
  <c r="J414" i="26"/>
  <c r="O41" i="14"/>
  <c r="O163" i="24"/>
  <c r="M117" i="15"/>
  <c r="M135" i="15"/>
  <c r="M132" i="15"/>
  <c r="M126" i="15"/>
  <c r="M122" i="15"/>
  <c r="M118" i="15"/>
  <c r="M115" i="15"/>
  <c r="M136" i="15"/>
  <c r="M124" i="15"/>
  <c r="M133" i="15"/>
  <c r="M130" i="15"/>
  <c r="M134" i="15"/>
  <c r="M131" i="15"/>
  <c r="M114" i="15"/>
  <c r="M116" i="15"/>
  <c r="M121" i="15"/>
  <c r="M123" i="15" s="1"/>
  <c r="M120" i="15"/>
  <c r="M128" i="15"/>
  <c r="M127" i="15"/>
  <c r="M125" i="15"/>
  <c r="N15" i="14"/>
  <c r="N113" i="15"/>
  <c r="I104" i="15"/>
  <c r="I105" i="15"/>
  <c r="I106" i="15"/>
  <c r="J93" i="15"/>
  <c r="J94" i="15"/>
  <c r="J97" i="15"/>
  <c r="J103" i="15"/>
  <c r="J96" i="15"/>
  <c r="J111" i="15"/>
  <c r="J99" i="15"/>
  <c r="J100" i="15"/>
  <c r="J102" i="15"/>
  <c r="J107" i="15"/>
  <c r="J109" i="15"/>
  <c r="J110" i="15"/>
  <c r="K92" i="15"/>
  <c r="I20" i="28" l="1"/>
  <c r="H24" i="28"/>
  <c r="H33" i="27" a="1"/>
  <c r="H33" i="27" s="1"/>
  <c r="I24" i="28"/>
  <c r="K87" i="15"/>
  <c r="K69" i="15"/>
  <c r="H38" i="28"/>
  <c r="J26" i="27" a="1"/>
  <c r="J26" i="27" s="1"/>
  <c r="I30" i="28"/>
  <c r="I27" i="27" a="1"/>
  <c r="I27" i="27" s="1"/>
  <c r="I46" i="27" a="1"/>
  <c r="I46" i="27" s="1"/>
  <c r="J38" i="15"/>
  <c r="J20" i="15"/>
  <c r="J24" i="15"/>
  <c r="M137" i="15"/>
  <c r="M129" i="15"/>
  <c r="J30" i="15"/>
  <c r="M119" i="15"/>
  <c r="K34" i="23"/>
  <c r="K26" i="23"/>
  <c r="K29" i="23"/>
  <c r="K21" i="23"/>
  <c r="K24" i="23" s="1"/>
  <c r="K19" i="23"/>
  <c r="K36" i="23"/>
  <c r="K18" i="23"/>
  <c r="K20" i="23" s="1"/>
  <c r="K32" i="23"/>
  <c r="K22" i="23"/>
  <c r="K16" i="23"/>
  <c r="K15" i="23"/>
  <c r="K25" i="23"/>
  <c r="K28" i="23"/>
  <c r="K35" i="23"/>
  <c r="K31" i="23"/>
  <c r="K23" i="23"/>
  <c r="K17" i="23"/>
  <c r="K27" i="23"/>
  <c r="K37" i="23"/>
  <c r="K33" i="23"/>
  <c r="K30" i="23"/>
  <c r="K38" i="23"/>
  <c r="O55" i="14"/>
  <c r="O261" i="25"/>
  <c r="O261" i="24"/>
  <c r="O261" i="23"/>
  <c r="O184" i="24"/>
  <c r="O180" i="24"/>
  <c r="O187" i="24" s="1"/>
  <c r="O182" i="24"/>
  <c r="O177" i="24"/>
  <c r="O170" i="24"/>
  <c r="O167" i="24"/>
  <c r="O175" i="24"/>
  <c r="O171" i="24"/>
  <c r="O173" i="24" s="1"/>
  <c r="O178" i="24"/>
  <c r="O185" i="24"/>
  <c r="O181" i="24"/>
  <c r="O183" i="24"/>
  <c r="O165" i="24"/>
  <c r="O168" i="24"/>
  <c r="O186" i="24"/>
  <c r="O179" i="24"/>
  <c r="O166" i="24"/>
  <c r="O174" i="24"/>
  <c r="O172" i="24"/>
  <c r="O176" i="24"/>
  <c r="O164" i="24"/>
  <c r="O169" i="24"/>
  <c r="L65" i="14"/>
  <c r="L212" i="25"/>
  <c r="K63" i="14"/>
  <c r="K163" i="25"/>
  <c r="J236" i="25"/>
  <c r="J71" i="25"/>
  <c r="J82" i="25"/>
  <c r="J76" i="25"/>
  <c r="J66" i="25"/>
  <c r="J81" i="25"/>
  <c r="J14" i="25"/>
  <c r="J74" i="25"/>
  <c r="J72" i="25"/>
  <c r="J84" i="25"/>
  <c r="J77" i="25"/>
  <c r="J80" i="25"/>
  <c r="J87" i="25" s="1"/>
  <c r="J67" i="25"/>
  <c r="J69" i="25" s="1"/>
  <c r="J68" i="25"/>
  <c r="J83" i="25"/>
  <c r="J65" i="25"/>
  <c r="J64" i="25"/>
  <c r="J75" i="25"/>
  <c r="J79" i="25" s="1"/>
  <c r="J78" i="25"/>
  <c r="J86" i="25"/>
  <c r="J70" i="25"/>
  <c r="J73" i="25" s="1"/>
  <c r="J85" i="25"/>
  <c r="L416" i="26"/>
  <c r="L431" i="26"/>
  <c r="L430" i="26"/>
  <c r="L412" i="26"/>
  <c r="L429" i="26"/>
  <c r="L421" i="26"/>
  <c r="L417" i="26"/>
  <c r="L426" i="26"/>
  <c r="L411" i="26"/>
  <c r="L413" i="26"/>
  <c r="L423" i="26"/>
  <c r="L422" i="26"/>
  <c r="L424" i="26" s="1"/>
  <c r="L410" i="26"/>
  <c r="L420" i="26"/>
  <c r="L419" i="26"/>
  <c r="L428" i="26"/>
  <c r="L427" i="26"/>
  <c r="L415" i="26"/>
  <c r="L418" i="26" s="1"/>
  <c r="L409" i="26"/>
  <c r="L425" i="26"/>
  <c r="N179" i="24"/>
  <c r="L269" i="26"/>
  <c r="L279" i="26"/>
  <c r="L264" i="26"/>
  <c r="L274" i="26"/>
  <c r="L273" i="26"/>
  <c r="L278" i="26"/>
  <c r="L270" i="26"/>
  <c r="L263" i="26"/>
  <c r="L268" i="26"/>
  <c r="L271" i="26" s="1"/>
  <c r="L262" i="26"/>
  <c r="L267" i="26" s="1"/>
  <c r="L272" i="26"/>
  <c r="L277" i="26" s="1"/>
  <c r="L265" i="26"/>
  <c r="L282" i="26"/>
  <c r="L276" i="26"/>
  <c r="L283" i="26"/>
  <c r="L275" i="26"/>
  <c r="L284" i="26"/>
  <c r="L266" i="26"/>
  <c r="L281" i="26"/>
  <c r="L280" i="26"/>
  <c r="K129" i="24"/>
  <c r="L87" i="23"/>
  <c r="K218" i="23"/>
  <c r="L86" i="24"/>
  <c r="L14" i="24"/>
  <c r="L75" i="24"/>
  <c r="L83" i="24"/>
  <c r="L64" i="24"/>
  <c r="L70" i="24"/>
  <c r="L78" i="24"/>
  <c r="L71" i="24"/>
  <c r="L85" i="24"/>
  <c r="L84" i="24"/>
  <c r="L65" i="24"/>
  <c r="L80" i="24"/>
  <c r="L81" i="24"/>
  <c r="L66" i="24"/>
  <c r="L82" i="24"/>
  <c r="L77" i="24"/>
  <c r="L72" i="24"/>
  <c r="L68" i="24"/>
  <c r="L69" i="24" s="1"/>
  <c r="L74" i="24"/>
  <c r="L67" i="24"/>
  <c r="L76" i="24"/>
  <c r="L79" i="24" s="1"/>
  <c r="K61" i="14"/>
  <c r="K113" i="25"/>
  <c r="J30" i="26"/>
  <c r="K73" i="24"/>
  <c r="M271" i="25"/>
  <c r="M277" i="25"/>
  <c r="L229" i="23"/>
  <c r="L214" i="23"/>
  <c r="L217" i="23"/>
  <c r="L231" i="23"/>
  <c r="L224" i="23"/>
  <c r="L235" i="23"/>
  <c r="L226" i="23"/>
  <c r="L213" i="23"/>
  <c r="L219" i="23"/>
  <c r="L227" i="23"/>
  <c r="L215" i="23"/>
  <c r="L233" i="23"/>
  <c r="L216" i="23"/>
  <c r="L223" i="23"/>
  <c r="L225" i="23"/>
  <c r="L221" i="23"/>
  <c r="L232" i="23"/>
  <c r="L234" i="23"/>
  <c r="L230" i="23"/>
  <c r="L220" i="23"/>
  <c r="L218" i="23"/>
  <c r="J183" i="25"/>
  <c r="J176" i="25"/>
  <c r="J184" i="25"/>
  <c r="J165" i="25"/>
  <c r="J177" i="25"/>
  <c r="J178" i="25"/>
  <c r="J171" i="25"/>
  <c r="J173" i="25" s="1"/>
  <c r="J170" i="25"/>
  <c r="J186" i="25"/>
  <c r="J167" i="25"/>
  <c r="J166" i="25"/>
  <c r="J164" i="25"/>
  <c r="J172" i="25"/>
  <c r="J174" i="25"/>
  <c r="J179" i="25" s="1"/>
  <c r="J181" i="25"/>
  <c r="J187" i="25" s="1"/>
  <c r="J185" i="25"/>
  <c r="J175" i="25"/>
  <c r="J182" i="25"/>
  <c r="J168" i="25"/>
  <c r="J180" i="25"/>
  <c r="J169" i="25"/>
  <c r="M53" i="14"/>
  <c r="M212" i="23"/>
  <c r="J114" i="25"/>
  <c r="J119" i="25" s="1"/>
  <c r="J131" i="25"/>
  <c r="J133" i="25"/>
  <c r="J128" i="25"/>
  <c r="J136" i="25"/>
  <c r="J126" i="25"/>
  <c r="J135" i="25"/>
  <c r="J130" i="25"/>
  <c r="J137" i="25" s="1"/>
  <c r="J132" i="25"/>
  <c r="J115" i="25"/>
  <c r="J118" i="25"/>
  <c r="J121" i="25"/>
  <c r="J116" i="25"/>
  <c r="J122" i="25"/>
  <c r="J125" i="25"/>
  <c r="J120" i="25"/>
  <c r="J123" i="25" s="1"/>
  <c r="J124" i="25"/>
  <c r="J129" i="25" s="1"/>
  <c r="J127" i="25"/>
  <c r="J117" i="25"/>
  <c r="J134" i="25"/>
  <c r="P41" i="14"/>
  <c r="P163" i="24"/>
  <c r="N235" i="24"/>
  <c r="N221" i="24"/>
  <c r="N217" i="24"/>
  <c r="N214" i="24"/>
  <c r="N215" i="24"/>
  <c r="N224" i="24"/>
  <c r="N216" i="24"/>
  <c r="N226" i="24"/>
  <c r="N225" i="24"/>
  <c r="N213" i="24"/>
  <c r="N231" i="24"/>
  <c r="N230" i="24"/>
  <c r="N220" i="24"/>
  <c r="N234" i="24"/>
  <c r="N233" i="24"/>
  <c r="N229" i="24"/>
  <c r="N236" i="24" s="1"/>
  <c r="N232" i="24"/>
  <c r="N227" i="24"/>
  <c r="N223" i="24"/>
  <c r="N219" i="24"/>
  <c r="N222" i="24"/>
  <c r="K59" i="14"/>
  <c r="K63" i="25"/>
  <c r="J57" i="14"/>
  <c r="K14" i="28" s="1"/>
  <c r="K12" i="28" s="1"/>
  <c r="M33" i="14"/>
  <c r="M408" i="26"/>
  <c r="M27" i="14"/>
  <c r="M261" i="26"/>
  <c r="M228" i="26"/>
  <c r="K119" i="24"/>
  <c r="K137" i="23"/>
  <c r="M37" i="14"/>
  <c r="M63" i="24"/>
  <c r="L35" i="14"/>
  <c r="H30" i="25"/>
  <c r="I73" i="25"/>
  <c r="J20" i="26"/>
  <c r="K29" i="24"/>
  <c r="K26" i="24"/>
  <c r="K35" i="24"/>
  <c r="K18" i="24"/>
  <c r="K20" i="24" s="1"/>
  <c r="K33" i="24"/>
  <c r="K25" i="24"/>
  <c r="K16" i="24"/>
  <c r="K22" i="24"/>
  <c r="K17" i="24"/>
  <c r="K31" i="24"/>
  <c r="K38" i="24" s="1"/>
  <c r="K23" i="24"/>
  <c r="K27" i="24"/>
  <c r="K32" i="24"/>
  <c r="K19" i="24"/>
  <c r="K21" i="24"/>
  <c r="K15" i="24"/>
  <c r="K28" i="24"/>
  <c r="K37" i="24"/>
  <c r="K34" i="24"/>
  <c r="K36" i="24"/>
  <c r="K24" i="24"/>
  <c r="K30" i="24"/>
  <c r="K16" i="15"/>
  <c r="K17" i="15"/>
  <c r="K18" i="15"/>
  <c r="K19" i="15"/>
  <c r="K31" i="15"/>
  <c r="K33" i="15"/>
  <c r="K15" i="15"/>
  <c r="K25" i="15"/>
  <c r="K23" i="15"/>
  <c r="K21" i="15"/>
  <c r="K27" i="15"/>
  <c r="K34" i="15"/>
  <c r="K32" i="15"/>
  <c r="K26" i="15"/>
  <c r="K29" i="15"/>
  <c r="K28" i="15"/>
  <c r="K37" i="15"/>
  <c r="K35" i="15"/>
  <c r="K36" i="15"/>
  <c r="K22" i="15"/>
  <c r="M63" i="15"/>
  <c r="M13" i="14"/>
  <c r="L11" i="14"/>
  <c r="L8" i="14" s="1"/>
  <c r="L86" i="15"/>
  <c r="L84" i="15"/>
  <c r="L82" i="15"/>
  <c r="L80" i="15"/>
  <c r="L77" i="15"/>
  <c r="L64" i="15"/>
  <c r="L70" i="15"/>
  <c r="L67" i="15"/>
  <c r="L65" i="15"/>
  <c r="L74" i="15"/>
  <c r="L85" i="15"/>
  <c r="L83" i="15"/>
  <c r="L81" i="15"/>
  <c r="L76" i="15"/>
  <c r="L71" i="15"/>
  <c r="L66" i="15"/>
  <c r="L75" i="15"/>
  <c r="L72" i="15"/>
  <c r="L68" i="15"/>
  <c r="L78" i="15"/>
  <c r="L14" i="15"/>
  <c r="L14" i="26"/>
  <c r="L67" i="26"/>
  <c r="L81" i="26"/>
  <c r="L87" i="26" s="1"/>
  <c r="L70" i="26"/>
  <c r="L73" i="26" s="1"/>
  <c r="L78" i="26"/>
  <c r="L65" i="26"/>
  <c r="L69" i="26" s="1"/>
  <c r="L68" i="26"/>
  <c r="L76" i="26"/>
  <c r="L64" i="26"/>
  <c r="L74" i="26"/>
  <c r="L79" i="26" s="1"/>
  <c r="L66" i="26"/>
  <c r="L82" i="26"/>
  <c r="L83" i="26"/>
  <c r="L80" i="26"/>
  <c r="L85" i="26"/>
  <c r="L72" i="26"/>
  <c r="L86" i="26"/>
  <c r="L77" i="26"/>
  <c r="L84" i="26"/>
  <c r="L71" i="26"/>
  <c r="L75" i="26"/>
  <c r="N283" i="24"/>
  <c r="N281" i="24"/>
  <c r="N275" i="24"/>
  <c r="N262" i="24"/>
  <c r="N267" i="24" s="1"/>
  <c r="N266" i="24"/>
  <c r="N272" i="24"/>
  <c r="N280" i="24"/>
  <c r="N265" i="24"/>
  <c r="N282" i="24"/>
  <c r="N276" i="24"/>
  <c r="N270" i="24"/>
  <c r="N268" i="24"/>
  <c r="N271" i="24" s="1"/>
  <c r="N278" i="24"/>
  <c r="N279" i="24"/>
  <c r="N263" i="24"/>
  <c r="N273" i="24"/>
  <c r="N269" i="24"/>
  <c r="N284" i="24"/>
  <c r="N274" i="24"/>
  <c r="N277" i="24" s="1"/>
  <c r="N264" i="24"/>
  <c r="M68" i="23"/>
  <c r="M78" i="23"/>
  <c r="M79" i="23" s="1"/>
  <c r="M67" i="23"/>
  <c r="M80" i="23"/>
  <c r="M77" i="23"/>
  <c r="M74" i="23"/>
  <c r="M64" i="23"/>
  <c r="M72" i="23"/>
  <c r="M66" i="23"/>
  <c r="M69" i="23" s="1"/>
  <c r="M71" i="23"/>
  <c r="M86" i="23"/>
  <c r="M76" i="23"/>
  <c r="M65" i="23"/>
  <c r="M82" i="23"/>
  <c r="M85" i="23"/>
  <c r="M81" i="23"/>
  <c r="M87" i="23" s="1"/>
  <c r="M70" i="23"/>
  <c r="M73" i="23" s="1"/>
  <c r="M83" i="23"/>
  <c r="M75" i="23"/>
  <c r="M84" i="23"/>
  <c r="M175" i="26"/>
  <c r="M179" i="26" s="1"/>
  <c r="M183" i="26"/>
  <c r="M172" i="26"/>
  <c r="M181" i="26"/>
  <c r="M166" i="26"/>
  <c r="M184" i="26"/>
  <c r="M182" i="26"/>
  <c r="M164" i="26"/>
  <c r="M169" i="26" s="1"/>
  <c r="M176" i="26"/>
  <c r="M171" i="26"/>
  <c r="M173" i="26" s="1"/>
  <c r="M165" i="26"/>
  <c r="M174" i="26"/>
  <c r="M170" i="26"/>
  <c r="M180" i="26"/>
  <c r="M168" i="26"/>
  <c r="M178" i="26"/>
  <c r="M167" i="26"/>
  <c r="M186" i="26"/>
  <c r="M177" i="26"/>
  <c r="M185" i="26"/>
  <c r="L183" i="23"/>
  <c r="L170" i="23"/>
  <c r="L168" i="23"/>
  <c r="L169" i="23" s="1"/>
  <c r="L184" i="23"/>
  <c r="L177" i="23"/>
  <c r="L165" i="23"/>
  <c r="L180" i="23"/>
  <c r="L176" i="23"/>
  <c r="L175" i="23"/>
  <c r="L171" i="23"/>
  <c r="L174" i="23"/>
  <c r="L179" i="23" s="1"/>
  <c r="L185" i="23"/>
  <c r="L167" i="23"/>
  <c r="L178" i="23"/>
  <c r="L164" i="23"/>
  <c r="L166" i="23"/>
  <c r="L181" i="23"/>
  <c r="L182" i="23"/>
  <c r="L186" i="23"/>
  <c r="L172" i="23"/>
  <c r="N169" i="24"/>
  <c r="H20" i="28"/>
  <c r="O25" i="14"/>
  <c r="O212" i="26"/>
  <c r="M267" i="23"/>
  <c r="M218" i="26"/>
  <c r="L131" i="23"/>
  <c r="L126" i="23"/>
  <c r="L134" i="23"/>
  <c r="L121" i="23"/>
  <c r="L116" i="23"/>
  <c r="L127" i="23"/>
  <c r="L114" i="23"/>
  <c r="L120" i="23"/>
  <c r="L123" i="23" s="1"/>
  <c r="L115" i="23"/>
  <c r="L136" i="23"/>
  <c r="L133" i="23"/>
  <c r="L132" i="23"/>
  <c r="L128" i="23"/>
  <c r="L122" i="23"/>
  <c r="L125" i="23"/>
  <c r="L124" i="23"/>
  <c r="L118" i="23"/>
  <c r="L117" i="23"/>
  <c r="L135" i="23"/>
  <c r="L130" i="23"/>
  <c r="L137" i="23"/>
  <c r="K119" i="23"/>
  <c r="M267" i="24"/>
  <c r="I29" i="25"/>
  <c r="I31" i="25"/>
  <c r="I38" i="25" s="1"/>
  <c r="I25" i="25"/>
  <c r="I30" i="25" s="1"/>
  <c r="I32" i="25"/>
  <c r="I28" i="25"/>
  <c r="I18" i="25"/>
  <c r="I36" i="25"/>
  <c r="I22" i="25"/>
  <c r="I17" i="25"/>
  <c r="I37" i="25"/>
  <c r="I19" i="25"/>
  <c r="I23" i="25"/>
  <c r="I27" i="25"/>
  <c r="I26" i="25"/>
  <c r="I15" i="25"/>
  <c r="I33" i="25"/>
  <c r="I34" i="25"/>
  <c r="I35" i="25"/>
  <c r="I16" i="25"/>
  <c r="I21" i="25"/>
  <c r="I24" i="25" s="1"/>
  <c r="I20" i="25"/>
  <c r="J24" i="26"/>
  <c r="N47" i="14"/>
  <c r="N63" i="23"/>
  <c r="N21" i="14"/>
  <c r="N113" i="26"/>
  <c r="K231" i="25"/>
  <c r="K232" i="25"/>
  <c r="K219" i="25"/>
  <c r="K233" i="25"/>
  <c r="K234" i="25"/>
  <c r="K215" i="25"/>
  <c r="K223" i="25"/>
  <c r="K221" i="25"/>
  <c r="K213" i="25"/>
  <c r="K225" i="25"/>
  <c r="K214" i="25"/>
  <c r="K217" i="25"/>
  <c r="K229" i="25"/>
  <c r="K235" i="25"/>
  <c r="K230" i="25"/>
  <c r="K236" i="25" s="1"/>
  <c r="K216" i="25"/>
  <c r="K227" i="25"/>
  <c r="K224" i="25"/>
  <c r="K226" i="25"/>
  <c r="K220" i="25"/>
  <c r="K222" i="25" s="1"/>
  <c r="K228" i="25"/>
  <c r="L173" i="26"/>
  <c r="K369" i="26"/>
  <c r="J222" i="25"/>
  <c r="I187" i="25"/>
  <c r="N23" i="14"/>
  <c r="N163" i="26"/>
  <c r="M51" i="14"/>
  <c r="M163" i="23"/>
  <c r="M218" i="24"/>
  <c r="L368" i="26"/>
  <c r="L382" i="26"/>
  <c r="L374" i="26"/>
  <c r="L373" i="26"/>
  <c r="L363" i="26"/>
  <c r="L377" i="26"/>
  <c r="L362" i="26"/>
  <c r="L379" i="26"/>
  <c r="L364" i="26"/>
  <c r="L366" i="26"/>
  <c r="L380" i="26"/>
  <c r="L367" i="26"/>
  <c r="L361" i="26"/>
  <c r="L370" i="26"/>
  <c r="L375" i="26" s="1"/>
  <c r="L360" i="26"/>
  <c r="L376" i="26"/>
  <c r="L372" i="26"/>
  <c r="L381" i="26"/>
  <c r="L371" i="26"/>
  <c r="L378" i="26"/>
  <c r="N283" i="25"/>
  <c r="N273" i="25"/>
  <c r="N281" i="25"/>
  <c r="N270" i="25"/>
  <c r="N284" i="25"/>
  <c r="N263" i="25"/>
  <c r="N278" i="25"/>
  <c r="N272" i="25"/>
  <c r="N277" i="25" s="1"/>
  <c r="N265" i="25"/>
  <c r="N262" i="25"/>
  <c r="N269" i="25"/>
  <c r="N280" i="25"/>
  <c r="N282" i="25"/>
  <c r="N275" i="25"/>
  <c r="N276" i="25"/>
  <c r="N279" i="25"/>
  <c r="N274" i="25"/>
  <c r="N266" i="25"/>
  <c r="N264" i="25"/>
  <c r="N268" i="25"/>
  <c r="N271" i="25" s="1"/>
  <c r="M277" i="23"/>
  <c r="M49" i="14"/>
  <c r="M45" i="14" s="1"/>
  <c r="M113" i="23"/>
  <c r="M14" i="23" s="1"/>
  <c r="L333" i="26"/>
  <c r="L324" i="26"/>
  <c r="L327" i="26"/>
  <c r="L313" i="26"/>
  <c r="L321" i="26"/>
  <c r="L319" i="26"/>
  <c r="L322" i="26"/>
  <c r="L326" i="26" s="1"/>
  <c r="L325" i="26"/>
  <c r="L328" i="26"/>
  <c r="L329" i="26"/>
  <c r="L323" i="26"/>
  <c r="L314" i="26"/>
  <c r="L318" i="26"/>
  <c r="L320" i="26" s="1"/>
  <c r="L330" i="26"/>
  <c r="L331" i="26"/>
  <c r="L311" i="26"/>
  <c r="L315" i="26"/>
  <c r="L317" i="26"/>
  <c r="L332" i="26"/>
  <c r="L312" i="26"/>
  <c r="L316" i="26"/>
  <c r="K173" i="23"/>
  <c r="L132" i="24"/>
  <c r="L120" i="24"/>
  <c r="L135" i="24"/>
  <c r="L136" i="24"/>
  <c r="L134" i="24"/>
  <c r="L127" i="24"/>
  <c r="L121" i="24"/>
  <c r="L123" i="24" s="1"/>
  <c r="L122" i="24"/>
  <c r="L133" i="24"/>
  <c r="L125" i="24"/>
  <c r="L131" i="24"/>
  <c r="L130" i="24"/>
  <c r="L116" i="24"/>
  <c r="L126" i="24"/>
  <c r="L115" i="24"/>
  <c r="L119" i="24" s="1"/>
  <c r="L117" i="24"/>
  <c r="L114" i="24"/>
  <c r="L118" i="24"/>
  <c r="L124" i="24"/>
  <c r="L128" i="24"/>
  <c r="L137" i="24"/>
  <c r="L123" i="26"/>
  <c r="J16" i="28"/>
  <c r="J28" i="27" s="1" a="1"/>
  <c r="J28" i="27" s="1"/>
  <c r="J34" i="28"/>
  <c r="J46" i="27" s="1" a="1"/>
  <c r="J46" i="27" s="1"/>
  <c r="J29" i="28"/>
  <c r="J41" i="27" s="1" a="1"/>
  <c r="J41" i="27" s="1"/>
  <c r="J28" i="28"/>
  <c r="J40" i="27" s="1" a="1"/>
  <c r="J40" i="27" s="1"/>
  <c r="J22" i="28"/>
  <c r="J34" i="27" s="1" a="1"/>
  <c r="J34" i="27" s="1"/>
  <c r="J32" i="28"/>
  <c r="J44" i="27" s="1" a="1"/>
  <c r="J44" i="27" s="1"/>
  <c r="J31" i="28"/>
  <c r="J43" i="27" s="1" a="1"/>
  <c r="J43" i="27" s="1"/>
  <c r="J36" i="28"/>
  <c r="J48" i="27" s="1" a="1"/>
  <c r="J48" i="27" s="1"/>
  <c r="J19" i="28"/>
  <c r="J31" i="27" s="1" a="1"/>
  <c r="J31" i="27" s="1"/>
  <c r="J23" i="28"/>
  <c r="J35" i="27" s="1" a="1"/>
  <c r="J35" i="27" s="1"/>
  <c r="J15" i="28"/>
  <c r="J27" i="27" s="1" a="1"/>
  <c r="J27" i="27" s="1"/>
  <c r="J27" i="28"/>
  <c r="J39" i="27" s="1" a="1"/>
  <c r="J39" i="27" s="1"/>
  <c r="J21" i="28"/>
  <c r="J33" i="27" s="1" a="1"/>
  <c r="J33" i="27" s="1"/>
  <c r="J17" i="28"/>
  <c r="J29" i="27" s="1" a="1"/>
  <c r="J29" i="27" s="1"/>
  <c r="J35" i="28"/>
  <c r="J47" i="27" s="1" a="1"/>
  <c r="J47" i="27" s="1"/>
  <c r="J33" i="28"/>
  <c r="J45" i="27" s="1" a="1"/>
  <c r="J45" i="27" s="1"/>
  <c r="J26" i="28"/>
  <c r="J38" i="27" s="1" a="1"/>
  <c r="J38" i="27" s="1"/>
  <c r="J37" i="28"/>
  <c r="J49" i="27" s="1" a="1"/>
  <c r="J49" i="27" s="1"/>
  <c r="J25" i="28"/>
  <c r="J18" i="28"/>
  <c r="J30" i="27" s="1" a="1"/>
  <c r="J30" i="27" s="1"/>
  <c r="K424" i="26"/>
  <c r="O43" i="14"/>
  <c r="O212" i="24"/>
  <c r="N230" i="26"/>
  <c r="N233" i="26"/>
  <c r="N225" i="26"/>
  <c r="N217" i="26"/>
  <c r="N227" i="26"/>
  <c r="N216" i="26"/>
  <c r="N232" i="26"/>
  <c r="N224" i="26"/>
  <c r="N214" i="26"/>
  <c r="N226" i="26"/>
  <c r="N219" i="26"/>
  <c r="N222" i="26" s="1"/>
  <c r="N223" i="26"/>
  <c r="N231" i="26"/>
  <c r="N213" i="26"/>
  <c r="N218" i="26" s="1"/>
  <c r="N220" i="26"/>
  <c r="N229" i="26"/>
  <c r="N221" i="26"/>
  <c r="N235" i="26"/>
  <c r="N215" i="26"/>
  <c r="N234" i="26"/>
  <c r="L14" i="23"/>
  <c r="J38" i="26"/>
  <c r="M267" i="25"/>
  <c r="M135" i="26"/>
  <c r="M134" i="26"/>
  <c r="M133" i="26"/>
  <c r="M122" i="26"/>
  <c r="M127" i="26"/>
  <c r="M120" i="26"/>
  <c r="M131" i="26"/>
  <c r="M137" i="26" s="1"/>
  <c r="M128" i="26"/>
  <c r="M121" i="26"/>
  <c r="M115" i="26"/>
  <c r="M114" i="26"/>
  <c r="M136" i="26"/>
  <c r="M117" i="26"/>
  <c r="M119" i="26" s="1"/>
  <c r="M118" i="26"/>
  <c r="M126" i="26"/>
  <c r="M125" i="26"/>
  <c r="M116" i="26"/>
  <c r="M132" i="26"/>
  <c r="M130" i="26"/>
  <c r="M124" i="26"/>
  <c r="M129" i="26" s="1"/>
  <c r="M123" i="26"/>
  <c r="M63" i="26"/>
  <c r="L17" i="14"/>
  <c r="M19" i="14"/>
  <c r="M31" i="14"/>
  <c r="M359" i="26"/>
  <c r="H30" i="28"/>
  <c r="N281" i="23"/>
  <c r="N282" i="23"/>
  <c r="N276" i="23"/>
  <c r="N266" i="23"/>
  <c r="N262" i="23"/>
  <c r="N272" i="23"/>
  <c r="N283" i="23"/>
  <c r="N263" i="23"/>
  <c r="N264" i="23"/>
  <c r="N269" i="23"/>
  <c r="N274" i="23"/>
  <c r="N279" i="23"/>
  <c r="N265" i="23"/>
  <c r="N275" i="23"/>
  <c r="N273" i="23"/>
  <c r="N284" i="23"/>
  <c r="N270" i="23"/>
  <c r="N278" i="23"/>
  <c r="N280" i="23"/>
  <c r="N268" i="23"/>
  <c r="N267" i="23"/>
  <c r="K26" i="27" a="1"/>
  <c r="K26" i="27" s="1"/>
  <c r="K37" i="26"/>
  <c r="K29" i="26"/>
  <c r="K25" i="26"/>
  <c r="K15" i="26"/>
  <c r="K35" i="26"/>
  <c r="K23" i="26"/>
  <c r="K31" i="26"/>
  <c r="K32" i="26"/>
  <c r="K27" i="26"/>
  <c r="K26" i="26"/>
  <c r="K36" i="26"/>
  <c r="K19" i="26"/>
  <c r="K33" i="26"/>
  <c r="K17" i="26"/>
  <c r="K18" i="26"/>
  <c r="K16" i="26"/>
  <c r="K28" i="26"/>
  <c r="K34" i="26"/>
  <c r="K22" i="26"/>
  <c r="K21" i="26"/>
  <c r="M271" i="24"/>
  <c r="M29" i="14"/>
  <c r="M310" i="26"/>
  <c r="K69" i="24"/>
  <c r="M39" i="14"/>
  <c r="M113" i="24"/>
  <c r="N135" i="15"/>
  <c r="N132" i="15"/>
  <c r="N126" i="15"/>
  <c r="N122" i="15"/>
  <c r="N118" i="15"/>
  <c r="N115" i="15"/>
  <c r="N127" i="15"/>
  <c r="N120" i="15"/>
  <c r="N116" i="15"/>
  <c r="N133" i="15"/>
  <c r="N130" i="15"/>
  <c r="N136" i="15"/>
  <c r="N124" i="15"/>
  <c r="N129" i="15" s="1"/>
  <c r="N128" i="15"/>
  <c r="N125" i="15"/>
  <c r="N121" i="15"/>
  <c r="N117" i="15"/>
  <c r="N131" i="15"/>
  <c r="N114" i="15"/>
  <c r="N119" i="15" s="1"/>
  <c r="N134" i="15"/>
  <c r="O15" i="14"/>
  <c r="O113" i="15"/>
  <c r="J104" i="15"/>
  <c r="J106" i="15"/>
  <c r="J105" i="15"/>
  <c r="K96" i="15"/>
  <c r="K99" i="15"/>
  <c r="K100" i="15"/>
  <c r="K102" i="15"/>
  <c r="K107" i="15"/>
  <c r="K109" i="15"/>
  <c r="K111" i="15"/>
  <c r="K110" i="15"/>
  <c r="K93" i="15"/>
  <c r="K94" i="15"/>
  <c r="K97" i="15"/>
  <c r="K103" i="15"/>
  <c r="L92" i="15"/>
  <c r="K20" i="15" l="1"/>
  <c r="J30" i="28"/>
  <c r="K38" i="15"/>
  <c r="K24" i="15"/>
  <c r="J20" i="28"/>
  <c r="L79" i="15"/>
  <c r="J24" i="28"/>
  <c r="L69" i="15"/>
  <c r="J37" i="27" a="1"/>
  <c r="J37" i="27" s="1"/>
  <c r="J38" i="28"/>
  <c r="K30" i="15"/>
  <c r="N123" i="15"/>
  <c r="L73" i="15"/>
  <c r="N137" i="15"/>
  <c r="L87" i="15"/>
  <c r="M37" i="23"/>
  <c r="M15" i="23"/>
  <c r="M18" i="23"/>
  <c r="M22" i="23"/>
  <c r="M17" i="23"/>
  <c r="M16" i="23"/>
  <c r="M21" i="23"/>
  <c r="M35" i="23"/>
  <c r="M23" i="23"/>
  <c r="M34" i="23"/>
  <c r="M26" i="23"/>
  <c r="M25" i="23"/>
  <c r="M29" i="23"/>
  <c r="M32" i="23"/>
  <c r="M36" i="23"/>
  <c r="M28" i="23"/>
  <c r="M30" i="23" s="1"/>
  <c r="M33" i="23"/>
  <c r="M27" i="23"/>
  <c r="M31" i="23"/>
  <c r="M38" i="23" s="1"/>
  <c r="M19" i="23"/>
  <c r="M20" i="23" s="1"/>
  <c r="M24" i="23"/>
  <c r="L231" i="25"/>
  <c r="L229" i="25"/>
  <c r="L224" i="25"/>
  <c r="L230" i="25"/>
  <c r="L234" i="25"/>
  <c r="L226" i="25"/>
  <c r="L220" i="25"/>
  <c r="L221" i="25"/>
  <c r="L222" i="25" s="1"/>
  <c r="L235" i="25"/>
  <c r="L227" i="25"/>
  <c r="L219" i="25"/>
  <c r="L233" i="25"/>
  <c r="L223" i="25"/>
  <c r="L232" i="25"/>
  <c r="L225" i="25"/>
  <c r="L228" i="25" s="1"/>
  <c r="L213" i="25"/>
  <c r="L218" i="25" s="1"/>
  <c r="L214" i="25"/>
  <c r="L215" i="25"/>
  <c r="L217" i="25"/>
  <c r="L216" i="25"/>
  <c r="K38" i="26"/>
  <c r="O21" i="14"/>
  <c r="O113" i="26"/>
  <c r="M281" i="26"/>
  <c r="M280" i="26"/>
  <c r="M270" i="26"/>
  <c r="M282" i="26"/>
  <c r="M272" i="26"/>
  <c r="M262" i="26"/>
  <c r="M284" i="26"/>
  <c r="M283" i="26"/>
  <c r="M276" i="26"/>
  <c r="M269" i="26"/>
  <c r="M279" i="26"/>
  <c r="M263" i="26"/>
  <c r="M278" i="26"/>
  <c r="M266" i="26"/>
  <c r="M267" i="26" s="1"/>
  <c r="M274" i="26"/>
  <c r="M268" i="26"/>
  <c r="M275" i="26"/>
  <c r="M273" i="26"/>
  <c r="M264" i="26"/>
  <c r="M265" i="26"/>
  <c r="M277" i="26"/>
  <c r="N27" i="14"/>
  <c r="N261" i="26"/>
  <c r="L59" i="14"/>
  <c r="L63" i="25"/>
  <c r="K57" i="14"/>
  <c r="L14" i="28" s="1"/>
  <c r="L12" i="28" s="1"/>
  <c r="Q163" i="24"/>
  <c r="Q41" i="14"/>
  <c r="L61" i="14"/>
  <c r="L113" i="25"/>
  <c r="K33" i="28"/>
  <c r="K45" i="27" s="1" a="1"/>
  <c r="K45" i="27" s="1"/>
  <c r="K25" i="28"/>
  <c r="K34" i="28"/>
  <c r="K46" i="27" s="1" a="1"/>
  <c r="K46" i="27" s="1"/>
  <c r="K17" i="28"/>
  <c r="K29" i="27" s="1" a="1"/>
  <c r="K29" i="27" s="1"/>
  <c r="K15" i="28"/>
  <c r="K27" i="27" s="1" a="1"/>
  <c r="K27" i="27" s="1"/>
  <c r="K35" i="28"/>
  <c r="K47" i="27" s="1" a="1"/>
  <c r="K47" i="27" s="1"/>
  <c r="K29" i="28"/>
  <c r="K41" i="27" s="1" a="1"/>
  <c r="K41" i="27" s="1"/>
  <c r="K23" i="28"/>
  <c r="K35" i="27" s="1" a="1"/>
  <c r="K35" i="27" s="1"/>
  <c r="K32" i="28"/>
  <c r="K44" i="27" s="1" a="1"/>
  <c r="K44" i="27" s="1"/>
  <c r="K26" i="28"/>
  <c r="K38" i="27" s="1" a="1"/>
  <c r="K38" i="27" s="1"/>
  <c r="K16" i="28"/>
  <c r="K28" i="27" s="1" a="1"/>
  <c r="K28" i="27" s="1"/>
  <c r="K28" i="28"/>
  <c r="K40" i="27" s="1" a="1"/>
  <c r="K40" i="27" s="1"/>
  <c r="K22" i="28"/>
  <c r="K18" i="28"/>
  <c r="K30" i="27" s="1" a="1"/>
  <c r="K30" i="27" s="1"/>
  <c r="K37" i="28"/>
  <c r="K49" i="27" s="1" a="1"/>
  <c r="K49" i="27" s="1"/>
  <c r="K36" i="28"/>
  <c r="K48" i="27" s="1" a="1"/>
  <c r="K48" i="27" s="1"/>
  <c r="K31" i="28"/>
  <c r="K19" i="28"/>
  <c r="K31" i="27" s="1" a="1"/>
  <c r="K31" i="27" s="1"/>
  <c r="K21" i="28"/>
  <c r="K33" i="27" s="1" a="1"/>
  <c r="K33" i="27" s="1"/>
  <c r="K27" i="28"/>
  <c r="K39" i="27" s="1" a="1"/>
  <c r="K39" i="27" s="1"/>
  <c r="M65" i="14"/>
  <c r="M212" i="25"/>
  <c r="M120" i="24"/>
  <c r="M130" i="24"/>
  <c r="M137" i="24" s="1"/>
  <c r="M135" i="24"/>
  <c r="M128" i="24"/>
  <c r="M125" i="24"/>
  <c r="M115" i="24"/>
  <c r="M136" i="24"/>
  <c r="M134" i="24"/>
  <c r="M114" i="24"/>
  <c r="M118" i="24"/>
  <c r="M119" i="24" s="1"/>
  <c r="M126" i="24"/>
  <c r="M124" i="24"/>
  <c r="M121" i="24"/>
  <c r="M122" i="24"/>
  <c r="M132" i="24"/>
  <c r="M133" i="24"/>
  <c r="M116" i="24"/>
  <c r="M131" i="24"/>
  <c r="M117" i="24"/>
  <c r="M127" i="24"/>
  <c r="M129" i="24" s="1"/>
  <c r="N228" i="26"/>
  <c r="L365" i="26"/>
  <c r="N166" i="26"/>
  <c r="N170" i="26"/>
  <c r="N177" i="26"/>
  <c r="N181" i="26"/>
  <c r="N180" i="26"/>
  <c r="N167" i="26"/>
  <c r="N182" i="26"/>
  <c r="N172" i="26"/>
  <c r="N183" i="26"/>
  <c r="N185" i="26"/>
  <c r="N164" i="26"/>
  <c r="N184" i="26"/>
  <c r="N171" i="26"/>
  <c r="N173" i="26" s="1"/>
  <c r="N176" i="26"/>
  <c r="N175" i="26"/>
  <c r="N165" i="26"/>
  <c r="N168" i="26"/>
  <c r="N186" i="26"/>
  <c r="N174" i="26"/>
  <c r="N178" i="26"/>
  <c r="N179" i="26"/>
  <c r="N39" i="14"/>
  <c r="N113" i="24"/>
  <c r="K20" i="26"/>
  <c r="N271" i="23"/>
  <c r="N31" i="14"/>
  <c r="N359" i="26"/>
  <c r="O23" i="14"/>
  <c r="O163" i="26"/>
  <c r="N75" i="23"/>
  <c r="N65" i="23"/>
  <c r="N74" i="23"/>
  <c r="N80" i="23"/>
  <c r="N70" i="23"/>
  <c r="N82" i="23"/>
  <c r="N68" i="23"/>
  <c r="N78" i="23"/>
  <c r="N77" i="23"/>
  <c r="N71" i="23"/>
  <c r="N73" i="23" s="1"/>
  <c r="N83" i="23"/>
  <c r="N76" i="23"/>
  <c r="N66" i="23"/>
  <c r="N84" i="23"/>
  <c r="N81" i="23"/>
  <c r="N85" i="23"/>
  <c r="N87" i="23" s="1"/>
  <c r="N67" i="23"/>
  <c r="N72" i="23"/>
  <c r="N86" i="23"/>
  <c r="N64" i="23"/>
  <c r="N69" i="23" s="1"/>
  <c r="N63" i="15"/>
  <c r="N13" i="14"/>
  <c r="M11" i="14"/>
  <c r="M8" i="14" s="1"/>
  <c r="L73" i="24"/>
  <c r="L414" i="26"/>
  <c r="O272" i="23"/>
  <c r="O262" i="23"/>
  <c r="O282" i="23"/>
  <c r="O284" i="23"/>
  <c r="O283" i="23"/>
  <c r="O266" i="23"/>
  <c r="O268" i="23"/>
  <c r="O271" i="23" s="1"/>
  <c r="O278" i="23"/>
  <c r="O264" i="23"/>
  <c r="O281" i="23"/>
  <c r="O274" i="23"/>
  <c r="O276" i="23"/>
  <c r="O270" i="23"/>
  <c r="O280" i="23"/>
  <c r="O263" i="23"/>
  <c r="O267" i="23" s="1"/>
  <c r="O265" i="23"/>
  <c r="O279" i="23"/>
  <c r="O269" i="23"/>
  <c r="O273" i="23"/>
  <c r="O275" i="23"/>
  <c r="M127" i="23"/>
  <c r="M122" i="23"/>
  <c r="M117" i="23"/>
  <c r="M132" i="23"/>
  <c r="M133" i="23"/>
  <c r="M121" i="23"/>
  <c r="M115" i="23"/>
  <c r="M135" i="23"/>
  <c r="M116" i="23"/>
  <c r="M119" i="23" s="1"/>
  <c r="M114" i="23"/>
  <c r="M125" i="23"/>
  <c r="M128" i="23"/>
  <c r="M118" i="23"/>
  <c r="M131" i="23"/>
  <c r="M130" i="23"/>
  <c r="M137" i="23" s="1"/>
  <c r="M124" i="23"/>
  <c r="M129" i="23" s="1"/>
  <c r="M136" i="23"/>
  <c r="M134" i="23"/>
  <c r="M126" i="23"/>
  <c r="M120" i="23"/>
  <c r="M123" i="23" s="1"/>
  <c r="N114" i="26"/>
  <c r="N119" i="26" s="1"/>
  <c r="N125" i="26"/>
  <c r="N129" i="26" s="1"/>
  <c r="N136" i="26"/>
  <c r="N124" i="26"/>
  <c r="N120" i="26"/>
  <c r="N135" i="26"/>
  <c r="N133" i="26"/>
  <c r="N126" i="26"/>
  <c r="N115" i="26"/>
  <c r="N117" i="26"/>
  <c r="N132" i="26"/>
  <c r="N130" i="26"/>
  <c r="N134" i="26"/>
  <c r="N118" i="26"/>
  <c r="N127" i="26"/>
  <c r="N121" i="26"/>
  <c r="N131" i="26"/>
  <c r="N137" i="26" s="1"/>
  <c r="N128" i="26"/>
  <c r="N122" i="26"/>
  <c r="N116" i="26"/>
  <c r="N123" i="26"/>
  <c r="L25" i="23"/>
  <c r="L30" i="23" s="1"/>
  <c r="L29" i="23"/>
  <c r="L19" i="23"/>
  <c r="L18" i="23"/>
  <c r="L31" i="23"/>
  <c r="L27" i="23"/>
  <c r="L37" i="23"/>
  <c r="L16" i="23"/>
  <c r="L21" i="23"/>
  <c r="L24" i="23" s="1"/>
  <c r="L35" i="23"/>
  <c r="L22" i="23"/>
  <c r="L33" i="23"/>
  <c r="L32" i="23"/>
  <c r="L34" i="23"/>
  <c r="L38" i="23" s="1"/>
  <c r="L26" i="23"/>
  <c r="L17" i="23"/>
  <c r="L15" i="23"/>
  <c r="L20" i="23" s="1"/>
  <c r="L28" i="23"/>
  <c r="L36" i="23"/>
  <c r="L23" i="23"/>
  <c r="N51" i="14"/>
  <c r="N163" i="23"/>
  <c r="P25" i="14"/>
  <c r="P212" i="26"/>
  <c r="K24" i="26"/>
  <c r="N63" i="26"/>
  <c r="N19" i="14"/>
  <c r="M17" i="14"/>
  <c r="L129" i="24"/>
  <c r="K218" i="25"/>
  <c r="O47" i="14"/>
  <c r="O63" i="23"/>
  <c r="L15" i="26"/>
  <c r="L29" i="26"/>
  <c r="L18" i="26"/>
  <c r="L22" i="26"/>
  <c r="L28" i="26"/>
  <c r="L17" i="26"/>
  <c r="L25" i="26"/>
  <c r="L26" i="26"/>
  <c r="L31" i="26"/>
  <c r="L32" i="26"/>
  <c r="L37" i="26"/>
  <c r="L19" i="26"/>
  <c r="L36" i="26"/>
  <c r="L16" i="26"/>
  <c r="L27" i="26"/>
  <c r="L33" i="26"/>
  <c r="L21" i="26"/>
  <c r="L34" i="26"/>
  <c r="L35" i="26"/>
  <c r="L23" i="26"/>
  <c r="M71" i="15"/>
  <c r="M65" i="15"/>
  <c r="M78" i="15"/>
  <c r="M74" i="15"/>
  <c r="M86" i="15"/>
  <c r="M84" i="15"/>
  <c r="M82" i="15"/>
  <c r="M80" i="15"/>
  <c r="M77" i="15"/>
  <c r="M64" i="15"/>
  <c r="M67" i="15"/>
  <c r="M70" i="15"/>
  <c r="M83" i="15"/>
  <c r="M68" i="15"/>
  <c r="M76" i="15"/>
  <c r="M81" i="15"/>
  <c r="M85" i="15"/>
  <c r="M75" i="15"/>
  <c r="M66" i="15"/>
  <c r="M72" i="15"/>
  <c r="M14" i="15"/>
  <c r="M67" i="24"/>
  <c r="M75" i="24"/>
  <c r="M70" i="24"/>
  <c r="M65" i="24"/>
  <c r="M14" i="24"/>
  <c r="M80" i="24"/>
  <c r="M74" i="24"/>
  <c r="M79" i="24" s="1"/>
  <c r="M66" i="24"/>
  <c r="M83" i="24"/>
  <c r="M78" i="24"/>
  <c r="M71" i="24"/>
  <c r="M85" i="24"/>
  <c r="M81" i="24"/>
  <c r="M64" i="24"/>
  <c r="M76" i="24"/>
  <c r="M82" i="24"/>
  <c r="M72" i="24"/>
  <c r="M77" i="24"/>
  <c r="M68" i="24"/>
  <c r="M69" i="24" s="1"/>
  <c r="M84" i="24"/>
  <c r="M86" i="24"/>
  <c r="M87" i="24"/>
  <c r="O284" i="24"/>
  <c r="O283" i="24"/>
  <c r="O273" i="24"/>
  <c r="O266" i="24"/>
  <c r="O282" i="24"/>
  <c r="O281" i="24"/>
  <c r="O268" i="24"/>
  <c r="O278" i="24"/>
  <c r="O263" i="24"/>
  <c r="O276" i="24"/>
  <c r="O270" i="24"/>
  <c r="O269" i="24"/>
  <c r="O271" i="24" s="1"/>
  <c r="O279" i="24"/>
  <c r="O274" i="24"/>
  <c r="O272" i="24"/>
  <c r="O277" i="24" s="1"/>
  <c r="O262" i="24"/>
  <c r="O267" i="24" s="1"/>
  <c r="O265" i="24"/>
  <c r="O275" i="24"/>
  <c r="O280" i="24"/>
  <c r="O264" i="24"/>
  <c r="M368" i="26"/>
  <c r="M380" i="26"/>
  <c r="M374" i="26"/>
  <c r="M361" i="26"/>
  <c r="M378" i="26"/>
  <c r="M373" i="26"/>
  <c r="M376" i="26"/>
  <c r="M364" i="26"/>
  <c r="M366" i="26"/>
  <c r="M382" i="26"/>
  <c r="M379" i="26"/>
  <c r="M360" i="26"/>
  <c r="M370" i="26"/>
  <c r="M367" i="26"/>
  <c r="M369" i="26" s="1"/>
  <c r="M377" i="26"/>
  <c r="M363" i="26"/>
  <c r="M381" i="26"/>
  <c r="M371" i="26"/>
  <c r="M362" i="26"/>
  <c r="M372" i="26"/>
  <c r="M365" i="26"/>
  <c r="M314" i="26"/>
  <c r="M329" i="26"/>
  <c r="M330" i="26"/>
  <c r="M312" i="26"/>
  <c r="M324" i="26"/>
  <c r="M322" i="26"/>
  <c r="M321" i="26"/>
  <c r="M326" i="26" s="1"/>
  <c r="M327" i="26"/>
  <c r="M311" i="26"/>
  <c r="M317" i="26"/>
  <c r="M319" i="26"/>
  <c r="M313" i="26"/>
  <c r="M316" i="26" s="1"/>
  <c r="M328" i="26"/>
  <c r="M333" i="26"/>
  <c r="M325" i="26"/>
  <c r="M331" i="26"/>
  <c r="M318" i="26"/>
  <c r="M323" i="26"/>
  <c r="M315" i="26"/>
  <c r="M332" i="26"/>
  <c r="L369" i="26"/>
  <c r="L18" i="15"/>
  <c r="L16" i="15"/>
  <c r="L17" i="15"/>
  <c r="L19" i="15"/>
  <c r="L35" i="15"/>
  <c r="L36" i="15"/>
  <c r="L34" i="15"/>
  <c r="L33" i="15"/>
  <c r="L21" i="15"/>
  <c r="L32" i="15"/>
  <c r="L31" i="15"/>
  <c r="L15" i="15"/>
  <c r="L22" i="15"/>
  <c r="L29" i="15"/>
  <c r="L25" i="15"/>
  <c r="L28" i="15"/>
  <c r="L37" i="15"/>
  <c r="L27" i="15"/>
  <c r="L26" i="15"/>
  <c r="L23" i="15"/>
  <c r="N37" i="14"/>
  <c r="N63" i="24"/>
  <c r="M35" i="14"/>
  <c r="N228" i="24"/>
  <c r="M226" i="23"/>
  <c r="M231" i="23"/>
  <c r="M224" i="23"/>
  <c r="M220" i="23"/>
  <c r="M229" i="23"/>
  <c r="M230" i="23"/>
  <c r="M216" i="23"/>
  <c r="M214" i="23"/>
  <c r="M221" i="23"/>
  <c r="M232" i="23"/>
  <c r="M215" i="23"/>
  <c r="M219" i="23"/>
  <c r="M222" i="23" s="1"/>
  <c r="M225" i="23"/>
  <c r="M235" i="23"/>
  <c r="M223" i="23"/>
  <c r="M233" i="23"/>
  <c r="M217" i="23"/>
  <c r="M218" i="23" s="1"/>
  <c r="M234" i="23"/>
  <c r="M213" i="23"/>
  <c r="M227" i="23"/>
  <c r="L222" i="23"/>
  <c r="L87" i="24"/>
  <c r="O274" i="25"/>
  <c r="O272" i="25"/>
  <c r="O262" i="25"/>
  <c r="O273" i="25"/>
  <c r="O277" i="25" s="1"/>
  <c r="O266" i="25"/>
  <c r="O268" i="25"/>
  <c r="O271" i="25" s="1"/>
  <c r="O284" i="25"/>
  <c r="O270" i="25"/>
  <c r="O269" i="25"/>
  <c r="O264" i="25"/>
  <c r="O281" i="25"/>
  <c r="O276" i="25"/>
  <c r="O283" i="25"/>
  <c r="O278" i="25"/>
  <c r="O282" i="25"/>
  <c r="O280" i="25"/>
  <c r="O275" i="25"/>
  <c r="O265" i="25"/>
  <c r="O279" i="25"/>
  <c r="O263" i="25"/>
  <c r="P43" i="14"/>
  <c r="P212" i="24"/>
  <c r="M165" i="23"/>
  <c r="M176" i="23"/>
  <c r="M166" i="23"/>
  <c r="M185" i="23"/>
  <c r="M170" i="23"/>
  <c r="M184" i="23"/>
  <c r="M183" i="23"/>
  <c r="M181" i="23"/>
  <c r="M171" i="23"/>
  <c r="M167" i="23"/>
  <c r="M164" i="23"/>
  <c r="M182" i="23"/>
  <c r="M178" i="23"/>
  <c r="M177" i="23"/>
  <c r="M180" i="23"/>
  <c r="M175" i="23"/>
  <c r="M179" i="23" s="1"/>
  <c r="M174" i="23"/>
  <c r="M186" i="23"/>
  <c r="M172" i="23"/>
  <c r="M168" i="23"/>
  <c r="M169" i="23" s="1"/>
  <c r="K30" i="26"/>
  <c r="M80" i="26"/>
  <c r="M87" i="26" s="1"/>
  <c r="M64" i="26"/>
  <c r="M14" i="26"/>
  <c r="M65" i="26"/>
  <c r="M70" i="26"/>
  <c r="M75" i="26"/>
  <c r="M79" i="26" s="1"/>
  <c r="M78" i="26"/>
  <c r="M76" i="26"/>
  <c r="M81" i="26"/>
  <c r="M74" i="26"/>
  <c r="M66" i="26"/>
  <c r="M71" i="26"/>
  <c r="M85" i="26"/>
  <c r="M82" i="26"/>
  <c r="M77" i="26"/>
  <c r="M83" i="26"/>
  <c r="M68" i="26"/>
  <c r="M67" i="26"/>
  <c r="M84" i="26"/>
  <c r="M72" i="26"/>
  <c r="M86" i="26"/>
  <c r="N267" i="25"/>
  <c r="L129" i="23"/>
  <c r="L119" i="23"/>
  <c r="M427" i="26"/>
  <c r="M412" i="26"/>
  <c r="M410" i="26"/>
  <c r="M422" i="26"/>
  <c r="M411" i="26"/>
  <c r="M416" i="26"/>
  <c r="M420" i="26"/>
  <c r="M423" i="26"/>
  <c r="M419" i="26"/>
  <c r="M431" i="26"/>
  <c r="M413" i="26"/>
  <c r="M421" i="26"/>
  <c r="M430" i="26"/>
  <c r="M428" i="26"/>
  <c r="M409" i="26"/>
  <c r="M414" i="26" s="1"/>
  <c r="M425" i="26"/>
  <c r="M429" i="26"/>
  <c r="M426" i="26"/>
  <c r="M417" i="26"/>
  <c r="M415" i="26"/>
  <c r="M418" i="26" s="1"/>
  <c r="N218" i="24"/>
  <c r="N53" i="14"/>
  <c r="N212" i="23"/>
  <c r="L228" i="23"/>
  <c r="K166" i="25"/>
  <c r="K165" i="25"/>
  <c r="K170" i="25"/>
  <c r="K183" i="25"/>
  <c r="K178" i="25"/>
  <c r="K184" i="25"/>
  <c r="K186" i="25"/>
  <c r="K180" i="25"/>
  <c r="K187" i="25" s="1"/>
  <c r="K172" i="25"/>
  <c r="K173" i="25" s="1"/>
  <c r="K167" i="25"/>
  <c r="K168" i="25"/>
  <c r="K177" i="25"/>
  <c r="K181" i="25"/>
  <c r="K176" i="25"/>
  <c r="K182" i="25"/>
  <c r="K171" i="25"/>
  <c r="K174" i="25"/>
  <c r="K164" i="25"/>
  <c r="K169" i="25" s="1"/>
  <c r="K175" i="25"/>
  <c r="K185" i="25"/>
  <c r="K179" i="25"/>
  <c r="P55" i="14"/>
  <c r="P261" i="25"/>
  <c r="P261" i="24"/>
  <c r="P261" i="23"/>
  <c r="O234" i="26"/>
  <c r="O232" i="26"/>
  <c r="O225" i="26"/>
  <c r="O215" i="26"/>
  <c r="O220" i="26"/>
  <c r="O217" i="26"/>
  <c r="O229" i="26"/>
  <c r="O219" i="26"/>
  <c r="O222" i="26" s="1"/>
  <c r="O223" i="26"/>
  <c r="O226" i="26"/>
  <c r="O221" i="26"/>
  <c r="O231" i="26"/>
  <c r="O227" i="26"/>
  <c r="O230" i="26"/>
  <c r="O233" i="26"/>
  <c r="O224" i="26"/>
  <c r="O235" i="26"/>
  <c r="O216" i="26"/>
  <c r="O218" i="26" s="1"/>
  <c r="O214" i="26"/>
  <c r="O213" i="26"/>
  <c r="N277" i="23"/>
  <c r="N49" i="14"/>
  <c r="N113" i="23"/>
  <c r="K68" i="25"/>
  <c r="K83" i="25"/>
  <c r="K86" i="25"/>
  <c r="K14" i="25"/>
  <c r="K65" i="25"/>
  <c r="K81" i="25"/>
  <c r="K87" i="25" s="1"/>
  <c r="K84" i="25"/>
  <c r="K76" i="25"/>
  <c r="K72" i="25"/>
  <c r="K73" i="25" s="1"/>
  <c r="K74" i="25"/>
  <c r="K79" i="25" s="1"/>
  <c r="K71" i="25"/>
  <c r="K85" i="25"/>
  <c r="K64" i="25"/>
  <c r="K66" i="25"/>
  <c r="K69" i="25" s="1"/>
  <c r="K75" i="25"/>
  <c r="K67" i="25"/>
  <c r="K77" i="25"/>
  <c r="K78" i="25"/>
  <c r="K70" i="25"/>
  <c r="K80" i="25"/>
  <c r="K82" i="25"/>
  <c r="P183" i="24"/>
  <c r="P186" i="24"/>
  <c r="P166" i="24"/>
  <c r="P184" i="24"/>
  <c r="P176" i="24"/>
  <c r="P179" i="24" s="1"/>
  <c r="P181" i="24"/>
  <c r="P168" i="24"/>
  <c r="P185" i="24"/>
  <c r="P171" i="24"/>
  <c r="P178" i="24"/>
  <c r="P177" i="24"/>
  <c r="P167" i="24"/>
  <c r="P165" i="24"/>
  <c r="P180" i="24"/>
  <c r="P187" i="24" s="1"/>
  <c r="P182" i="24"/>
  <c r="P170" i="24"/>
  <c r="P173" i="24" s="1"/>
  <c r="P164" i="24"/>
  <c r="P169" i="24" s="1"/>
  <c r="P175" i="24"/>
  <c r="P172" i="24"/>
  <c r="P174" i="24"/>
  <c r="K115" i="25"/>
  <c r="K126" i="25"/>
  <c r="K132" i="25"/>
  <c r="K125" i="25"/>
  <c r="K130" i="25"/>
  <c r="K122" i="25"/>
  <c r="K136" i="25"/>
  <c r="K120" i="25"/>
  <c r="K116" i="25"/>
  <c r="K133" i="25"/>
  <c r="K137" i="25" s="1"/>
  <c r="K127" i="25"/>
  <c r="K114" i="25"/>
  <c r="K131" i="25"/>
  <c r="K117" i="25"/>
  <c r="K134" i="25"/>
  <c r="K118" i="25"/>
  <c r="K121" i="25"/>
  <c r="K123" i="25" s="1"/>
  <c r="K135" i="25"/>
  <c r="K128" i="25"/>
  <c r="K124" i="25"/>
  <c r="N29" i="14"/>
  <c r="N310" i="26"/>
  <c r="O225" i="24"/>
  <c r="O236" i="24"/>
  <c r="O233" i="24"/>
  <c r="O216" i="24"/>
  <c r="O213" i="24"/>
  <c r="O221" i="24"/>
  <c r="O215" i="24"/>
  <c r="O217" i="24"/>
  <c r="O214" i="24"/>
  <c r="O218" i="24" s="1"/>
  <c r="O227" i="24"/>
  <c r="O226" i="24"/>
  <c r="O220" i="24"/>
  <c r="O234" i="24"/>
  <c r="O235" i="24"/>
  <c r="O229" i="24"/>
  <c r="O230" i="24"/>
  <c r="O231" i="24"/>
  <c r="O219" i="24"/>
  <c r="O232" i="24"/>
  <c r="O223" i="24"/>
  <c r="O224" i="24"/>
  <c r="L173" i="23"/>
  <c r="N33" i="14"/>
  <c r="N408" i="26"/>
  <c r="L32" i="24"/>
  <c r="L15" i="24"/>
  <c r="L21" i="24"/>
  <c r="L37" i="24"/>
  <c r="L16" i="24"/>
  <c r="L20" i="24" s="1"/>
  <c r="L35" i="24"/>
  <c r="L33" i="24"/>
  <c r="L28" i="24"/>
  <c r="L34" i="24"/>
  <c r="L18" i="24"/>
  <c r="L26" i="24"/>
  <c r="L23" i="24"/>
  <c r="L25" i="24"/>
  <c r="L30" i="24" s="1"/>
  <c r="L24" i="24"/>
  <c r="L27" i="24"/>
  <c r="L36" i="24"/>
  <c r="L19" i="24"/>
  <c r="L31" i="24"/>
  <c r="L17" i="24"/>
  <c r="L22" i="24"/>
  <c r="L29" i="24"/>
  <c r="J17" i="25"/>
  <c r="J28" i="25"/>
  <c r="J29" i="25"/>
  <c r="J19" i="25"/>
  <c r="J15" i="25"/>
  <c r="J26" i="25"/>
  <c r="J30" i="25" s="1"/>
  <c r="J21" i="25"/>
  <c r="J24" i="25" s="1"/>
  <c r="J23" i="25"/>
  <c r="J37" i="25"/>
  <c r="J32" i="25"/>
  <c r="J38" i="25" s="1"/>
  <c r="J25" i="25"/>
  <c r="J36" i="25"/>
  <c r="J16" i="25"/>
  <c r="J20" i="25" s="1"/>
  <c r="J22" i="25"/>
  <c r="J34" i="25"/>
  <c r="J33" i="25"/>
  <c r="J35" i="25"/>
  <c r="J31" i="25"/>
  <c r="J18" i="25"/>
  <c r="J27" i="25"/>
  <c r="L63" i="14"/>
  <c r="L163" i="25"/>
  <c r="P15" i="14"/>
  <c r="P113" i="15"/>
  <c r="O126" i="15"/>
  <c r="O122" i="15"/>
  <c r="O118" i="15"/>
  <c r="O115" i="15"/>
  <c r="O133" i="15"/>
  <c r="O130" i="15"/>
  <c r="O137" i="15" s="1"/>
  <c r="O114" i="15"/>
  <c r="O136" i="15"/>
  <c r="O124" i="15"/>
  <c r="O127" i="15"/>
  <c r="O120" i="15"/>
  <c r="O116" i="15"/>
  <c r="O134" i="15"/>
  <c r="O131" i="15"/>
  <c r="O117" i="15"/>
  <c r="O121" i="15"/>
  <c r="O123" i="15" s="1"/>
  <c r="O125" i="15"/>
  <c r="O135" i="15"/>
  <c r="O128" i="15"/>
  <c r="O132" i="15"/>
  <c r="K105" i="15"/>
  <c r="K104" i="15"/>
  <c r="K106" i="15"/>
  <c r="L97" i="15"/>
  <c r="L110" i="15"/>
  <c r="L93" i="15"/>
  <c r="L94" i="15"/>
  <c r="L96" i="15"/>
  <c r="L99" i="15"/>
  <c r="L100" i="15"/>
  <c r="L102" i="15"/>
  <c r="L103" i="15"/>
  <c r="L107" i="15"/>
  <c r="L109" i="15"/>
  <c r="L111" i="15"/>
  <c r="M92" i="15"/>
  <c r="K24" i="28" l="1"/>
  <c r="K30" i="28"/>
  <c r="K37" i="27" a="1"/>
  <c r="K37" i="27" s="1"/>
  <c r="L26" i="27" a="1"/>
  <c r="L26" i="27" s="1"/>
  <c r="K38" i="28"/>
  <c r="K34" i="27" a="1"/>
  <c r="K34" i="27" s="1"/>
  <c r="K43" i="27" a="1"/>
  <c r="K43" i="27" s="1"/>
  <c r="L38" i="15"/>
  <c r="M73" i="15"/>
  <c r="M79" i="15"/>
  <c r="M69" i="15"/>
  <c r="O119" i="15"/>
  <c r="M87" i="15"/>
  <c r="L30" i="15"/>
  <c r="O129" i="15"/>
  <c r="L24" i="15"/>
  <c r="L20" i="15"/>
  <c r="P226" i="24"/>
  <c r="P215" i="24"/>
  <c r="P216" i="24"/>
  <c r="P233" i="24"/>
  <c r="P227" i="24"/>
  <c r="P229" i="24"/>
  <c r="P236" i="24" s="1"/>
  <c r="P214" i="24"/>
  <c r="P221" i="24"/>
  <c r="P217" i="24"/>
  <c r="P220" i="24"/>
  <c r="P224" i="24"/>
  <c r="P230" i="24"/>
  <c r="P219" i="24"/>
  <c r="P222" i="24" s="1"/>
  <c r="P231" i="24"/>
  <c r="P213" i="24"/>
  <c r="P218" i="24" s="1"/>
  <c r="P223" i="24"/>
  <c r="P232" i="24"/>
  <c r="P234" i="24"/>
  <c r="P235" i="24"/>
  <c r="P225" i="24"/>
  <c r="M59" i="14"/>
  <c r="M63" i="25"/>
  <c r="L57" i="14"/>
  <c r="M14" i="28" s="1"/>
  <c r="M12" i="28" s="1"/>
  <c r="O51" i="14"/>
  <c r="O163" i="23"/>
  <c r="O33" i="14"/>
  <c r="O408" i="26"/>
  <c r="N317" i="26"/>
  <c r="N323" i="26"/>
  <c r="N328" i="26"/>
  <c r="N322" i="26"/>
  <c r="N325" i="26"/>
  <c r="N331" i="26"/>
  <c r="N321" i="26"/>
  <c r="N326" i="26" s="1"/>
  <c r="N318" i="26"/>
  <c r="N319" i="26"/>
  <c r="N330" i="26"/>
  <c r="N333" i="26"/>
  <c r="N311" i="26"/>
  <c r="N316" i="26" s="1"/>
  <c r="N329" i="26"/>
  <c r="N315" i="26"/>
  <c r="N332" i="26"/>
  <c r="N314" i="26"/>
  <c r="N324" i="26"/>
  <c r="N312" i="26"/>
  <c r="N313" i="26"/>
  <c r="N327" i="26"/>
  <c r="K119" i="25"/>
  <c r="N133" i="23"/>
  <c r="N118" i="23"/>
  <c r="N136" i="23"/>
  <c r="N128" i="23"/>
  <c r="N123" i="23"/>
  <c r="N125" i="23"/>
  <c r="N135" i="23"/>
  <c r="N127" i="23"/>
  <c r="N132" i="23"/>
  <c r="N116" i="23"/>
  <c r="N121" i="23"/>
  <c r="N126" i="23"/>
  <c r="N131" i="23"/>
  <c r="N124" i="23"/>
  <c r="N120" i="23"/>
  <c r="N134" i="23"/>
  <c r="N122" i="23"/>
  <c r="N114" i="23"/>
  <c r="N119" i="23" s="1"/>
  <c r="N117" i="23"/>
  <c r="N130" i="23"/>
  <c r="N137" i="23" s="1"/>
  <c r="N115" i="23"/>
  <c r="O228" i="26"/>
  <c r="P284" i="23"/>
  <c r="P283" i="23"/>
  <c r="P266" i="23"/>
  <c r="P276" i="23"/>
  <c r="P281" i="23"/>
  <c r="P282" i="23"/>
  <c r="P268" i="23"/>
  <c r="P278" i="23"/>
  <c r="P269" i="23"/>
  <c r="P279" i="23"/>
  <c r="P270" i="23"/>
  <c r="P280" i="23"/>
  <c r="P263" i="23"/>
  <c r="P265" i="23"/>
  <c r="P275" i="23"/>
  <c r="P264" i="23"/>
  <c r="P262" i="23"/>
  <c r="P267" i="23" s="1"/>
  <c r="P273" i="23"/>
  <c r="P274" i="23"/>
  <c r="P272" i="23"/>
  <c r="P277" i="23" s="1"/>
  <c r="P271" i="23"/>
  <c r="M73" i="24"/>
  <c r="O63" i="15"/>
  <c r="O13" i="14"/>
  <c r="N11" i="14"/>
  <c r="N8" i="14" s="1"/>
  <c r="N14" i="23"/>
  <c r="O39" i="14"/>
  <c r="O113" i="24"/>
  <c r="M220" i="25"/>
  <c r="M233" i="25"/>
  <c r="M226" i="25"/>
  <c r="M216" i="25"/>
  <c r="M213" i="25"/>
  <c r="M223" i="25"/>
  <c r="M214" i="25"/>
  <c r="M218" i="25" s="1"/>
  <c r="M230" i="25"/>
  <c r="M221" i="25"/>
  <c r="M225" i="25"/>
  <c r="M231" i="25"/>
  <c r="M234" i="25"/>
  <c r="M229" i="25"/>
  <c r="M217" i="25"/>
  <c r="M232" i="25"/>
  <c r="M224" i="25"/>
  <c r="M235" i="25"/>
  <c r="M215" i="25"/>
  <c r="M219" i="25"/>
  <c r="M222" i="25" s="1"/>
  <c r="M227" i="25"/>
  <c r="L120" i="25"/>
  <c r="L122" i="25"/>
  <c r="L125" i="25"/>
  <c r="L129" i="25" s="1"/>
  <c r="L117" i="25"/>
  <c r="L136" i="25"/>
  <c r="L118" i="25"/>
  <c r="L126" i="25"/>
  <c r="L128" i="25"/>
  <c r="L124" i="25"/>
  <c r="L134" i="25"/>
  <c r="L114" i="25"/>
  <c r="L119" i="25" s="1"/>
  <c r="L131" i="25"/>
  <c r="L115" i="25"/>
  <c r="L135" i="25"/>
  <c r="L116" i="25"/>
  <c r="L132" i="25"/>
  <c r="L130" i="25"/>
  <c r="L137" i="25" s="1"/>
  <c r="L127" i="25"/>
  <c r="L121" i="25"/>
  <c r="L133" i="25"/>
  <c r="O27" i="14"/>
  <c r="O261" i="26"/>
  <c r="L236" i="25"/>
  <c r="N80" i="24"/>
  <c r="N87" i="24" s="1"/>
  <c r="N66" i="24"/>
  <c r="N67" i="24"/>
  <c r="N85" i="24"/>
  <c r="N82" i="24"/>
  <c r="N86" i="24"/>
  <c r="N70" i="24"/>
  <c r="N83" i="24"/>
  <c r="N76" i="24"/>
  <c r="N68" i="24"/>
  <c r="N81" i="24"/>
  <c r="N64" i="24"/>
  <c r="N84" i="24"/>
  <c r="N74" i="24"/>
  <c r="N71" i="24"/>
  <c r="N65" i="24"/>
  <c r="N69" i="24" s="1"/>
  <c r="N75" i="24"/>
  <c r="N79" i="24" s="1"/>
  <c r="N78" i="24"/>
  <c r="N14" i="24"/>
  <c r="N77" i="24"/>
  <c r="N72" i="24"/>
  <c r="M63" i="14"/>
  <c r="M163" i="25"/>
  <c r="N426" i="26"/>
  <c r="N430" i="26"/>
  <c r="N413" i="26"/>
  <c r="N428" i="26"/>
  <c r="N429" i="26"/>
  <c r="N421" i="26"/>
  <c r="N424" i="26" s="1"/>
  <c r="N411" i="26"/>
  <c r="N414" i="26" s="1"/>
  <c r="N422" i="26"/>
  <c r="N427" i="26"/>
  <c r="N409" i="26"/>
  <c r="N425" i="26"/>
  <c r="N423" i="26"/>
  <c r="N417" i="26"/>
  <c r="N415" i="26"/>
  <c r="N418" i="26" s="1"/>
  <c r="N412" i="26"/>
  <c r="N419" i="26"/>
  <c r="N431" i="26"/>
  <c r="N410" i="26"/>
  <c r="N416" i="26"/>
  <c r="N420" i="26"/>
  <c r="Q43" i="14"/>
  <c r="Q212" i="24"/>
  <c r="O37" i="14"/>
  <c r="O63" i="24"/>
  <c r="N35" i="14"/>
  <c r="N136" i="24"/>
  <c r="N115" i="24"/>
  <c r="N119" i="24" s="1"/>
  <c r="N135" i="24"/>
  <c r="N130" i="24"/>
  <c r="N132" i="24"/>
  <c r="N125" i="24"/>
  <c r="N116" i="24"/>
  <c r="N121" i="24"/>
  <c r="N123" i="24" s="1"/>
  <c r="N122" i="24"/>
  <c r="N127" i="24"/>
  <c r="N134" i="24"/>
  <c r="N120" i="24"/>
  <c r="N114" i="24"/>
  <c r="N118" i="24"/>
  <c r="N117" i="24"/>
  <c r="N131" i="24"/>
  <c r="N137" i="24" s="1"/>
  <c r="N124" i="24"/>
  <c r="N129" i="24" s="1"/>
  <c r="N126" i="24"/>
  <c r="N133" i="24"/>
  <c r="N128" i="24"/>
  <c r="N169" i="26"/>
  <c r="N276" i="26"/>
  <c r="N284" i="26"/>
  <c r="N262" i="26"/>
  <c r="N263" i="26"/>
  <c r="N267" i="26" s="1"/>
  <c r="N282" i="26"/>
  <c r="N268" i="26"/>
  <c r="N281" i="26"/>
  <c r="N264" i="26"/>
  <c r="N269" i="26"/>
  <c r="N271" i="26" s="1"/>
  <c r="N274" i="26"/>
  <c r="N279" i="26"/>
  <c r="N275" i="26"/>
  <c r="N280" i="26"/>
  <c r="N273" i="26"/>
  <c r="N270" i="26"/>
  <c r="N272" i="26"/>
  <c r="N277" i="26" s="1"/>
  <c r="N265" i="26"/>
  <c r="N278" i="26"/>
  <c r="N266" i="26"/>
  <c r="N283" i="26"/>
  <c r="O29" i="14"/>
  <c r="O310" i="26"/>
  <c r="O49" i="14"/>
  <c r="O113" i="23"/>
  <c r="P283" i="24"/>
  <c r="P282" i="24"/>
  <c r="P264" i="24"/>
  <c r="P280" i="24"/>
  <c r="P274" i="24"/>
  <c r="P275" i="24"/>
  <c r="P269" i="24"/>
  <c r="P272" i="24"/>
  <c r="P270" i="24"/>
  <c r="P279" i="24"/>
  <c r="P278" i="24"/>
  <c r="P281" i="24"/>
  <c r="P276" i="24"/>
  <c r="P266" i="24"/>
  <c r="P267" i="24" s="1"/>
  <c r="P284" i="24"/>
  <c r="P262" i="24"/>
  <c r="P268" i="24"/>
  <c r="P273" i="24"/>
  <c r="P263" i="24"/>
  <c r="P265" i="24"/>
  <c r="P271" i="24"/>
  <c r="M424" i="26"/>
  <c r="O267" i="25"/>
  <c r="M16" i="15"/>
  <c r="M18" i="15"/>
  <c r="M17" i="15"/>
  <c r="M19" i="15"/>
  <c r="M27" i="15"/>
  <c r="M28" i="15"/>
  <c r="M31" i="15"/>
  <c r="M33" i="15"/>
  <c r="M21" i="15"/>
  <c r="M36" i="15"/>
  <c r="M32" i="15"/>
  <c r="M22" i="15"/>
  <c r="M23" i="15"/>
  <c r="M26" i="15"/>
  <c r="M25" i="15"/>
  <c r="M29" i="15"/>
  <c r="M15" i="15"/>
  <c r="M34" i="15"/>
  <c r="M35" i="15"/>
  <c r="M37" i="15"/>
  <c r="O63" i="26"/>
  <c r="N17" i="14"/>
  <c r="O19" i="14"/>
  <c r="N68" i="15"/>
  <c r="N66" i="15"/>
  <c r="N75" i="15"/>
  <c r="N64" i="15"/>
  <c r="N71" i="15"/>
  <c r="N86" i="15"/>
  <c r="N84" i="15"/>
  <c r="N82" i="15"/>
  <c r="N80" i="15"/>
  <c r="N77" i="15"/>
  <c r="N67" i="15"/>
  <c r="N65" i="15"/>
  <c r="N78" i="15"/>
  <c r="N74" i="15"/>
  <c r="N76" i="15"/>
  <c r="N72" i="15"/>
  <c r="N83" i="15"/>
  <c r="N70" i="15"/>
  <c r="N81" i="15"/>
  <c r="N85" i="15"/>
  <c r="N14" i="15"/>
  <c r="O177" i="26"/>
  <c r="O185" i="26"/>
  <c r="O172" i="26"/>
  <c r="O183" i="26"/>
  <c r="O168" i="26"/>
  <c r="O184" i="26"/>
  <c r="O182" i="26"/>
  <c r="O167" i="26"/>
  <c r="O165" i="26"/>
  <c r="O170" i="26"/>
  <c r="O173" i="26" s="1"/>
  <c r="O175" i="26"/>
  <c r="O180" i="26"/>
  <c r="O164" i="26"/>
  <c r="O169" i="26" s="1"/>
  <c r="O176" i="26"/>
  <c r="O166" i="26"/>
  <c r="O181" i="26"/>
  <c r="O174" i="26"/>
  <c r="O179" i="26" s="1"/>
  <c r="O178" i="26"/>
  <c r="O171" i="26"/>
  <c r="O186" i="26"/>
  <c r="N65" i="14"/>
  <c r="N212" i="25"/>
  <c r="M61" i="14"/>
  <c r="M113" i="25"/>
  <c r="L172" i="25"/>
  <c r="L166" i="25"/>
  <c r="L175" i="25"/>
  <c r="L171" i="25"/>
  <c r="L182" i="25"/>
  <c r="L170" i="25"/>
  <c r="L173" i="25" s="1"/>
  <c r="L164" i="25"/>
  <c r="L169" i="25" s="1"/>
  <c r="L168" i="25"/>
  <c r="L184" i="25"/>
  <c r="L185" i="25"/>
  <c r="L181" i="25"/>
  <c r="L183" i="25"/>
  <c r="L178" i="25"/>
  <c r="L186" i="25"/>
  <c r="L176" i="25"/>
  <c r="L179" i="25" s="1"/>
  <c r="L167" i="25"/>
  <c r="L174" i="25"/>
  <c r="L180" i="25"/>
  <c r="L165" i="25"/>
  <c r="L177" i="25"/>
  <c r="L187" i="25"/>
  <c r="P284" i="25"/>
  <c r="P270" i="25"/>
  <c r="P283" i="25"/>
  <c r="P273" i="25"/>
  <c r="P280" i="25"/>
  <c r="P279" i="25"/>
  <c r="P263" i="25"/>
  <c r="P264" i="25"/>
  <c r="P281" i="25"/>
  <c r="P274" i="25"/>
  <c r="P265" i="25"/>
  <c r="P269" i="25"/>
  <c r="P262" i="25"/>
  <c r="P267" i="25" s="1"/>
  <c r="P276" i="25"/>
  <c r="P282" i="25"/>
  <c r="P275" i="25"/>
  <c r="P272" i="25"/>
  <c r="P266" i="25"/>
  <c r="P268" i="25"/>
  <c r="P271" i="25" s="1"/>
  <c r="P278" i="25"/>
  <c r="M375" i="26"/>
  <c r="Q261" i="25"/>
  <c r="Q261" i="24"/>
  <c r="Q261" i="23"/>
  <c r="Q55" i="14"/>
  <c r="M73" i="26"/>
  <c r="M173" i="23"/>
  <c r="L24" i="26"/>
  <c r="N45" i="14"/>
  <c r="N79" i="23"/>
  <c r="N374" i="26"/>
  <c r="N381" i="26"/>
  <c r="N377" i="26"/>
  <c r="N368" i="26"/>
  <c r="N378" i="26"/>
  <c r="N380" i="26"/>
  <c r="N362" i="26"/>
  <c r="N361" i="26"/>
  <c r="N366" i="26"/>
  <c r="N371" i="26"/>
  <c r="N376" i="26"/>
  <c r="N373" i="26"/>
  <c r="N367" i="26"/>
  <c r="N372" i="26"/>
  <c r="N379" i="26"/>
  <c r="N360" i="26"/>
  <c r="N365" i="26" s="1"/>
  <c r="N370" i="26"/>
  <c r="N363" i="26"/>
  <c r="N364" i="26"/>
  <c r="N382" i="26"/>
  <c r="K20" i="28"/>
  <c r="Q167" i="24"/>
  <c r="R167" i="24" s="1"/>
  <c r="Q184" i="24"/>
  <c r="R184" i="24" s="1"/>
  <c r="Q186" i="24"/>
  <c r="R186" i="24" s="1"/>
  <c r="R163" i="24"/>
  <c r="Q165" i="24"/>
  <c r="R165" i="24" s="1"/>
  <c r="Q183" i="24"/>
  <c r="R183" i="24" s="1"/>
  <c r="Q181" i="24"/>
  <c r="R181" i="24" s="1"/>
  <c r="Q178" i="24"/>
  <c r="R178" i="24" s="1"/>
  <c r="Q164" i="24"/>
  <c r="R164" i="24" s="1"/>
  <c r="Q166" i="24"/>
  <c r="R166" i="24" s="1"/>
  <c r="Q180" i="24"/>
  <c r="R180" i="24" s="1"/>
  <c r="Q168" i="24"/>
  <c r="R168" i="24" s="1"/>
  <c r="Q175" i="24"/>
  <c r="R175" i="24" s="1"/>
  <c r="Q170" i="24"/>
  <c r="R170" i="24" s="1"/>
  <c r="Q171" i="24"/>
  <c r="R171" i="24" s="1"/>
  <c r="Q176" i="24"/>
  <c r="R176" i="24" s="1"/>
  <c r="Q185" i="24"/>
  <c r="R185" i="24" s="1"/>
  <c r="Q182" i="24"/>
  <c r="R182" i="24" s="1"/>
  <c r="Q177" i="24"/>
  <c r="R177" i="24" s="1"/>
  <c r="Q172" i="24"/>
  <c r="R172" i="24" s="1"/>
  <c r="Q174" i="24"/>
  <c r="R174" i="24" s="1"/>
  <c r="Q179" i="24"/>
  <c r="N186" i="23"/>
  <c r="N174" i="23"/>
  <c r="N179" i="23" s="1"/>
  <c r="N181" i="23"/>
  <c r="N168" i="23"/>
  <c r="N164" i="23"/>
  <c r="N176" i="23"/>
  <c r="N185" i="23"/>
  <c r="N180" i="23"/>
  <c r="N171" i="23"/>
  <c r="N170" i="23"/>
  <c r="N173" i="23" s="1"/>
  <c r="N177" i="23"/>
  <c r="N184" i="23"/>
  <c r="N178" i="23"/>
  <c r="N175" i="23"/>
  <c r="N165" i="23"/>
  <c r="N182" i="23"/>
  <c r="N167" i="23"/>
  <c r="N166" i="23"/>
  <c r="N169" i="23" s="1"/>
  <c r="N172" i="23"/>
  <c r="N183" i="23"/>
  <c r="P23" i="14"/>
  <c r="P163" i="26"/>
  <c r="M123" i="24"/>
  <c r="O228" i="24"/>
  <c r="O222" i="24"/>
  <c r="K27" i="25"/>
  <c r="K29" i="25"/>
  <c r="K22" i="25"/>
  <c r="K19" i="25"/>
  <c r="K26" i="25"/>
  <c r="K28" i="25"/>
  <c r="K35" i="25"/>
  <c r="K31" i="25"/>
  <c r="K34" i="25"/>
  <c r="K21" i="25"/>
  <c r="K24" i="25" s="1"/>
  <c r="K36" i="25"/>
  <c r="K15" i="25"/>
  <c r="K16" i="25"/>
  <c r="K37" i="25"/>
  <c r="K17" i="25"/>
  <c r="K20" i="25" s="1"/>
  <c r="K25" i="25"/>
  <c r="K30" i="25" s="1"/>
  <c r="K32" i="25"/>
  <c r="K38" i="25" s="1"/>
  <c r="K33" i="25"/>
  <c r="K23" i="25"/>
  <c r="K18" i="25"/>
  <c r="N231" i="23"/>
  <c r="N220" i="23"/>
  <c r="N232" i="23"/>
  <c r="N227" i="23"/>
  <c r="N225" i="23"/>
  <c r="N230" i="23"/>
  <c r="N216" i="23"/>
  <c r="N226" i="23"/>
  <c r="N233" i="23"/>
  <c r="N215" i="23"/>
  <c r="N217" i="23"/>
  <c r="N235" i="23"/>
  <c r="N221" i="23"/>
  <c r="N229" i="23"/>
  <c r="N223" i="23"/>
  <c r="N228" i="23" s="1"/>
  <c r="N219" i="23"/>
  <c r="N222" i="23" s="1"/>
  <c r="N213" i="23"/>
  <c r="N218" i="23"/>
  <c r="N234" i="23"/>
  <c r="N224" i="23"/>
  <c r="N214" i="23"/>
  <c r="M26" i="27" a="1"/>
  <c r="M26" i="27" s="1"/>
  <c r="M34" i="26"/>
  <c r="M33" i="26"/>
  <c r="M16" i="26"/>
  <c r="M36" i="26"/>
  <c r="M26" i="26"/>
  <c r="M25" i="26"/>
  <c r="M19" i="26"/>
  <c r="M23" i="26"/>
  <c r="M27" i="26"/>
  <c r="M32" i="26"/>
  <c r="M37" i="26"/>
  <c r="M29" i="26"/>
  <c r="M17" i="26"/>
  <c r="M31" i="26"/>
  <c r="M35" i="26"/>
  <c r="M18" i="26"/>
  <c r="M15" i="26"/>
  <c r="M22" i="26"/>
  <c r="M28" i="26"/>
  <c r="M21" i="26"/>
  <c r="M228" i="23"/>
  <c r="M21" i="24"/>
  <c r="M37" i="24"/>
  <c r="M28" i="24"/>
  <c r="M25" i="24"/>
  <c r="M33" i="24"/>
  <c r="M34" i="24"/>
  <c r="M32" i="24"/>
  <c r="M16" i="24"/>
  <c r="M31" i="24"/>
  <c r="M38" i="24" s="1"/>
  <c r="M29" i="24"/>
  <c r="M26" i="24"/>
  <c r="M30" i="24" s="1"/>
  <c r="M18" i="24"/>
  <c r="M27" i="24"/>
  <c r="M17" i="24"/>
  <c r="M23" i="24"/>
  <c r="M24" i="24" s="1"/>
  <c r="M19" i="24"/>
  <c r="M22" i="24"/>
  <c r="M36" i="24"/>
  <c r="M15" i="24"/>
  <c r="M20" i="24" s="1"/>
  <c r="M35" i="24"/>
  <c r="L30" i="26"/>
  <c r="O83" i="23"/>
  <c r="O14" i="23"/>
  <c r="O74" i="23"/>
  <c r="O66" i="23"/>
  <c r="O77" i="23"/>
  <c r="O81" i="23"/>
  <c r="O65" i="23"/>
  <c r="O70" i="23"/>
  <c r="O78" i="23"/>
  <c r="O72" i="23"/>
  <c r="O73" i="23" s="1"/>
  <c r="O76" i="23"/>
  <c r="O86" i="23"/>
  <c r="O67" i="23"/>
  <c r="O80" i="23"/>
  <c r="O64" i="23"/>
  <c r="O69" i="23" s="1"/>
  <c r="O71" i="23"/>
  <c r="O82" i="23"/>
  <c r="O84" i="23"/>
  <c r="O87" i="23" s="1"/>
  <c r="O68" i="23"/>
  <c r="O85" i="23"/>
  <c r="O75" i="23"/>
  <c r="P216" i="26"/>
  <c r="P231" i="26"/>
  <c r="P226" i="26"/>
  <c r="P235" i="26"/>
  <c r="P232" i="26"/>
  <c r="P217" i="26"/>
  <c r="P225" i="26"/>
  <c r="P214" i="26"/>
  <c r="P229" i="26"/>
  <c r="P227" i="26"/>
  <c r="P220" i="26"/>
  <c r="P222" i="26" s="1"/>
  <c r="P224" i="26"/>
  <c r="P221" i="26"/>
  <c r="P219" i="26"/>
  <c r="P233" i="26"/>
  <c r="P234" i="26"/>
  <c r="P230" i="26"/>
  <c r="P223" i="26"/>
  <c r="P228" i="26" s="1"/>
  <c r="P213" i="26"/>
  <c r="P218" i="26" s="1"/>
  <c r="P215" i="26"/>
  <c r="O31" i="14"/>
  <c r="O359" i="26"/>
  <c r="L34" i="28"/>
  <c r="L46" i="27" s="1" a="1"/>
  <c r="L46" i="27" s="1"/>
  <c r="L22" i="28"/>
  <c r="L34" i="27" s="1" a="1"/>
  <c r="L34" i="27" s="1"/>
  <c r="L29" i="28"/>
  <c r="L41" i="27" s="1" a="1"/>
  <c r="L41" i="27" s="1"/>
  <c r="L23" i="28"/>
  <c r="L35" i="27" s="1" a="1"/>
  <c r="L35" i="27" s="1"/>
  <c r="L17" i="28"/>
  <c r="L29" i="27" s="1" a="1"/>
  <c r="L29" i="27" s="1"/>
  <c r="L37" i="28"/>
  <c r="L49" i="27" s="1" a="1"/>
  <c r="L49" i="27" s="1"/>
  <c r="L26" i="28"/>
  <c r="L38" i="27" s="1" a="1"/>
  <c r="L38" i="27" s="1"/>
  <c r="L31" i="28"/>
  <c r="L43" i="27" s="1" a="1"/>
  <c r="L43" i="27" s="1"/>
  <c r="L35" i="28"/>
  <c r="L47" i="27" s="1" a="1"/>
  <c r="L47" i="27" s="1"/>
  <c r="L25" i="28"/>
  <c r="L36" i="28"/>
  <c r="L48" i="27" s="1" a="1"/>
  <c r="L48" i="27" s="1"/>
  <c r="L33" i="28"/>
  <c r="L45" i="27" s="1" a="1"/>
  <c r="L45" i="27" s="1"/>
  <c r="L27" i="28"/>
  <c r="L39" i="27" s="1" a="1"/>
  <c r="L39" i="27" s="1"/>
  <c r="L21" i="28"/>
  <c r="L33" i="27" s="1" a="1"/>
  <c r="L33" i="27" s="1"/>
  <c r="L19" i="28"/>
  <c r="L31" i="27" s="1" a="1"/>
  <c r="L31" i="27" s="1"/>
  <c r="L28" i="28"/>
  <c r="L40" i="27" s="1" a="1"/>
  <c r="L40" i="27" s="1"/>
  <c r="L32" i="28"/>
  <c r="L44" i="27" s="1" a="1"/>
  <c r="L44" i="27" s="1"/>
  <c r="L18" i="28"/>
  <c r="L15" i="28"/>
  <c r="L27" i="27" s="1" a="1"/>
  <c r="L27" i="27" s="1"/>
  <c r="L16" i="28"/>
  <c r="L28" i="27" s="1" a="1"/>
  <c r="L28" i="27" s="1"/>
  <c r="M271" i="26"/>
  <c r="O136" i="26"/>
  <c r="O124" i="26"/>
  <c r="O129" i="26" s="1"/>
  <c r="O121" i="26"/>
  <c r="O118" i="26"/>
  <c r="O114" i="26"/>
  <c r="O116" i="26"/>
  <c r="O134" i="26"/>
  <c r="O130" i="26"/>
  <c r="O132" i="26"/>
  <c r="O137" i="26" s="1"/>
  <c r="O135" i="26"/>
  <c r="O120" i="26"/>
  <c r="O123" i="26" s="1"/>
  <c r="O122" i="26"/>
  <c r="O131" i="26"/>
  <c r="O126" i="26"/>
  <c r="O133" i="26"/>
  <c r="O128" i="26"/>
  <c r="O125" i="26"/>
  <c r="O115" i="26"/>
  <c r="O119" i="26" s="1"/>
  <c r="O127" i="26"/>
  <c r="O117" i="26"/>
  <c r="L20" i="26"/>
  <c r="N14" i="26"/>
  <c r="N65" i="26"/>
  <c r="N69" i="26" s="1"/>
  <c r="N66" i="26"/>
  <c r="N75" i="26"/>
  <c r="N70" i="26"/>
  <c r="N83" i="26"/>
  <c r="N67" i="26"/>
  <c r="N84" i="26"/>
  <c r="N81" i="26"/>
  <c r="N71" i="26"/>
  <c r="N73" i="26" s="1"/>
  <c r="N85" i="26"/>
  <c r="N78" i="26"/>
  <c r="N64" i="26"/>
  <c r="N82" i="26"/>
  <c r="N74" i="26"/>
  <c r="N76" i="26"/>
  <c r="N72" i="26"/>
  <c r="N86" i="26"/>
  <c r="N77" i="26"/>
  <c r="N68" i="26"/>
  <c r="N80" i="26"/>
  <c r="N87" i="26" s="1"/>
  <c r="N79" i="26"/>
  <c r="O277" i="23"/>
  <c r="L38" i="24"/>
  <c r="K129" i="25"/>
  <c r="O53" i="14"/>
  <c r="O212" i="23"/>
  <c r="M69" i="26"/>
  <c r="M320" i="26"/>
  <c r="L38" i="26"/>
  <c r="P47" i="14"/>
  <c r="P63" i="23"/>
  <c r="Q212" i="26"/>
  <c r="Q25" i="14"/>
  <c r="L76" i="25"/>
  <c r="L14" i="25"/>
  <c r="L68" i="25"/>
  <c r="L78" i="25"/>
  <c r="L84" i="25"/>
  <c r="L85" i="25"/>
  <c r="L81" i="25"/>
  <c r="L72" i="25"/>
  <c r="L66" i="25"/>
  <c r="L64" i="25"/>
  <c r="L69" i="25" s="1"/>
  <c r="L86" i="25"/>
  <c r="L77" i="25"/>
  <c r="L79" i="25" s="1"/>
  <c r="L80" i="25"/>
  <c r="L87" i="25" s="1"/>
  <c r="L67" i="25"/>
  <c r="L82" i="25"/>
  <c r="L65" i="25"/>
  <c r="L75" i="25"/>
  <c r="L74" i="25"/>
  <c r="L70" i="25"/>
  <c r="L73" i="25" s="1"/>
  <c r="L83" i="25"/>
  <c r="L71" i="25"/>
  <c r="P21" i="14"/>
  <c r="P113" i="26"/>
  <c r="P133" i="15"/>
  <c r="P130" i="15"/>
  <c r="P136" i="15"/>
  <c r="P124" i="15"/>
  <c r="P125" i="15"/>
  <c r="P121" i="15"/>
  <c r="P127" i="15"/>
  <c r="P120" i="15"/>
  <c r="P123" i="15" s="1"/>
  <c r="P116" i="15"/>
  <c r="P134" i="15"/>
  <c r="P131" i="15"/>
  <c r="P114" i="15"/>
  <c r="P128" i="15"/>
  <c r="P135" i="15"/>
  <c r="P132" i="15"/>
  <c r="P118" i="15"/>
  <c r="P117" i="15"/>
  <c r="P126" i="15"/>
  <c r="P115" i="15"/>
  <c r="P122" i="15"/>
  <c r="Q113" i="15"/>
  <c r="Q15" i="14"/>
  <c r="L105" i="15"/>
  <c r="L106" i="15"/>
  <c r="L104" i="15"/>
  <c r="M93" i="15"/>
  <c r="M94" i="15"/>
  <c r="M103" i="15"/>
  <c r="M97" i="15"/>
  <c r="M111" i="15"/>
  <c r="M96" i="15"/>
  <c r="M99" i="15"/>
  <c r="M100" i="15"/>
  <c r="M102" i="15"/>
  <c r="M107" i="15"/>
  <c r="M109" i="15"/>
  <c r="M110" i="15"/>
  <c r="N92" i="15"/>
  <c r="N73" i="15" l="1"/>
  <c r="M30" i="15"/>
  <c r="L20" i="28"/>
  <c r="L30" i="28"/>
  <c r="L37" i="27" a="1"/>
  <c r="L37" i="27" s="1"/>
  <c r="M47" i="27" a="1"/>
  <c r="M47" i="27" s="1"/>
  <c r="L30" i="27" a="1"/>
  <c r="L30" i="27" s="1"/>
  <c r="M38" i="15"/>
  <c r="N69" i="15"/>
  <c r="N79" i="15"/>
  <c r="P137" i="15"/>
  <c r="P119" i="15"/>
  <c r="P129" i="15"/>
  <c r="M20" i="15"/>
  <c r="M24" i="15"/>
  <c r="N87" i="15"/>
  <c r="Q63" i="23"/>
  <c r="N61" i="14"/>
  <c r="N113" i="25"/>
  <c r="P39" i="14"/>
  <c r="P113" i="24"/>
  <c r="M35" i="28"/>
  <c r="M28" i="28"/>
  <c r="M40" i="27" s="1" a="1"/>
  <c r="M40" i="27" s="1"/>
  <c r="M29" i="28"/>
  <c r="M41" i="27" s="1" a="1"/>
  <c r="M41" i="27" s="1"/>
  <c r="M16" i="28"/>
  <c r="M28" i="27" s="1" a="1"/>
  <c r="M28" i="27" s="1"/>
  <c r="M21" i="28"/>
  <c r="M33" i="27" s="1" a="1"/>
  <c r="M33" i="27" s="1"/>
  <c r="M26" i="28"/>
  <c r="M38" i="27" s="1" a="1"/>
  <c r="M38" i="27" s="1"/>
  <c r="M31" i="28"/>
  <c r="M43" i="27" s="1" a="1"/>
  <c r="M43" i="27" s="1"/>
  <c r="M23" i="28"/>
  <c r="M35" i="27" s="1" a="1"/>
  <c r="M35" i="27" s="1"/>
  <c r="M19" i="28"/>
  <c r="M31" i="27" s="1" a="1"/>
  <c r="M31" i="27" s="1"/>
  <c r="M33" i="28"/>
  <c r="M45" i="27" s="1" a="1"/>
  <c r="M45" i="27" s="1"/>
  <c r="M17" i="28"/>
  <c r="M29" i="27" s="1" a="1"/>
  <c r="M29" i="27" s="1"/>
  <c r="M27" i="28"/>
  <c r="M39" i="27" s="1" a="1"/>
  <c r="M39" i="27" s="1"/>
  <c r="M18" i="28"/>
  <c r="M30" i="27" s="1" a="1"/>
  <c r="M30" i="27" s="1"/>
  <c r="M37" i="28"/>
  <c r="M49" i="27" s="1" a="1"/>
  <c r="M49" i="27" s="1"/>
  <c r="M34" i="28"/>
  <c r="M46" i="27" s="1" a="1"/>
  <c r="M46" i="27" s="1"/>
  <c r="M32" i="28"/>
  <c r="M44" i="27" s="1" a="1"/>
  <c r="M44" i="27" s="1"/>
  <c r="M25" i="28"/>
  <c r="M37" i="27" s="1" a="1"/>
  <c r="M37" i="27" s="1"/>
  <c r="M15" i="28"/>
  <c r="M27" i="27" s="1" a="1"/>
  <c r="M27" i="27" s="1"/>
  <c r="M36" i="28"/>
  <c r="M48" i="27" s="1" a="1"/>
  <c r="M48" i="27" s="1"/>
  <c r="M22" i="28"/>
  <c r="M34" i="27" s="1" a="1"/>
  <c r="M34" i="27" s="1"/>
  <c r="N35" i="26"/>
  <c r="N32" i="26"/>
  <c r="N31" i="26"/>
  <c r="N25" i="26"/>
  <c r="N29" i="26"/>
  <c r="N16" i="26"/>
  <c r="N36" i="26"/>
  <c r="N27" i="26"/>
  <c r="N15" i="26"/>
  <c r="N26" i="26"/>
  <c r="N28" i="26"/>
  <c r="N17" i="26"/>
  <c r="N22" i="26"/>
  <c r="N34" i="26"/>
  <c r="N19" i="26"/>
  <c r="N21" i="26"/>
  <c r="N37" i="26"/>
  <c r="N18" i="26"/>
  <c r="N33" i="26"/>
  <c r="N23" i="26"/>
  <c r="Q273" i="25"/>
  <c r="R273" i="25" s="1"/>
  <c r="Q263" i="25"/>
  <c r="R263" i="25" s="1"/>
  <c r="Q268" i="25"/>
  <c r="R268" i="25" s="1"/>
  <c r="Q269" i="25"/>
  <c r="R269" i="25" s="1"/>
  <c r="Q278" i="25"/>
  <c r="R278" i="25" s="1"/>
  <c r="Q264" i="25"/>
  <c r="R264" i="25" s="1"/>
  <c r="Q276" i="25"/>
  <c r="R276" i="25" s="1"/>
  <c r="Q279" i="25"/>
  <c r="R279" i="25" s="1"/>
  <c r="Q274" i="25"/>
  <c r="R274" i="25" s="1"/>
  <c r="Q266" i="25"/>
  <c r="R266" i="25" s="1"/>
  <c r="Q265" i="25"/>
  <c r="R265" i="25" s="1"/>
  <c r="Q284" i="25"/>
  <c r="R284" i="25" s="1"/>
  <c r="Q262" i="25"/>
  <c r="Q282" i="25"/>
  <c r="R282" i="25" s="1"/>
  <c r="Q280" i="25"/>
  <c r="R280" i="25" s="1"/>
  <c r="Q270" i="25"/>
  <c r="R270" i="25" s="1"/>
  <c r="Q272" i="25"/>
  <c r="R272" i="25" s="1"/>
  <c r="R261" i="25"/>
  <c r="Q275" i="25"/>
  <c r="R275" i="25" s="1"/>
  <c r="Q283" i="25"/>
  <c r="R283" i="25" s="1"/>
  <c r="Q281" i="25"/>
  <c r="R281" i="25" s="1"/>
  <c r="L123" i="25"/>
  <c r="N25" i="23"/>
  <c r="N30" i="23" s="1"/>
  <c r="N16" i="23"/>
  <c r="N33" i="23"/>
  <c r="N17" i="23"/>
  <c r="N31" i="23"/>
  <c r="N18" i="23"/>
  <c r="N28" i="23"/>
  <c r="N22" i="23"/>
  <c r="N37" i="23"/>
  <c r="N19" i="23"/>
  <c r="N34" i="23"/>
  <c r="N27" i="23"/>
  <c r="N26" i="23"/>
  <c r="N15" i="23"/>
  <c r="N20" i="23" s="1"/>
  <c r="N29" i="23"/>
  <c r="N23" i="23"/>
  <c r="N36" i="23"/>
  <c r="N38" i="23" s="1"/>
  <c r="N21" i="23"/>
  <c r="N24" i="23" s="1"/>
  <c r="N35" i="23"/>
  <c r="N32" i="23"/>
  <c r="M14" i="25"/>
  <c r="M64" i="25"/>
  <c r="M82" i="25"/>
  <c r="M75" i="25"/>
  <c r="M70" i="25"/>
  <c r="M65" i="25"/>
  <c r="M83" i="25"/>
  <c r="M81" i="25"/>
  <c r="M66" i="25"/>
  <c r="M76" i="25"/>
  <c r="M68" i="25"/>
  <c r="M72" i="25"/>
  <c r="M67" i="25"/>
  <c r="M77" i="25"/>
  <c r="M86" i="25"/>
  <c r="M74" i="25"/>
  <c r="M71" i="25"/>
  <c r="M73" i="25" s="1"/>
  <c r="M85" i="25"/>
  <c r="M78" i="25"/>
  <c r="M80" i="25"/>
  <c r="M84" i="25"/>
  <c r="P117" i="26"/>
  <c r="P130" i="26"/>
  <c r="P137" i="26" s="1"/>
  <c r="P121" i="26"/>
  <c r="P127" i="26"/>
  <c r="P115" i="26"/>
  <c r="P126" i="26"/>
  <c r="P131" i="26"/>
  <c r="P132" i="26"/>
  <c r="P116" i="26"/>
  <c r="P114" i="26"/>
  <c r="P124" i="26"/>
  <c r="P129" i="26" s="1"/>
  <c r="P133" i="26"/>
  <c r="P118" i="26"/>
  <c r="P128" i="26"/>
  <c r="P122" i="26"/>
  <c r="P120" i="26"/>
  <c r="P123" i="26" s="1"/>
  <c r="P125" i="26"/>
  <c r="P134" i="26"/>
  <c r="P136" i="26"/>
  <c r="P135" i="26"/>
  <c r="L22" i="25"/>
  <c r="L19" i="25"/>
  <c r="L31" i="25"/>
  <c r="L38" i="25" s="1"/>
  <c r="L23" i="25"/>
  <c r="L16" i="25"/>
  <c r="L20" i="25" s="1"/>
  <c r="L26" i="25"/>
  <c r="L18" i="25"/>
  <c r="L36" i="25"/>
  <c r="L21" i="25"/>
  <c r="L34" i="25"/>
  <c r="L32" i="25"/>
  <c r="L29" i="25"/>
  <c r="L35" i="25"/>
  <c r="L27" i="25"/>
  <c r="L33" i="25"/>
  <c r="L25" i="25"/>
  <c r="L30" i="25" s="1"/>
  <c r="L28" i="25"/>
  <c r="L15" i="25"/>
  <c r="L17" i="25"/>
  <c r="L37" i="25"/>
  <c r="L24" i="25"/>
  <c r="L38" i="28"/>
  <c r="O363" i="26"/>
  <c r="O380" i="26"/>
  <c r="O382" i="26"/>
  <c r="O368" i="26"/>
  <c r="O369" i="26" s="1"/>
  <c r="O378" i="26"/>
  <c r="O364" i="26"/>
  <c r="O374" i="26"/>
  <c r="O379" i="26"/>
  <c r="O372" i="26"/>
  <c r="O376" i="26"/>
  <c r="O381" i="26"/>
  <c r="O373" i="26"/>
  <c r="O366" i="26"/>
  <c r="O362" i="26"/>
  <c r="O361" i="26"/>
  <c r="O360" i="26"/>
  <c r="O365" i="26" s="1"/>
  <c r="O367" i="26"/>
  <c r="O377" i="26"/>
  <c r="O370" i="26"/>
  <c r="O375" i="26" s="1"/>
  <c r="O371" i="26"/>
  <c r="P185" i="26"/>
  <c r="P183" i="26"/>
  <c r="P174" i="26"/>
  <c r="P179" i="26" s="1"/>
  <c r="P168" i="26"/>
  <c r="P186" i="26"/>
  <c r="P184" i="26"/>
  <c r="P167" i="26"/>
  <c r="P182" i="26"/>
  <c r="P170" i="26"/>
  <c r="P175" i="26"/>
  <c r="P166" i="26"/>
  <c r="P171" i="26"/>
  <c r="P176" i="26"/>
  <c r="P181" i="26"/>
  <c r="P165" i="26"/>
  <c r="P178" i="26"/>
  <c r="P172" i="26"/>
  <c r="P177" i="26"/>
  <c r="P180" i="26"/>
  <c r="P164" i="26"/>
  <c r="P169" i="26"/>
  <c r="O65" i="14"/>
  <c r="O212" i="25"/>
  <c r="N18" i="15"/>
  <c r="N16" i="15"/>
  <c r="N19" i="15"/>
  <c r="N17" i="15"/>
  <c r="N36" i="15"/>
  <c r="N29" i="15"/>
  <c r="N15" i="15"/>
  <c r="N28" i="15"/>
  <c r="N32" i="15"/>
  <c r="N34" i="15"/>
  <c r="N31" i="15"/>
  <c r="N35" i="15"/>
  <c r="N21" i="15"/>
  <c r="N27" i="15"/>
  <c r="N26" i="15"/>
  <c r="N22" i="15"/>
  <c r="N33" i="15"/>
  <c r="N37" i="15"/>
  <c r="N25" i="15"/>
  <c r="N23" i="15"/>
  <c r="N73" i="24"/>
  <c r="O283" i="26"/>
  <c r="O268" i="26"/>
  <c r="O271" i="26" s="1"/>
  <c r="O282" i="26"/>
  <c r="O279" i="26"/>
  <c r="O262" i="26"/>
  <c r="O278" i="26"/>
  <c r="O270" i="26"/>
  <c r="O272" i="26"/>
  <c r="O277" i="26" s="1"/>
  <c r="O281" i="26"/>
  <c r="O264" i="26"/>
  <c r="O266" i="26"/>
  <c r="O265" i="26"/>
  <c r="O280" i="26"/>
  <c r="O269" i="26"/>
  <c r="O276" i="26"/>
  <c r="O263" i="26"/>
  <c r="O284" i="26"/>
  <c r="O273" i="26"/>
  <c r="O274" i="26"/>
  <c r="O275" i="26"/>
  <c r="N59" i="14"/>
  <c r="N63" i="25"/>
  <c r="M57" i="14"/>
  <c r="N14" i="28" s="1"/>
  <c r="N12" i="28" s="1"/>
  <c r="Q113" i="26"/>
  <c r="Q21" i="14"/>
  <c r="P31" i="14"/>
  <c r="P359" i="26"/>
  <c r="Q163" i="26"/>
  <c r="Q23" i="14"/>
  <c r="Q173" i="24"/>
  <c r="N375" i="26"/>
  <c r="P63" i="26"/>
  <c r="P19" i="14"/>
  <c r="O17" i="14"/>
  <c r="P27" i="14"/>
  <c r="P261" i="26"/>
  <c r="P63" i="15"/>
  <c r="P13" i="14"/>
  <c r="O11" i="14"/>
  <c r="O8" i="14" s="1"/>
  <c r="N320" i="26"/>
  <c r="N63" i="14"/>
  <c r="N163" i="25"/>
  <c r="Q187" i="24"/>
  <c r="P29" i="14"/>
  <c r="P310" i="26"/>
  <c r="Q169" i="24"/>
  <c r="M38" i="26"/>
  <c r="O81" i="24"/>
  <c r="O77" i="24"/>
  <c r="O72" i="24"/>
  <c r="O64" i="24"/>
  <c r="O76" i="24"/>
  <c r="O67" i="24"/>
  <c r="O71" i="24"/>
  <c r="O82" i="24"/>
  <c r="O65" i="24"/>
  <c r="O86" i="24"/>
  <c r="O66" i="24"/>
  <c r="O74" i="24"/>
  <c r="O79" i="24" s="1"/>
  <c r="O78" i="24"/>
  <c r="O70" i="24"/>
  <c r="O73" i="24" s="1"/>
  <c r="O85" i="24"/>
  <c r="O14" i="24"/>
  <c r="O80" i="24"/>
  <c r="O87" i="24" s="1"/>
  <c r="O75" i="24"/>
  <c r="O84" i="24"/>
  <c r="O83" i="24"/>
  <c r="O68" i="24"/>
  <c r="O86" i="15"/>
  <c r="O68" i="15"/>
  <c r="O66" i="15"/>
  <c r="O75" i="15"/>
  <c r="O84" i="15"/>
  <c r="O71" i="15"/>
  <c r="O82" i="15"/>
  <c r="O80" i="15"/>
  <c r="O77" i="15"/>
  <c r="O64" i="15"/>
  <c r="O81" i="15"/>
  <c r="O78" i="15"/>
  <c r="O76" i="15"/>
  <c r="O74" i="15"/>
  <c r="O72" i="15"/>
  <c r="O67" i="15"/>
  <c r="O70" i="15"/>
  <c r="O73" i="15" s="1"/>
  <c r="O65" i="15"/>
  <c r="O83" i="15"/>
  <c r="O85" i="15"/>
  <c r="O14" i="15"/>
  <c r="O430" i="26"/>
  <c r="O426" i="26"/>
  <c r="O412" i="26"/>
  <c r="O419" i="26"/>
  <c r="O424" i="26" s="1"/>
  <c r="O413" i="26"/>
  <c r="O422" i="26"/>
  <c r="O411" i="26"/>
  <c r="O410" i="26"/>
  <c r="O414" i="26" s="1"/>
  <c r="O428" i="26"/>
  <c r="O431" i="26"/>
  <c r="O421" i="26"/>
  <c r="O409" i="26"/>
  <c r="O429" i="26"/>
  <c r="O415" i="26"/>
  <c r="O425" i="26"/>
  <c r="O417" i="26"/>
  <c r="O423" i="26"/>
  <c r="O427" i="26"/>
  <c r="O420" i="26"/>
  <c r="O416" i="26"/>
  <c r="P53" i="14"/>
  <c r="P212" i="23"/>
  <c r="O14" i="26"/>
  <c r="O66" i="26"/>
  <c r="O69" i="26" s="1"/>
  <c r="O80" i="26"/>
  <c r="O74" i="26"/>
  <c r="O67" i="26"/>
  <c r="O76" i="26"/>
  <c r="O64" i="26"/>
  <c r="O81" i="26"/>
  <c r="O87" i="26" s="1"/>
  <c r="O84" i="26"/>
  <c r="O70" i="26"/>
  <c r="O73" i="26" s="1"/>
  <c r="O85" i="26"/>
  <c r="O72" i="26"/>
  <c r="O86" i="26"/>
  <c r="O77" i="26"/>
  <c r="O65" i="26"/>
  <c r="O78" i="26"/>
  <c r="O71" i="26"/>
  <c r="O68" i="26"/>
  <c r="O75" i="26"/>
  <c r="O83" i="26"/>
  <c r="O82" i="26"/>
  <c r="P37" i="14"/>
  <c r="P63" i="24"/>
  <c r="O35" i="14"/>
  <c r="P33" i="14"/>
  <c r="P408" i="26"/>
  <c r="O45" i="14"/>
  <c r="O79" i="23"/>
  <c r="M20" i="26"/>
  <c r="P277" i="25"/>
  <c r="O134" i="23"/>
  <c r="O124" i="23"/>
  <c r="O114" i="23"/>
  <c r="O119" i="23" s="1"/>
  <c r="O116" i="23"/>
  <c r="O121" i="23"/>
  <c r="O126" i="23"/>
  <c r="O131" i="23"/>
  <c r="O137" i="23" s="1"/>
  <c r="O118" i="23"/>
  <c r="O136" i="23"/>
  <c r="O128" i="23"/>
  <c r="O133" i="23"/>
  <c r="O117" i="23"/>
  <c r="O122" i="23"/>
  <c r="O127" i="23"/>
  <c r="O132" i="23"/>
  <c r="O120" i="23"/>
  <c r="O123" i="23" s="1"/>
  <c r="O125" i="23"/>
  <c r="O135" i="23"/>
  <c r="O115" i="23"/>
  <c r="O130" i="23"/>
  <c r="Q233" i="24"/>
  <c r="R233" i="24" s="1"/>
  <c r="Q236" i="24"/>
  <c r="Q217" i="24"/>
  <c r="R217" i="24" s="1"/>
  <c r="Q227" i="24"/>
  <c r="R227" i="24" s="1"/>
  <c r="Q226" i="24"/>
  <c r="R226" i="24" s="1"/>
  <c r="Q219" i="24"/>
  <c r="R219" i="24" s="1"/>
  <c r="Q230" i="24"/>
  <c r="R230" i="24" s="1"/>
  <c r="Q221" i="24"/>
  <c r="R221" i="24" s="1"/>
  <c r="Q225" i="24"/>
  <c r="R225" i="24" s="1"/>
  <c r="Q216" i="24"/>
  <c r="R216" i="24" s="1"/>
  <c r="Q234" i="24"/>
  <c r="R234" i="24" s="1"/>
  <c r="Q224" i="24"/>
  <c r="R224" i="24" s="1"/>
  <c r="Q215" i="24"/>
  <c r="R215" i="24" s="1"/>
  <c r="Q235" i="24"/>
  <c r="R235" i="24" s="1"/>
  <c r="Q213" i="24"/>
  <c r="Q232" i="24"/>
  <c r="R232" i="24" s="1"/>
  <c r="Q214" i="24"/>
  <c r="R214" i="24" s="1"/>
  <c r="Q223" i="24"/>
  <c r="R223" i="24" s="1"/>
  <c r="Q229" i="24"/>
  <c r="R229" i="24" s="1"/>
  <c r="Q220" i="24"/>
  <c r="R220" i="24" s="1"/>
  <c r="Q231" i="24"/>
  <c r="R231" i="24" s="1"/>
  <c r="R212" i="24"/>
  <c r="N34" i="24"/>
  <c r="N36" i="24"/>
  <c r="N21" i="24"/>
  <c r="N15" i="24"/>
  <c r="N19" i="24"/>
  <c r="N23" i="24"/>
  <c r="N35" i="24"/>
  <c r="N22" i="24"/>
  <c r="N24" i="24" s="1"/>
  <c r="N33" i="24"/>
  <c r="N27" i="24"/>
  <c r="N25" i="24"/>
  <c r="N30" i="24" s="1"/>
  <c r="N28" i="24"/>
  <c r="N17" i="24"/>
  <c r="N37" i="24"/>
  <c r="N18" i="24"/>
  <c r="N26" i="24"/>
  <c r="N32" i="24"/>
  <c r="N38" i="24" s="1"/>
  <c r="N31" i="24"/>
  <c r="N29" i="24"/>
  <c r="N16" i="24"/>
  <c r="O174" i="23"/>
  <c r="O185" i="23"/>
  <c r="O164" i="23"/>
  <c r="O169" i="23" s="1"/>
  <c r="O167" i="23"/>
  <c r="O177" i="23"/>
  <c r="O171" i="23"/>
  <c r="O172" i="23"/>
  <c r="O166" i="23"/>
  <c r="O175" i="23"/>
  <c r="O180" i="23"/>
  <c r="O173" i="23"/>
  <c r="O183" i="23"/>
  <c r="O181" i="23"/>
  <c r="O182" i="23"/>
  <c r="O186" i="23"/>
  <c r="O168" i="23"/>
  <c r="O178" i="23"/>
  <c r="O176" i="23"/>
  <c r="O165" i="23"/>
  <c r="O184" i="23"/>
  <c r="O170" i="23"/>
  <c r="Q262" i="24"/>
  <c r="R262" i="24" s="1"/>
  <c r="Q280" i="24"/>
  <c r="R280" i="24" s="1"/>
  <c r="Q265" i="24"/>
  <c r="R265" i="24" s="1"/>
  <c r="Q275" i="24"/>
  <c r="R275" i="24" s="1"/>
  <c r="Q284" i="24"/>
  <c r="R284" i="24" s="1"/>
  <c r="Q272" i="24"/>
  <c r="R272" i="24" s="1"/>
  <c r="Q283" i="24"/>
  <c r="R283" i="24" s="1"/>
  <c r="Q278" i="24"/>
  <c r="R278" i="24" s="1"/>
  <c r="Q281" i="24"/>
  <c r="R281" i="24" s="1"/>
  <c r="Q273" i="24"/>
  <c r="R273" i="24" s="1"/>
  <c r="Q276" i="24"/>
  <c r="R276" i="24" s="1"/>
  <c r="Q268" i="24"/>
  <c r="R268" i="24" s="1"/>
  <c r="Q266" i="24"/>
  <c r="R266" i="24" s="1"/>
  <c r="Q279" i="24"/>
  <c r="R279" i="24" s="1"/>
  <c r="Q263" i="24"/>
  <c r="Q274" i="24"/>
  <c r="Q269" i="24"/>
  <c r="R269" i="24" s="1"/>
  <c r="Q264" i="24"/>
  <c r="R264" i="24" s="1"/>
  <c r="Q282" i="24"/>
  <c r="R282" i="24" s="1"/>
  <c r="Q270" i="24"/>
  <c r="R270" i="24" s="1"/>
  <c r="R261" i="24"/>
  <c r="O331" i="26"/>
  <c r="O314" i="26"/>
  <c r="O332" i="26"/>
  <c r="O319" i="26"/>
  <c r="O324" i="26"/>
  <c r="O323" i="26"/>
  <c r="O313" i="26"/>
  <c r="O317" i="26"/>
  <c r="O320" i="26" s="1"/>
  <c r="O315" i="26"/>
  <c r="O322" i="26"/>
  <c r="O321" i="26"/>
  <c r="O318" i="26"/>
  <c r="O329" i="26"/>
  <c r="O330" i="26"/>
  <c r="O312" i="26"/>
  <c r="O327" i="26"/>
  <c r="O333" i="26"/>
  <c r="O328" i="26"/>
  <c r="O325" i="26"/>
  <c r="O311" i="26"/>
  <c r="O326" i="26"/>
  <c r="O316" i="26"/>
  <c r="O25" i="23"/>
  <c r="O30" i="23" s="1"/>
  <c r="O18" i="23"/>
  <c r="O23" i="23"/>
  <c r="O17" i="23"/>
  <c r="O22" i="23"/>
  <c r="O15" i="23"/>
  <c r="O36" i="23"/>
  <c r="O31" i="23"/>
  <c r="O38" i="23" s="1"/>
  <c r="O29" i="23"/>
  <c r="O37" i="23"/>
  <c r="O33" i="23"/>
  <c r="O19" i="23"/>
  <c r="O16" i="23"/>
  <c r="O35" i="23"/>
  <c r="O32" i="23"/>
  <c r="O26" i="23"/>
  <c r="O28" i="23"/>
  <c r="O21" i="23"/>
  <c r="O34" i="23"/>
  <c r="O27" i="23"/>
  <c r="O24" i="23"/>
  <c r="O20" i="23"/>
  <c r="N235" i="25"/>
  <c r="N229" i="25"/>
  <c r="N233" i="25"/>
  <c r="N219" i="25"/>
  <c r="N224" i="25"/>
  <c r="N214" i="25"/>
  <c r="N234" i="25"/>
  <c r="N226" i="25"/>
  <c r="N227" i="25"/>
  <c r="N230" i="25"/>
  <c r="N216" i="25"/>
  <c r="N213" i="25"/>
  <c r="N221" i="25"/>
  <c r="N217" i="25"/>
  <c r="N225" i="25"/>
  <c r="N232" i="25"/>
  <c r="N236" i="25" s="1"/>
  <c r="N223" i="25"/>
  <c r="N231" i="25"/>
  <c r="N215" i="25"/>
  <c r="N220" i="25"/>
  <c r="O232" i="23"/>
  <c r="O231" i="23"/>
  <c r="O216" i="23"/>
  <c r="O234" i="23"/>
  <c r="O233" i="23"/>
  <c r="O226" i="23"/>
  <c r="O228" i="23" s="1"/>
  <c r="O217" i="23"/>
  <c r="O221" i="23"/>
  <c r="O227" i="23"/>
  <c r="O214" i="23"/>
  <c r="O229" i="23"/>
  <c r="O223" i="23"/>
  <c r="O230" i="23"/>
  <c r="O235" i="23"/>
  <c r="O220" i="23"/>
  <c r="O219" i="23"/>
  <c r="O213" i="23"/>
  <c r="O224" i="23"/>
  <c r="O225" i="23"/>
  <c r="O215" i="23"/>
  <c r="L24" i="28"/>
  <c r="P277" i="24"/>
  <c r="Q223" i="26"/>
  <c r="R223" i="26" s="1"/>
  <c r="Q232" i="26"/>
  <c r="R232" i="26" s="1"/>
  <c r="Q215" i="26"/>
  <c r="R215" i="26" s="1"/>
  <c r="Q234" i="26"/>
  <c r="R234" i="26" s="1"/>
  <c r="Q217" i="26"/>
  <c r="R217" i="26" s="1"/>
  <c r="Q214" i="26"/>
  <c r="R214" i="26" s="1"/>
  <c r="Q227" i="26"/>
  <c r="R227" i="26" s="1"/>
  <c r="Q226" i="26"/>
  <c r="R226" i="26" s="1"/>
  <c r="Q230" i="26"/>
  <c r="R230" i="26" s="1"/>
  <c r="Q221" i="26"/>
  <c r="R221" i="26" s="1"/>
  <c r="Q225" i="26"/>
  <c r="R225" i="26" s="1"/>
  <c r="Q229" i="26"/>
  <c r="R229" i="26" s="1"/>
  <c r="Q213" i="26"/>
  <c r="Q235" i="26"/>
  <c r="R235" i="26" s="1"/>
  <c r="Q216" i="26"/>
  <c r="R216" i="26" s="1"/>
  <c r="Q231" i="26"/>
  <c r="R231" i="26" s="1"/>
  <c r="Q220" i="26"/>
  <c r="Q219" i="26"/>
  <c r="R219" i="26" s="1"/>
  <c r="Q224" i="26"/>
  <c r="R224" i="26" s="1"/>
  <c r="Q233" i="26"/>
  <c r="R233" i="26" s="1"/>
  <c r="R212" i="26"/>
  <c r="M24" i="26"/>
  <c r="N369" i="26"/>
  <c r="P86" i="23"/>
  <c r="P84" i="23"/>
  <c r="P78" i="23"/>
  <c r="P74" i="23"/>
  <c r="P81" i="23"/>
  <c r="P68" i="23"/>
  <c r="P77" i="23"/>
  <c r="P79" i="23" s="1"/>
  <c r="P72" i="23"/>
  <c r="P64" i="23"/>
  <c r="P76" i="23"/>
  <c r="P75" i="23"/>
  <c r="P83" i="23"/>
  <c r="P65" i="23"/>
  <c r="P82" i="23"/>
  <c r="P71" i="23"/>
  <c r="P73" i="23" s="1"/>
  <c r="P70" i="23"/>
  <c r="P85" i="23"/>
  <c r="P80" i="23"/>
  <c r="P87" i="23" s="1"/>
  <c r="P66" i="23"/>
  <c r="P67" i="23"/>
  <c r="P69" i="23"/>
  <c r="M30" i="26"/>
  <c r="Q272" i="23"/>
  <c r="R272" i="23" s="1"/>
  <c r="Q266" i="23"/>
  <c r="R266" i="23" s="1"/>
  <c r="Q264" i="23"/>
  <c r="R264" i="23" s="1"/>
  <c r="Q274" i="23"/>
  <c r="R274" i="23" s="1"/>
  <c r="Q262" i="23"/>
  <c r="R262" i="23" s="1"/>
  <c r="Q284" i="23"/>
  <c r="R284" i="23" s="1"/>
  <c r="Q276" i="23"/>
  <c r="R276" i="23" s="1"/>
  <c r="Q281" i="23"/>
  <c r="R281" i="23" s="1"/>
  <c r="Q273" i="23"/>
  <c r="R273" i="23" s="1"/>
  <c r="Q282" i="23"/>
  <c r="R282" i="23" s="1"/>
  <c r="Q269" i="23"/>
  <c r="R269" i="23" s="1"/>
  <c r="Q279" i="23"/>
  <c r="R279" i="23" s="1"/>
  <c r="Q283" i="23"/>
  <c r="R283" i="23" s="1"/>
  <c r="Q265" i="23"/>
  <c r="R265" i="23" s="1"/>
  <c r="Q275" i="23"/>
  <c r="R275" i="23" s="1"/>
  <c r="Q268" i="23"/>
  <c r="Q278" i="23"/>
  <c r="R278" i="23" s="1"/>
  <c r="R261" i="23"/>
  <c r="Q270" i="23"/>
  <c r="R270" i="23" s="1"/>
  <c r="Q263" i="23"/>
  <c r="R263" i="23" s="1"/>
  <c r="Q280" i="23"/>
  <c r="R280" i="23" s="1"/>
  <c r="Q277" i="23"/>
  <c r="M127" i="25"/>
  <c r="M135" i="25"/>
  <c r="M120" i="25"/>
  <c r="M114" i="25"/>
  <c r="M136" i="25"/>
  <c r="M115" i="25"/>
  <c r="M122" i="25"/>
  <c r="M123" i="25" s="1"/>
  <c r="M128" i="25"/>
  <c r="M126" i="25"/>
  <c r="M118" i="25"/>
  <c r="M121" i="25"/>
  <c r="M130" i="25"/>
  <c r="M125" i="25"/>
  <c r="M131" i="25"/>
  <c r="M137" i="25" s="1"/>
  <c r="M132" i="25"/>
  <c r="M133" i="25"/>
  <c r="M134" i="25"/>
  <c r="M124" i="25"/>
  <c r="M117" i="25"/>
  <c r="M116" i="25"/>
  <c r="M129" i="25"/>
  <c r="P49" i="14"/>
  <c r="P45" i="14" s="1"/>
  <c r="Q45" i="14" s="1"/>
  <c r="P113" i="23"/>
  <c r="M186" i="25"/>
  <c r="M168" i="25"/>
  <c r="M165" i="25"/>
  <c r="M171" i="25"/>
  <c r="M173" i="25" s="1"/>
  <c r="M174" i="25"/>
  <c r="M179" i="25" s="1"/>
  <c r="M172" i="25"/>
  <c r="M167" i="25"/>
  <c r="M164" i="25"/>
  <c r="M177" i="25"/>
  <c r="M166" i="25"/>
  <c r="M170" i="25"/>
  <c r="M178" i="25"/>
  <c r="M185" i="25"/>
  <c r="M175" i="25"/>
  <c r="M181" i="25"/>
  <c r="M184" i="25"/>
  <c r="M169" i="25"/>
  <c r="M176" i="25"/>
  <c r="M180" i="25"/>
  <c r="M187" i="25" s="1"/>
  <c r="M183" i="25"/>
  <c r="M182" i="25"/>
  <c r="M228" i="25"/>
  <c r="M236" i="25"/>
  <c r="O127" i="24"/>
  <c r="O135" i="24"/>
  <c r="O132" i="24"/>
  <c r="O118" i="24"/>
  <c r="O115" i="24"/>
  <c r="O122" i="24"/>
  <c r="O131" i="24"/>
  <c r="O116" i="24"/>
  <c r="O136" i="24"/>
  <c r="O117" i="24"/>
  <c r="O134" i="24"/>
  <c r="O124" i="24"/>
  <c r="O129" i="24" s="1"/>
  <c r="O126" i="24"/>
  <c r="O128" i="24"/>
  <c r="O121" i="24"/>
  <c r="O133" i="24"/>
  <c r="O130" i="24"/>
  <c r="O125" i="24"/>
  <c r="O120" i="24"/>
  <c r="O114" i="24"/>
  <c r="O119" i="24" s="1"/>
  <c r="N129" i="23"/>
  <c r="P51" i="14"/>
  <c r="P163" i="23"/>
  <c r="P228" i="24"/>
  <c r="Q136" i="15"/>
  <c r="R136" i="15" s="1"/>
  <c r="Q124" i="15"/>
  <c r="R124" i="15" s="1"/>
  <c r="Q127" i="15"/>
  <c r="R127" i="15" s="1"/>
  <c r="Q120" i="15"/>
  <c r="R120" i="15" s="1"/>
  <c r="Q116" i="15"/>
  <c r="R116" i="15" s="1"/>
  <c r="Q130" i="15"/>
  <c r="R130" i="15" s="1"/>
  <c r="Q134" i="15"/>
  <c r="R134" i="15" s="1"/>
  <c r="Q131" i="15"/>
  <c r="R131" i="15" s="1"/>
  <c r="Q114" i="15"/>
  <c r="R114" i="15" s="1"/>
  <c r="Q117" i="15"/>
  <c r="R117" i="15" s="1"/>
  <c r="Q128" i="15"/>
  <c r="R128" i="15" s="1"/>
  <c r="Q125" i="15"/>
  <c r="R125" i="15" s="1"/>
  <c r="Q121" i="15"/>
  <c r="R121" i="15" s="1"/>
  <c r="Q126" i="15"/>
  <c r="R126" i="15" s="1"/>
  <c r="Q122" i="15"/>
  <c r="R122" i="15" s="1"/>
  <c r="Q118" i="15"/>
  <c r="R118" i="15" s="1"/>
  <c r="Q115" i="15"/>
  <c r="R115" i="15" s="1"/>
  <c r="Q135" i="15"/>
  <c r="R135" i="15" s="1"/>
  <c r="Q133" i="15"/>
  <c r="R133" i="15" s="1"/>
  <c r="Q132" i="15"/>
  <c r="R132" i="15" s="1"/>
  <c r="R113" i="15"/>
  <c r="Q47" i="14"/>
  <c r="Q37" i="14"/>
  <c r="M104" i="15"/>
  <c r="M105" i="15"/>
  <c r="M106" i="15"/>
  <c r="N99" i="15"/>
  <c r="N102" i="15"/>
  <c r="N107" i="15"/>
  <c r="N109" i="15"/>
  <c r="N111" i="15"/>
  <c r="N96" i="15"/>
  <c r="N100" i="15"/>
  <c r="N110" i="15"/>
  <c r="N93" i="15"/>
  <c r="N94" i="15"/>
  <c r="N97" i="15"/>
  <c r="N103" i="15"/>
  <c r="O92" i="15"/>
  <c r="N26" i="27" l="1" a="1"/>
  <c r="N26" i="27" s="1"/>
  <c r="M30" i="28"/>
  <c r="M38" i="28"/>
  <c r="M24" i="28"/>
  <c r="N24" i="15"/>
  <c r="Q123" i="15"/>
  <c r="O69" i="15"/>
  <c r="O87" i="15"/>
  <c r="N38" i="15"/>
  <c r="N30" i="15"/>
  <c r="O79" i="15"/>
  <c r="N20" i="15"/>
  <c r="N228" i="25"/>
  <c r="P14" i="26"/>
  <c r="P82" i="26"/>
  <c r="P68" i="26"/>
  <c r="P80" i="26"/>
  <c r="P87" i="26" s="1"/>
  <c r="P81" i="26"/>
  <c r="P71" i="26"/>
  <c r="P73" i="26" s="1"/>
  <c r="P84" i="26"/>
  <c r="P66" i="26"/>
  <c r="P75" i="26"/>
  <c r="P85" i="26"/>
  <c r="P78" i="26"/>
  <c r="P72" i="26"/>
  <c r="P74" i="26"/>
  <c r="P86" i="26"/>
  <c r="P64" i="26"/>
  <c r="P83" i="26"/>
  <c r="P70" i="26"/>
  <c r="P65" i="26"/>
  <c r="P77" i="26"/>
  <c r="P76" i="26"/>
  <c r="P67" i="26"/>
  <c r="P79" i="26"/>
  <c r="M27" i="25"/>
  <c r="M19" i="25"/>
  <c r="M16" i="25"/>
  <c r="M22" i="25"/>
  <c r="M35" i="25"/>
  <c r="M17" i="25"/>
  <c r="M20" i="25" s="1"/>
  <c r="M32" i="25"/>
  <c r="M25" i="25"/>
  <c r="M33" i="25"/>
  <c r="M15" i="25"/>
  <c r="M18" i="25"/>
  <c r="M28" i="25"/>
  <c r="M31" i="25"/>
  <c r="M38" i="25" s="1"/>
  <c r="M23" i="25"/>
  <c r="M26" i="25"/>
  <c r="M30" i="25" s="1"/>
  <c r="M21" i="25"/>
  <c r="M29" i="25"/>
  <c r="M36" i="25"/>
  <c r="M37" i="25"/>
  <c r="M34" i="25"/>
  <c r="M24" i="25"/>
  <c r="O179" i="23"/>
  <c r="Q222" i="24"/>
  <c r="P232" i="23"/>
  <c r="P234" i="23"/>
  <c r="P235" i="23"/>
  <c r="P233" i="23"/>
  <c r="P217" i="23"/>
  <c r="P227" i="23"/>
  <c r="P214" i="23"/>
  <c r="P229" i="23"/>
  <c r="P216" i="23"/>
  <c r="P215" i="23"/>
  <c r="P230" i="23"/>
  <c r="P224" i="23"/>
  <c r="P213" i="23"/>
  <c r="P231" i="23"/>
  <c r="P223" i="23"/>
  <c r="P221" i="23"/>
  <c r="P226" i="23"/>
  <c r="P225" i="23"/>
  <c r="P220" i="23"/>
  <c r="P219" i="23"/>
  <c r="P222" i="23" s="1"/>
  <c r="P218" i="23"/>
  <c r="N30" i="26"/>
  <c r="P127" i="24"/>
  <c r="P130" i="24"/>
  <c r="P133" i="24"/>
  <c r="P135" i="24"/>
  <c r="P134" i="24"/>
  <c r="P136" i="24"/>
  <c r="P137" i="24" s="1"/>
  <c r="P126" i="24"/>
  <c r="P120" i="24"/>
  <c r="P115" i="24"/>
  <c r="P114" i="24"/>
  <c r="P119" i="24" s="1"/>
  <c r="P128" i="24"/>
  <c r="P131" i="24"/>
  <c r="P122" i="24"/>
  <c r="P116" i="24"/>
  <c r="P118" i="24"/>
  <c r="P125" i="24"/>
  <c r="P132" i="24"/>
  <c r="P124" i="24"/>
  <c r="P129" i="24" s="1"/>
  <c r="P117" i="24"/>
  <c r="P121" i="24"/>
  <c r="P123" i="24"/>
  <c r="O18" i="26"/>
  <c r="O26" i="26"/>
  <c r="O27" i="26"/>
  <c r="O22" i="26"/>
  <c r="O28" i="26"/>
  <c r="O31" i="26"/>
  <c r="O32" i="26"/>
  <c r="O33" i="26"/>
  <c r="O23" i="26"/>
  <c r="O34" i="26"/>
  <c r="O35" i="26"/>
  <c r="O16" i="26"/>
  <c r="O25" i="26"/>
  <c r="O15" i="26"/>
  <c r="O37" i="26"/>
  <c r="O36" i="26"/>
  <c r="O29" i="26"/>
  <c r="O19" i="26"/>
  <c r="O17" i="26"/>
  <c r="O21" i="26"/>
  <c r="O20" i="26"/>
  <c r="M69" i="25"/>
  <c r="Q119" i="15"/>
  <c r="O129" i="23"/>
  <c r="M79" i="25"/>
  <c r="Q228" i="26"/>
  <c r="Q218" i="26"/>
  <c r="R213" i="26"/>
  <c r="N222" i="25"/>
  <c r="Q228" i="24"/>
  <c r="Q218" i="24"/>
  <c r="R213" i="24"/>
  <c r="Q212" i="23"/>
  <c r="Q53" i="14"/>
  <c r="Q63" i="15"/>
  <c r="P11" i="14"/>
  <c r="P8" i="14" s="1"/>
  <c r="Q13" i="14"/>
  <c r="N14" i="25"/>
  <c r="N74" i="25"/>
  <c r="N79" i="25" s="1"/>
  <c r="N80" i="25"/>
  <c r="N87" i="25" s="1"/>
  <c r="N70" i="25"/>
  <c r="N82" i="25"/>
  <c r="N68" i="25"/>
  <c r="N65" i="25"/>
  <c r="N66" i="25"/>
  <c r="N64" i="25"/>
  <c r="N71" i="25"/>
  <c r="N75" i="25"/>
  <c r="N72" i="25"/>
  <c r="N67" i="25"/>
  <c r="N78" i="25"/>
  <c r="N83" i="25"/>
  <c r="N85" i="25"/>
  <c r="N77" i="25"/>
  <c r="N86" i="25"/>
  <c r="N81" i="25"/>
  <c r="N84" i="25"/>
  <c r="N76" i="25"/>
  <c r="N73" i="25"/>
  <c r="Q277" i="25"/>
  <c r="N24" i="26"/>
  <c r="Q113" i="24"/>
  <c r="Q39" i="14"/>
  <c r="P14" i="24"/>
  <c r="P78" i="24"/>
  <c r="P82" i="24"/>
  <c r="P75" i="24"/>
  <c r="P70" i="24"/>
  <c r="P65" i="24"/>
  <c r="P85" i="24"/>
  <c r="P71" i="24"/>
  <c r="P77" i="24"/>
  <c r="P79" i="24" s="1"/>
  <c r="P83" i="24"/>
  <c r="P66" i="24"/>
  <c r="P84" i="24"/>
  <c r="P74" i="24"/>
  <c r="P64" i="24"/>
  <c r="P86" i="24"/>
  <c r="P68" i="24"/>
  <c r="P80" i="24"/>
  <c r="P81" i="24"/>
  <c r="P72" i="24"/>
  <c r="P76" i="24"/>
  <c r="P67" i="24"/>
  <c r="Q63" i="26"/>
  <c r="P17" i="14"/>
  <c r="Q17" i="14" s="1"/>
  <c r="Q19" i="14"/>
  <c r="Q129" i="15"/>
  <c r="Q63" i="24"/>
  <c r="P35" i="14"/>
  <c r="Q130" i="26"/>
  <c r="R130" i="26" s="1"/>
  <c r="Q118" i="26"/>
  <c r="R118" i="26" s="1"/>
  <c r="Q125" i="26"/>
  <c r="R125" i="26" s="1"/>
  <c r="Q127" i="26"/>
  <c r="R127" i="26" s="1"/>
  <c r="Q128" i="26"/>
  <c r="R128" i="26" s="1"/>
  <c r="Q115" i="26"/>
  <c r="R115" i="26" s="1"/>
  <c r="Q122" i="26"/>
  <c r="R122" i="26" s="1"/>
  <c r="Q117" i="26"/>
  <c r="R117" i="26" s="1"/>
  <c r="Q114" i="26"/>
  <c r="R114" i="26" s="1"/>
  <c r="Q121" i="26"/>
  <c r="R121" i="26" s="1"/>
  <c r="Q131" i="26"/>
  <c r="R131" i="26" s="1"/>
  <c r="Q120" i="26"/>
  <c r="R120" i="26" s="1"/>
  <c r="Q135" i="26"/>
  <c r="R135" i="26" s="1"/>
  <c r="Q126" i="26"/>
  <c r="R126" i="26" s="1"/>
  <c r="Q136" i="26"/>
  <c r="R136" i="26" s="1"/>
  <c r="Q133" i="26"/>
  <c r="R133" i="26" s="1"/>
  <c r="Q116" i="26"/>
  <c r="R116" i="26" s="1"/>
  <c r="Q134" i="26"/>
  <c r="R134" i="26" s="1"/>
  <c r="Q124" i="26"/>
  <c r="R124" i="26" s="1"/>
  <c r="Q132" i="26"/>
  <c r="R132" i="26" s="1"/>
  <c r="R113" i="26"/>
  <c r="O19" i="15"/>
  <c r="O17" i="15"/>
  <c r="O18" i="15"/>
  <c r="O16" i="15"/>
  <c r="O35" i="15"/>
  <c r="O28" i="15"/>
  <c r="O23" i="15"/>
  <c r="O21" i="15"/>
  <c r="O36" i="15"/>
  <c r="O34" i="15"/>
  <c r="O32" i="15"/>
  <c r="O26" i="15"/>
  <c r="O29" i="15"/>
  <c r="O37" i="15"/>
  <c r="O27" i="15"/>
  <c r="O15" i="15"/>
  <c r="O33" i="15"/>
  <c r="O31" i="15"/>
  <c r="O25" i="15"/>
  <c r="O22" i="15"/>
  <c r="M119" i="25"/>
  <c r="O79" i="26"/>
  <c r="P333" i="26"/>
  <c r="P329" i="26"/>
  <c r="P324" i="26"/>
  <c r="P315" i="26"/>
  <c r="P314" i="26"/>
  <c r="P325" i="26"/>
  <c r="P313" i="26"/>
  <c r="P328" i="26"/>
  <c r="P323" i="26"/>
  <c r="P312" i="26"/>
  <c r="P322" i="26"/>
  <c r="P331" i="26"/>
  <c r="P327" i="26"/>
  <c r="P332" i="26"/>
  <c r="P330" i="26"/>
  <c r="P321" i="26"/>
  <c r="P326" i="26" s="1"/>
  <c r="P319" i="26"/>
  <c r="P311" i="26"/>
  <c r="P316" i="26" s="1"/>
  <c r="P317" i="26"/>
  <c r="P320" i="26" s="1"/>
  <c r="P318" i="26"/>
  <c r="P85" i="15"/>
  <c r="P83" i="15"/>
  <c r="P81" i="15"/>
  <c r="P76" i="15"/>
  <c r="P71" i="15"/>
  <c r="P68" i="15"/>
  <c r="P66" i="15"/>
  <c r="P75" i="15"/>
  <c r="P86" i="15"/>
  <c r="P84" i="15"/>
  <c r="P82" i="15"/>
  <c r="P80" i="15"/>
  <c r="P77" i="15"/>
  <c r="P78" i="15"/>
  <c r="P74" i="15"/>
  <c r="P70" i="15"/>
  <c r="P67" i="15"/>
  <c r="P64" i="15"/>
  <c r="P65" i="15"/>
  <c r="P72" i="15"/>
  <c r="P14" i="15"/>
  <c r="O59" i="14"/>
  <c r="O63" i="25"/>
  <c r="N57" i="14"/>
  <c r="O14" i="28" s="1"/>
  <c r="O12" i="28" s="1"/>
  <c r="P173" i="26"/>
  <c r="N20" i="26"/>
  <c r="N128" i="25"/>
  <c r="N135" i="25"/>
  <c r="N120" i="25"/>
  <c r="N115" i="25"/>
  <c r="N118" i="25"/>
  <c r="N114" i="25"/>
  <c r="N127" i="25"/>
  <c r="N117" i="25"/>
  <c r="N124" i="25"/>
  <c r="N136" i="25"/>
  <c r="N131" i="25"/>
  <c r="N116" i="25"/>
  <c r="N132" i="25"/>
  <c r="N137" i="25" s="1"/>
  <c r="N126" i="25"/>
  <c r="N129" i="25" s="1"/>
  <c r="N130" i="25"/>
  <c r="N122" i="25"/>
  <c r="N121" i="25"/>
  <c r="N133" i="25"/>
  <c r="N125" i="25"/>
  <c r="N134" i="25"/>
  <c r="N123" i="25"/>
  <c r="O15" i="24"/>
  <c r="O17" i="24"/>
  <c r="O26" i="24"/>
  <c r="O19" i="24"/>
  <c r="O32" i="24"/>
  <c r="O36" i="24"/>
  <c r="O18" i="24"/>
  <c r="O20" i="24" s="1"/>
  <c r="O28" i="24"/>
  <c r="O30" i="24" s="1"/>
  <c r="O16" i="24"/>
  <c r="O37" i="24"/>
  <c r="O21" i="24"/>
  <c r="O25" i="24"/>
  <c r="O31" i="24"/>
  <c r="O22" i="24"/>
  <c r="O33" i="24"/>
  <c r="O38" i="24" s="1"/>
  <c r="O34" i="24"/>
  <c r="O29" i="24"/>
  <c r="O35" i="24"/>
  <c r="O23" i="24"/>
  <c r="O27" i="24"/>
  <c r="O24" i="24"/>
  <c r="Q163" i="23"/>
  <c r="Q51" i="14"/>
  <c r="O123" i="24"/>
  <c r="O137" i="24"/>
  <c r="N218" i="25"/>
  <c r="Q277" i="24"/>
  <c r="R274" i="24"/>
  <c r="P423" i="26"/>
  <c r="P424" i="26" s="1"/>
  <c r="P409" i="26"/>
  <c r="P430" i="26"/>
  <c r="P413" i="26"/>
  <c r="P431" i="26"/>
  <c r="P419" i="26"/>
  <c r="P428" i="26"/>
  <c r="P410" i="26"/>
  <c r="P414" i="26" s="1"/>
  <c r="P425" i="26"/>
  <c r="P412" i="26"/>
  <c r="P417" i="26"/>
  <c r="P422" i="26"/>
  <c r="P415" i="26"/>
  <c r="P426" i="26"/>
  <c r="P416" i="26"/>
  <c r="P418" i="26" s="1"/>
  <c r="P429" i="26"/>
  <c r="P411" i="26"/>
  <c r="P427" i="26"/>
  <c r="P420" i="26"/>
  <c r="P421" i="26"/>
  <c r="O69" i="24"/>
  <c r="Q310" i="26"/>
  <c r="Q29" i="14"/>
  <c r="P284" i="26"/>
  <c r="P282" i="26"/>
  <c r="P274" i="26"/>
  <c r="P273" i="26"/>
  <c r="P265" i="26"/>
  <c r="P268" i="26"/>
  <c r="P271" i="26" s="1"/>
  <c r="P266" i="26"/>
  <c r="P267" i="26" s="1"/>
  <c r="P276" i="26"/>
  <c r="P264" i="26"/>
  <c r="P280" i="26"/>
  <c r="P272" i="26"/>
  <c r="P270" i="26"/>
  <c r="P283" i="26"/>
  <c r="P269" i="26"/>
  <c r="P279" i="26"/>
  <c r="P263" i="26"/>
  <c r="P262" i="26"/>
  <c r="P281" i="26"/>
  <c r="P275" i="26"/>
  <c r="P278" i="26"/>
  <c r="P277" i="26"/>
  <c r="Q174" i="26"/>
  <c r="R174" i="26" s="1"/>
  <c r="Q165" i="26"/>
  <c r="R165" i="26" s="1"/>
  <c r="Q175" i="26"/>
  <c r="Q181" i="26"/>
  <c r="R181" i="26" s="1"/>
  <c r="Q184" i="26"/>
  <c r="R184" i="26" s="1"/>
  <c r="Q167" i="26"/>
  <c r="R167" i="26" s="1"/>
  <c r="Q172" i="26"/>
  <c r="R172" i="26" s="1"/>
  <c r="Q177" i="26"/>
  <c r="R177" i="26" s="1"/>
  <c r="Q182" i="26"/>
  <c r="R182" i="26" s="1"/>
  <c r="Q166" i="26"/>
  <c r="R166" i="26" s="1"/>
  <c r="Q170" i="26"/>
  <c r="Q186" i="26"/>
  <c r="R186" i="26" s="1"/>
  <c r="Q185" i="26"/>
  <c r="R185" i="26" s="1"/>
  <c r="Q180" i="26"/>
  <c r="R180" i="26" s="1"/>
  <c r="Q178" i="26"/>
  <c r="R178" i="26" s="1"/>
  <c r="Q171" i="26"/>
  <c r="R171" i="26" s="1"/>
  <c r="Q164" i="26"/>
  <c r="R164" i="26" s="1"/>
  <c r="Q176" i="26"/>
  <c r="R176" i="26" s="1"/>
  <c r="Q168" i="26"/>
  <c r="R168" i="26" s="1"/>
  <c r="Q183" i="26"/>
  <c r="R183" i="26" s="1"/>
  <c r="R163" i="26"/>
  <c r="O235" i="25"/>
  <c r="O225" i="25"/>
  <c r="O227" i="25"/>
  <c r="O215" i="25"/>
  <c r="O230" i="25"/>
  <c r="O220" i="25"/>
  <c r="O219" i="25"/>
  <c r="O222" i="25" s="1"/>
  <c r="O217" i="25"/>
  <c r="O232" i="25"/>
  <c r="O214" i="25"/>
  <c r="O218" i="25" s="1"/>
  <c r="O223" i="25"/>
  <c r="O221" i="25"/>
  <c r="O231" i="25"/>
  <c r="O226" i="25"/>
  <c r="O216" i="25"/>
  <c r="O234" i="25"/>
  <c r="O229" i="25"/>
  <c r="O224" i="25"/>
  <c r="O228" i="25" s="1"/>
  <c r="O233" i="25"/>
  <c r="O213" i="25"/>
  <c r="Q271" i="25"/>
  <c r="Q267" i="25"/>
  <c r="R262" i="25"/>
  <c r="N38" i="26"/>
  <c r="M20" i="28"/>
  <c r="O61" i="14"/>
  <c r="O113" i="25"/>
  <c r="N36" i="28"/>
  <c r="N48" i="27" s="1" a="1"/>
  <c r="N48" i="27" s="1"/>
  <c r="N35" i="28"/>
  <c r="N47" i="27" s="1" a="1"/>
  <c r="N47" i="27" s="1"/>
  <c r="N34" i="28"/>
  <c r="N46" i="27" s="1" a="1"/>
  <c r="N46" i="27" s="1"/>
  <c r="N29" i="28"/>
  <c r="N41" i="27" s="1" a="1"/>
  <c r="N41" i="27" s="1"/>
  <c r="N25" i="28"/>
  <c r="N37" i="27" s="1" a="1"/>
  <c r="N37" i="27" s="1"/>
  <c r="N33" i="28"/>
  <c r="N45" i="27" s="1" a="1"/>
  <c r="N45" i="27" s="1"/>
  <c r="N27" i="28"/>
  <c r="N39" i="27" s="1" a="1"/>
  <c r="N39" i="27" s="1"/>
  <c r="N26" i="28"/>
  <c r="N38" i="27" s="1" a="1"/>
  <c r="N38" i="27" s="1"/>
  <c r="N18" i="28"/>
  <c r="N30" i="27" s="1" a="1"/>
  <c r="N30" i="27" s="1"/>
  <c r="N28" i="28"/>
  <c r="N40" i="27" s="1" a="1"/>
  <c r="N40" i="27" s="1"/>
  <c r="N19" i="28"/>
  <c r="N31" i="27" s="1" a="1"/>
  <c r="N31" i="27" s="1"/>
  <c r="N22" i="28"/>
  <c r="N34" i="27" s="1" a="1"/>
  <c r="N34" i="27" s="1"/>
  <c r="N21" i="28"/>
  <c r="N33" i="27" s="1" a="1"/>
  <c r="N33" i="27" s="1"/>
  <c r="N15" i="28"/>
  <c r="N27" i="27" s="1" a="1"/>
  <c r="N27" i="27" s="1"/>
  <c r="N32" i="28"/>
  <c r="N44" i="27" s="1" a="1"/>
  <c r="N44" i="27" s="1"/>
  <c r="N37" i="28"/>
  <c r="N49" i="27" s="1" a="1"/>
  <c r="N49" i="27" s="1"/>
  <c r="N16" i="28"/>
  <c r="N28" i="27" s="1" a="1"/>
  <c r="N28" i="27" s="1"/>
  <c r="N31" i="28"/>
  <c r="N43" i="27" s="1" a="1"/>
  <c r="N43" i="27" s="1"/>
  <c r="N23" i="28"/>
  <c r="N35" i="27" s="1" a="1"/>
  <c r="N35" i="27" s="1"/>
  <c r="N17" i="28"/>
  <c r="P174" i="23"/>
  <c r="P170" i="23"/>
  <c r="P180" i="23"/>
  <c r="P175" i="23"/>
  <c r="P179" i="23" s="1"/>
  <c r="P186" i="23"/>
  <c r="P165" i="23"/>
  <c r="P169" i="23" s="1"/>
  <c r="P184" i="23"/>
  <c r="P164" i="23"/>
  <c r="P168" i="23"/>
  <c r="P183" i="23"/>
  <c r="P171" i="23"/>
  <c r="P177" i="23"/>
  <c r="P166" i="23"/>
  <c r="P178" i="23"/>
  <c r="P167" i="23"/>
  <c r="P182" i="23"/>
  <c r="P176" i="23"/>
  <c r="P185" i="23"/>
  <c r="P172" i="23"/>
  <c r="P181" i="23"/>
  <c r="P130" i="23"/>
  <c r="P135" i="23"/>
  <c r="P120" i="23"/>
  <c r="P124" i="23"/>
  <c r="P115" i="23"/>
  <c r="P114" i="23"/>
  <c r="P128" i="23"/>
  <c r="P121" i="23"/>
  <c r="P123" i="23" s="1"/>
  <c r="P134" i="23"/>
  <c r="P126" i="23"/>
  <c r="P125" i="23"/>
  <c r="P136" i="23"/>
  <c r="P116" i="23"/>
  <c r="P117" i="23"/>
  <c r="P122" i="23"/>
  <c r="P127" i="23"/>
  <c r="P132" i="23"/>
  <c r="P131" i="23"/>
  <c r="P118" i="23"/>
  <c r="P133" i="23"/>
  <c r="P137" i="23"/>
  <c r="P119" i="23"/>
  <c r="P129" i="23"/>
  <c r="Q271" i="23"/>
  <c r="R268" i="23"/>
  <c r="O218" i="23"/>
  <c r="Q267" i="24"/>
  <c r="R263" i="24"/>
  <c r="N20" i="24"/>
  <c r="Q408" i="26"/>
  <c r="Q33" i="14"/>
  <c r="O418" i="26"/>
  <c r="Q261" i="26"/>
  <c r="Q27" i="14"/>
  <c r="P381" i="26"/>
  <c r="P374" i="26"/>
  <c r="P360" i="26"/>
  <c r="P370" i="26"/>
  <c r="P382" i="26"/>
  <c r="P378" i="26"/>
  <c r="P362" i="26"/>
  <c r="P366" i="26"/>
  <c r="P371" i="26"/>
  <c r="P361" i="26"/>
  <c r="P367" i="26"/>
  <c r="P377" i="26"/>
  <c r="P376" i="26"/>
  <c r="P380" i="26"/>
  <c r="P363" i="26"/>
  <c r="P372" i="26"/>
  <c r="P379" i="26"/>
  <c r="P373" i="26"/>
  <c r="P368" i="26"/>
  <c r="P364" i="26"/>
  <c r="P365" i="26"/>
  <c r="P65" i="14"/>
  <c r="P212" i="25"/>
  <c r="P119" i="26"/>
  <c r="M87" i="25"/>
  <c r="O63" i="14"/>
  <c r="O163" i="25"/>
  <c r="Q113" i="23"/>
  <c r="Q49" i="14"/>
  <c r="Q267" i="23"/>
  <c r="P14" i="23"/>
  <c r="Q222" i="26"/>
  <c r="R220" i="26"/>
  <c r="O222" i="23"/>
  <c r="Q137" i="15"/>
  <c r="Q271" i="24"/>
  <c r="N171" i="25"/>
  <c r="N175" i="25"/>
  <c r="N185" i="25"/>
  <c r="N166" i="25"/>
  <c r="N172" i="25"/>
  <c r="N167" i="25"/>
  <c r="N165" i="25"/>
  <c r="N178" i="25"/>
  <c r="N170" i="25"/>
  <c r="N173" i="25" s="1"/>
  <c r="N174" i="25"/>
  <c r="N179" i="25" s="1"/>
  <c r="N168" i="25"/>
  <c r="N180" i="25"/>
  <c r="N181" i="25"/>
  <c r="N177" i="25"/>
  <c r="N164" i="25"/>
  <c r="N169" i="25" s="1"/>
  <c r="N182" i="25"/>
  <c r="N187" i="25" s="1"/>
  <c r="N183" i="25"/>
  <c r="N176" i="25"/>
  <c r="N184" i="25"/>
  <c r="N186" i="25"/>
  <c r="Q359" i="26"/>
  <c r="Q31" i="14"/>
  <c r="O267" i="26"/>
  <c r="Q85" i="23"/>
  <c r="R85" i="23" s="1"/>
  <c r="Q74" i="23"/>
  <c r="R74" i="23" s="1"/>
  <c r="Q64" i="23"/>
  <c r="R64" i="23" s="1"/>
  <c r="Q70" i="23"/>
  <c r="Q67" i="23"/>
  <c r="R67" i="23" s="1"/>
  <c r="Q65" i="23"/>
  <c r="R65" i="23" s="1"/>
  <c r="Q78" i="23"/>
  <c r="R78" i="23" s="1"/>
  <c r="Q86" i="23"/>
  <c r="R86" i="23" s="1"/>
  <c r="Q77" i="23"/>
  <c r="R77" i="23" s="1"/>
  <c r="Q81" i="23"/>
  <c r="R81" i="23" s="1"/>
  <c r="Q68" i="23"/>
  <c r="R68" i="23" s="1"/>
  <c r="Q66" i="23"/>
  <c r="R66" i="23" s="1"/>
  <c r="Q75" i="23"/>
  <c r="R75" i="23" s="1"/>
  <c r="Q82" i="23"/>
  <c r="R82" i="23" s="1"/>
  <c r="Q76" i="23"/>
  <c r="R76" i="23" s="1"/>
  <c r="Q83" i="23"/>
  <c r="R83" i="23" s="1"/>
  <c r="Q80" i="23"/>
  <c r="Q84" i="23"/>
  <c r="R84" i="23" s="1"/>
  <c r="Q71" i="23"/>
  <c r="R71" i="23" s="1"/>
  <c r="Q72" i="23"/>
  <c r="R72" i="23" s="1"/>
  <c r="Q79" i="23"/>
  <c r="Q69" i="23"/>
  <c r="R63" i="23"/>
  <c r="N106" i="15"/>
  <c r="N104" i="15"/>
  <c r="N105" i="15"/>
  <c r="P92" i="15"/>
  <c r="O100" i="15"/>
  <c r="O103" i="15"/>
  <c r="O107" i="15"/>
  <c r="O110" i="15"/>
  <c r="O93" i="15"/>
  <c r="O94" i="15"/>
  <c r="O97" i="15"/>
  <c r="O99" i="15"/>
  <c r="O102" i="15"/>
  <c r="O109" i="15"/>
  <c r="O96" i="15"/>
  <c r="O111" i="15"/>
  <c r="N20" i="28" l="1"/>
  <c r="O27" i="27" a="1"/>
  <c r="O27" i="27" s="1"/>
  <c r="P69" i="15"/>
  <c r="P87" i="15"/>
  <c r="N24" i="28"/>
  <c r="N38" i="28"/>
  <c r="O26" i="27" a="1"/>
  <c r="O26" i="27" s="1"/>
  <c r="O20" i="15"/>
  <c r="N29" i="27" a="1"/>
  <c r="N29" i="27" s="1"/>
  <c r="P73" i="15"/>
  <c r="O30" i="15"/>
  <c r="P79" i="15"/>
  <c r="O38" i="15"/>
  <c r="O24" i="15"/>
  <c r="O66" i="25"/>
  <c r="O14" i="25"/>
  <c r="O71" i="25"/>
  <c r="O64" i="25"/>
  <c r="O86" i="25"/>
  <c r="O83" i="25"/>
  <c r="O74" i="25"/>
  <c r="O79" i="25" s="1"/>
  <c r="O84" i="25"/>
  <c r="O87" i="25" s="1"/>
  <c r="O81" i="25"/>
  <c r="O82" i="25"/>
  <c r="O85" i="25"/>
  <c r="O80" i="25"/>
  <c r="O65" i="25"/>
  <c r="O75" i="25"/>
  <c r="O76" i="25"/>
  <c r="O67" i="25"/>
  <c r="O72" i="25"/>
  <c r="O77" i="25"/>
  <c r="O78" i="25"/>
  <c r="O70" i="25"/>
  <c r="O68" i="25"/>
  <c r="N119" i="25"/>
  <c r="P59" i="14"/>
  <c r="P63" i="25"/>
  <c r="O57" i="14"/>
  <c r="P14" i="28" s="1"/>
  <c r="P12" i="28" s="1"/>
  <c r="Q229" i="23"/>
  <c r="R229" i="23" s="1"/>
  <c r="Q231" i="23"/>
  <c r="R231" i="23" s="1"/>
  <c r="Q224" i="23"/>
  <c r="R224" i="23" s="1"/>
  <c r="Q226" i="23"/>
  <c r="R226" i="23" s="1"/>
  <c r="Q233" i="23"/>
  <c r="R233" i="23" s="1"/>
  <c r="Q219" i="23"/>
  <c r="R219" i="23" s="1"/>
  <c r="Q221" i="23"/>
  <c r="R221" i="23" s="1"/>
  <c r="Q230" i="23"/>
  <c r="R230" i="23" s="1"/>
  <c r="Q235" i="23"/>
  <c r="R235" i="23" s="1"/>
  <c r="Q215" i="23"/>
  <c r="R215" i="23" s="1"/>
  <c r="Q216" i="23"/>
  <c r="Q223" i="23"/>
  <c r="Q232" i="23"/>
  <c r="R232" i="23" s="1"/>
  <c r="Q213" i="23"/>
  <c r="R213" i="23" s="1"/>
  <c r="Q227" i="23"/>
  <c r="R227" i="23" s="1"/>
  <c r="Q220" i="23"/>
  <c r="R220" i="23" s="1"/>
  <c r="Q217" i="23"/>
  <c r="R217" i="23" s="1"/>
  <c r="Q234" i="23"/>
  <c r="R234" i="23" s="1"/>
  <c r="Q214" i="23"/>
  <c r="R214" i="23" s="1"/>
  <c r="Q225" i="23"/>
  <c r="R225" i="23" s="1"/>
  <c r="Q222" i="23"/>
  <c r="R212" i="23"/>
  <c r="Q73" i="23"/>
  <c r="R70" i="23"/>
  <c r="P63" i="14"/>
  <c r="P163" i="25"/>
  <c r="P173" i="23"/>
  <c r="Q169" i="26"/>
  <c r="P17" i="15"/>
  <c r="P18" i="15"/>
  <c r="P16" i="15"/>
  <c r="P19" i="15"/>
  <c r="P34" i="15"/>
  <c r="P36" i="15"/>
  <c r="P31" i="15"/>
  <c r="P37" i="15"/>
  <c r="P35" i="15"/>
  <c r="P26" i="15"/>
  <c r="P32" i="15"/>
  <c r="P29" i="15"/>
  <c r="P28" i="15"/>
  <c r="P15" i="15"/>
  <c r="P27" i="15"/>
  <c r="P23" i="15"/>
  <c r="P25" i="15"/>
  <c r="P22" i="15"/>
  <c r="P21" i="15"/>
  <c r="P33" i="15"/>
  <c r="Q14" i="26"/>
  <c r="Q68" i="26"/>
  <c r="R68" i="26" s="1"/>
  <c r="Q81" i="26"/>
  <c r="R81" i="26" s="1"/>
  <c r="Q80" i="26"/>
  <c r="R80" i="26" s="1"/>
  <c r="Q74" i="26"/>
  <c r="R74" i="26" s="1"/>
  <c r="Q71" i="26"/>
  <c r="R71" i="26" s="1"/>
  <c r="Q70" i="26"/>
  <c r="R70" i="26" s="1"/>
  <c r="Q65" i="26"/>
  <c r="R65" i="26" s="1"/>
  <c r="Q66" i="26"/>
  <c r="R66" i="26" s="1"/>
  <c r="Q84" i="26"/>
  <c r="R84" i="26" s="1"/>
  <c r="Q76" i="26"/>
  <c r="R76" i="26" s="1"/>
  <c r="Q83" i="26"/>
  <c r="R83" i="26" s="1"/>
  <c r="Q64" i="26"/>
  <c r="R64" i="26" s="1"/>
  <c r="Q77" i="26"/>
  <c r="R77" i="26" s="1"/>
  <c r="Q75" i="26"/>
  <c r="R75" i="26" s="1"/>
  <c r="Q67" i="26"/>
  <c r="R67" i="26" s="1"/>
  <c r="Q82" i="26"/>
  <c r="R82" i="26" s="1"/>
  <c r="Q86" i="26"/>
  <c r="R86" i="26" s="1"/>
  <c r="Q85" i="26"/>
  <c r="R85" i="26" s="1"/>
  <c r="Q72" i="26"/>
  <c r="Q78" i="26"/>
  <c r="R78" i="26" s="1"/>
  <c r="Q79" i="26"/>
  <c r="R63" i="26"/>
  <c r="Q125" i="24"/>
  <c r="R125" i="24" s="1"/>
  <c r="Q135" i="24"/>
  <c r="R135" i="24" s="1"/>
  <c r="Q134" i="24"/>
  <c r="R134" i="24" s="1"/>
  <c r="Q130" i="24"/>
  <c r="R130" i="24" s="1"/>
  <c r="Q120" i="24"/>
  <c r="R120" i="24" s="1"/>
  <c r="Q133" i="24"/>
  <c r="R133" i="24" s="1"/>
  <c r="Q116" i="24"/>
  <c r="R116" i="24" s="1"/>
  <c r="Q131" i="24"/>
  <c r="R131" i="24" s="1"/>
  <c r="Q115" i="24"/>
  <c r="R115" i="24" s="1"/>
  <c r="Q118" i="24"/>
  <c r="R118" i="24" s="1"/>
  <c r="Q126" i="24"/>
  <c r="R126" i="24" s="1"/>
  <c r="Q127" i="24"/>
  <c r="Q132" i="24"/>
  <c r="R132" i="24" s="1"/>
  <c r="Q128" i="24"/>
  <c r="R128" i="24" s="1"/>
  <c r="Q121" i="24"/>
  <c r="R121" i="24" s="1"/>
  <c r="Q136" i="24"/>
  <c r="Q117" i="24"/>
  <c r="R117" i="24" s="1"/>
  <c r="Q122" i="24"/>
  <c r="Q114" i="24"/>
  <c r="R114" i="24" s="1"/>
  <c r="Q124" i="24"/>
  <c r="R124" i="24" s="1"/>
  <c r="R113" i="24"/>
  <c r="Q370" i="26"/>
  <c r="R370" i="26" s="1"/>
  <c r="Q368" i="26"/>
  <c r="R368" i="26" s="1"/>
  <c r="Q377" i="26"/>
  <c r="R377" i="26" s="1"/>
  <c r="Q360" i="26"/>
  <c r="Q382" i="26"/>
  <c r="R382" i="26" s="1"/>
  <c r="Q380" i="26"/>
  <c r="R380" i="26" s="1"/>
  <c r="Q364" i="26"/>
  <c r="R364" i="26" s="1"/>
  <c r="Q381" i="26"/>
  <c r="R381" i="26" s="1"/>
  <c r="Q379" i="26"/>
  <c r="R379" i="26" s="1"/>
  <c r="Q361" i="26"/>
  <c r="R361" i="26" s="1"/>
  <c r="Q378" i="26"/>
  <c r="R378" i="26" s="1"/>
  <c r="Q367" i="26"/>
  <c r="R367" i="26" s="1"/>
  <c r="Q366" i="26"/>
  <c r="R366" i="26" s="1"/>
  <c r="Q374" i="26"/>
  <c r="R374" i="26" s="1"/>
  <c r="Q373" i="26"/>
  <c r="R373" i="26" s="1"/>
  <c r="Q372" i="26"/>
  <c r="R372" i="26" s="1"/>
  <c r="Q376" i="26"/>
  <c r="R376" i="26" s="1"/>
  <c r="Q363" i="26"/>
  <c r="R363" i="26" s="1"/>
  <c r="Q371" i="26"/>
  <c r="R371" i="26" s="1"/>
  <c r="Q362" i="26"/>
  <c r="R362" i="26" s="1"/>
  <c r="R359" i="26"/>
  <c r="P15" i="24"/>
  <c r="P20" i="24" s="1"/>
  <c r="P36" i="24"/>
  <c r="P27" i="24"/>
  <c r="P30" i="24" s="1"/>
  <c r="P22" i="24"/>
  <c r="P25" i="24"/>
  <c r="P23" i="24"/>
  <c r="P29" i="24"/>
  <c r="P37" i="24"/>
  <c r="P35" i="24"/>
  <c r="P18" i="24"/>
  <c r="P31" i="24"/>
  <c r="P38" i="24" s="1"/>
  <c r="P17" i="24"/>
  <c r="P32" i="24"/>
  <c r="P16" i="24"/>
  <c r="P21" i="24"/>
  <c r="P24" i="24" s="1"/>
  <c r="P26" i="24"/>
  <c r="P34" i="24"/>
  <c r="P19" i="24"/>
  <c r="P33" i="24"/>
  <c r="P28" i="24"/>
  <c r="P375" i="26"/>
  <c r="O135" i="25"/>
  <c r="O137" i="25" s="1"/>
  <c r="O121" i="25"/>
  <c r="O130" i="25"/>
  <c r="O136" i="25"/>
  <c r="O120" i="25"/>
  <c r="O116" i="25"/>
  <c r="O126" i="25"/>
  <c r="O115" i="25"/>
  <c r="O125" i="25"/>
  <c r="O129" i="25" s="1"/>
  <c r="O118" i="25"/>
  <c r="O131" i="25"/>
  <c r="O133" i="25"/>
  <c r="O134" i="25"/>
  <c r="O128" i="25"/>
  <c r="O122" i="25"/>
  <c r="O127" i="25"/>
  <c r="O114" i="25"/>
  <c r="O119" i="25" s="1"/>
  <c r="O124" i="25"/>
  <c r="O117" i="25"/>
  <c r="O132" i="25"/>
  <c r="Q114" i="23"/>
  <c r="R114" i="23" s="1"/>
  <c r="Q117" i="23"/>
  <c r="R117" i="23" s="1"/>
  <c r="Q132" i="23"/>
  <c r="R132" i="23" s="1"/>
  <c r="Q133" i="23"/>
  <c r="R133" i="23" s="1"/>
  <c r="Q134" i="23"/>
  <c r="R134" i="23" s="1"/>
  <c r="Q122" i="23"/>
  <c r="R122" i="23" s="1"/>
  <c r="Q130" i="23"/>
  <c r="R130" i="23" s="1"/>
  <c r="Q136" i="23"/>
  <c r="R136" i="23" s="1"/>
  <c r="Q127" i="23"/>
  <c r="R127" i="23" s="1"/>
  <c r="Q121" i="23"/>
  <c r="R121" i="23" s="1"/>
  <c r="Q120" i="23"/>
  <c r="R120" i="23" s="1"/>
  <c r="Q118" i="23"/>
  <c r="R118" i="23" s="1"/>
  <c r="Q135" i="23"/>
  <c r="R135" i="23" s="1"/>
  <c r="Q125" i="23"/>
  <c r="R125" i="23" s="1"/>
  <c r="Q116" i="23"/>
  <c r="R116" i="23" s="1"/>
  <c r="Q131" i="23"/>
  <c r="R131" i="23" s="1"/>
  <c r="Q128" i="23"/>
  <c r="R128" i="23" s="1"/>
  <c r="Q115" i="23"/>
  <c r="R115" i="23" s="1"/>
  <c r="Q124" i="23"/>
  <c r="R124" i="23" s="1"/>
  <c r="Q126" i="23"/>
  <c r="R126" i="23" s="1"/>
  <c r="R113" i="23"/>
  <c r="Q410" i="26"/>
  <c r="R410" i="26" s="1"/>
  <c r="Q419" i="26"/>
  <c r="R419" i="26" s="1"/>
  <c r="Q422" i="26"/>
  <c r="R422" i="26" s="1"/>
  <c r="Q429" i="26"/>
  <c r="R429" i="26" s="1"/>
  <c r="Q415" i="26"/>
  <c r="R415" i="26" s="1"/>
  <c r="Q417" i="26"/>
  <c r="R417" i="26" s="1"/>
  <c r="Q431" i="26"/>
  <c r="R431" i="26" s="1"/>
  <c r="Q412" i="26"/>
  <c r="R412" i="26" s="1"/>
  <c r="Q409" i="26"/>
  <c r="R409" i="26" s="1"/>
  <c r="Q430" i="26"/>
  <c r="R430" i="26" s="1"/>
  <c r="Q413" i="26"/>
  <c r="R413" i="26" s="1"/>
  <c r="Q423" i="26"/>
  <c r="R423" i="26" s="1"/>
  <c r="Q421" i="26"/>
  <c r="Q425" i="26"/>
  <c r="R425" i="26" s="1"/>
  <c r="Q426" i="26"/>
  <c r="R426" i="26" s="1"/>
  <c r="Q420" i="26"/>
  <c r="R420" i="26" s="1"/>
  <c r="Q411" i="26"/>
  <c r="R411" i="26" s="1"/>
  <c r="Q428" i="26"/>
  <c r="R428" i="26" s="1"/>
  <c r="Q416" i="26"/>
  <c r="Q427" i="26"/>
  <c r="R427" i="26" s="1"/>
  <c r="R408" i="26"/>
  <c r="Q119" i="26"/>
  <c r="O175" i="25"/>
  <c r="O171" i="25"/>
  <c r="O184" i="25"/>
  <c r="O166" i="25"/>
  <c r="O167" i="25"/>
  <c r="O180" i="25"/>
  <c r="O176" i="25"/>
  <c r="O168" i="25"/>
  <c r="O172" i="25"/>
  <c r="O164" i="25"/>
  <c r="O169" i="25" s="1"/>
  <c r="O178" i="25"/>
  <c r="O170" i="25"/>
  <c r="O185" i="25"/>
  <c r="O181" i="25"/>
  <c r="O177" i="25"/>
  <c r="O165" i="25"/>
  <c r="O183" i="25"/>
  <c r="O174" i="25"/>
  <c r="O179" i="25" s="1"/>
  <c r="O186" i="25"/>
  <c r="O182" i="25"/>
  <c r="O187" i="25" s="1"/>
  <c r="Q87" i="23"/>
  <c r="R80" i="23"/>
  <c r="P369" i="26"/>
  <c r="P61" i="14"/>
  <c r="P113" i="25"/>
  <c r="O236" i="25"/>
  <c r="Q173" i="26"/>
  <c r="R170" i="26"/>
  <c r="Q179" i="26"/>
  <c r="R175" i="26"/>
  <c r="P69" i="24"/>
  <c r="P73" i="24"/>
  <c r="N69" i="25"/>
  <c r="N25" i="25"/>
  <c r="N35" i="25"/>
  <c r="N27" i="25"/>
  <c r="N33" i="25"/>
  <c r="N36" i="25"/>
  <c r="N22" i="25"/>
  <c r="N18" i="25"/>
  <c r="N20" i="25" s="1"/>
  <c r="N26" i="25"/>
  <c r="N15" i="25"/>
  <c r="N34" i="25"/>
  <c r="N17" i="25"/>
  <c r="N29" i="25"/>
  <c r="N19" i="25"/>
  <c r="N31" i="25"/>
  <c r="N28" i="25"/>
  <c r="N30" i="25" s="1"/>
  <c r="N23" i="25"/>
  <c r="N37" i="25"/>
  <c r="N32" i="25"/>
  <c r="N21" i="25"/>
  <c r="N24" i="25" s="1"/>
  <c r="N16" i="25"/>
  <c r="N38" i="25"/>
  <c r="P69" i="26"/>
  <c r="Q315" i="26"/>
  <c r="R315" i="26" s="1"/>
  <c r="Q327" i="26"/>
  <c r="R327" i="26" s="1"/>
  <c r="Q329" i="26"/>
  <c r="R329" i="26" s="1"/>
  <c r="Q322" i="26"/>
  <c r="R322" i="26" s="1"/>
  <c r="Q324" i="26"/>
  <c r="R324" i="26" s="1"/>
  <c r="Q331" i="26"/>
  <c r="R331" i="26" s="1"/>
  <c r="Q328" i="26"/>
  <c r="R328" i="26" s="1"/>
  <c r="Q330" i="26"/>
  <c r="R330" i="26" s="1"/>
  <c r="Q313" i="26"/>
  <c r="R313" i="26" s="1"/>
  <c r="Q319" i="26"/>
  <c r="R319" i="26" s="1"/>
  <c r="Q321" i="26"/>
  <c r="R321" i="26" s="1"/>
  <c r="Q314" i="26"/>
  <c r="R314" i="26" s="1"/>
  <c r="Q317" i="26"/>
  <c r="R317" i="26" s="1"/>
  <c r="Q332" i="26"/>
  <c r="R332" i="26" s="1"/>
  <c r="Q311" i="26"/>
  <c r="R311" i="26" s="1"/>
  <c r="Q323" i="26"/>
  <c r="R323" i="26" s="1"/>
  <c r="Q312" i="26"/>
  <c r="R312" i="26" s="1"/>
  <c r="Q318" i="26"/>
  <c r="R318" i="26" s="1"/>
  <c r="Q325" i="26"/>
  <c r="R325" i="26" s="1"/>
  <c r="Q333" i="26"/>
  <c r="R333" i="26" s="1"/>
  <c r="Q316" i="26"/>
  <c r="Q320" i="26"/>
  <c r="R310" i="26"/>
  <c r="O29" i="28"/>
  <c r="O41" i="27" s="1" a="1"/>
  <c r="O41" i="27" s="1"/>
  <c r="O34" i="28"/>
  <c r="O46" i="27" s="1" a="1"/>
  <c r="O46" i="27" s="1"/>
  <c r="O19" i="28"/>
  <c r="O31" i="27" s="1" a="1"/>
  <c r="O31" i="27" s="1"/>
  <c r="O17" i="28"/>
  <c r="O29" i="27" s="1" a="1"/>
  <c r="O29" i="27" s="1"/>
  <c r="O22" i="28"/>
  <c r="O34" i="27" s="1" a="1"/>
  <c r="O34" i="27" s="1"/>
  <c r="O27" i="28"/>
  <c r="O39" i="27" s="1" a="1"/>
  <c r="O39" i="27" s="1"/>
  <c r="O32" i="28"/>
  <c r="O44" i="27" s="1" a="1"/>
  <c r="O44" i="27" s="1"/>
  <c r="O33" i="28"/>
  <c r="O45" i="27" s="1" a="1"/>
  <c r="O45" i="27" s="1"/>
  <c r="O35" i="28"/>
  <c r="O47" i="27" s="1" a="1"/>
  <c r="O47" i="27" s="1"/>
  <c r="O18" i="28"/>
  <c r="O30" i="27" s="1" a="1"/>
  <c r="O30" i="27" s="1"/>
  <c r="O21" i="28"/>
  <c r="O24" i="28" s="1"/>
  <c r="O37" i="28"/>
  <c r="O49" i="27" s="1" a="1"/>
  <c r="O49" i="27" s="1"/>
  <c r="O28" i="28"/>
  <c r="O40" i="27" s="1" a="1"/>
  <c r="O40" i="27" s="1"/>
  <c r="O31" i="28"/>
  <c r="O25" i="28"/>
  <c r="O37" i="27" s="1" a="1"/>
  <c r="O37" i="27" s="1"/>
  <c r="O15" i="28"/>
  <c r="O36" i="28"/>
  <c r="O48" i="27" s="1" a="1"/>
  <c r="O48" i="27" s="1"/>
  <c r="O26" i="28"/>
  <c r="O38" i="27" s="1" a="1"/>
  <c r="O38" i="27" s="1"/>
  <c r="O16" i="28"/>
  <c r="O28" i="27" s="1" a="1"/>
  <c r="O28" i="27" s="1"/>
  <c r="O23" i="28"/>
  <c r="O35" i="27" s="1" a="1"/>
  <c r="O35" i="27" s="1"/>
  <c r="Q129" i="26"/>
  <c r="Q72" i="15"/>
  <c r="R72" i="15" s="1"/>
  <c r="Q70" i="15"/>
  <c r="R70" i="15" s="1"/>
  <c r="Q65" i="15"/>
  <c r="R65" i="15" s="1"/>
  <c r="Q85" i="15"/>
  <c r="R85" i="15" s="1"/>
  <c r="Q83" i="15"/>
  <c r="R83" i="15" s="1"/>
  <c r="Q81" i="15"/>
  <c r="R81" i="15" s="1"/>
  <c r="Q76" i="15"/>
  <c r="R76" i="15" s="1"/>
  <c r="Q68" i="15"/>
  <c r="R68" i="15" s="1"/>
  <c r="Q67" i="15"/>
  <c r="R67" i="15" s="1"/>
  <c r="Q75" i="15"/>
  <c r="R75" i="15" s="1"/>
  <c r="Q66" i="15"/>
  <c r="R66" i="15" s="1"/>
  <c r="Q71" i="15"/>
  <c r="R71" i="15" s="1"/>
  <c r="Q86" i="15"/>
  <c r="R86" i="15" s="1"/>
  <c r="Q78" i="15"/>
  <c r="R78" i="15" s="1"/>
  <c r="Q84" i="15"/>
  <c r="R84" i="15" s="1"/>
  <c r="Q82" i="15"/>
  <c r="R82" i="15" s="1"/>
  <c r="Q74" i="15"/>
  <c r="R74" i="15" s="1"/>
  <c r="Q77" i="15"/>
  <c r="R77" i="15" s="1"/>
  <c r="Q80" i="15"/>
  <c r="R80" i="15" s="1"/>
  <c r="Q64" i="15"/>
  <c r="R64" i="15" s="1"/>
  <c r="R63" i="15"/>
  <c r="Q14" i="15"/>
  <c r="Q14" i="23"/>
  <c r="P33" i="23"/>
  <c r="P19" i="23"/>
  <c r="P27" i="23"/>
  <c r="P16" i="23"/>
  <c r="P37" i="23"/>
  <c r="P28" i="23"/>
  <c r="P31" i="23"/>
  <c r="P38" i="23" s="1"/>
  <c r="P15" i="23"/>
  <c r="P20" i="23" s="1"/>
  <c r="P32" i="23"/>
  <c r="P22" i="23"/>
  <c r="P18" i="23"/>
  <c r="P25" i="23"/>
  <c r="P30" i="23" s="1"/>
  <c r="P34" i="23"/>
  <c r="P36" i="23"/>
  <c r="P23" i="23"/>
  <c r="P26" i="23"/>
  <c r="P29" i="23"/>
  <c r="P35" i="23"/>
  <c r="P21" i="23"/>
  <c r="P24" i="23" s="1"/>
  <c r="P17" i="23"/>
  <c r="P223" i="25"/>
  <c r="P233" i="25"/>
  <c r="P215" i="25"/>
  <c r="P226" i="25"/>
  <c r="P234" i="25"/>
  <c r="P227" i="25"/>
  <c r="P219" i="25"/>
  <c r="P221" i="25"/>
  <c r="P216" i="25"/>
  <c r="P220" i="25"/>
  <c r="P222" i="25" s="1"/>
  <c r="P217" i="25"/>
  <c r="P231" i="25"/>
  <c r="P232" i="25"/>
  <c r="P229" i="25"/>
  <c r="P235" i="25"/>
  <c r="P224" i="25"/>
  <c r="P228" i="25" s="1"/>
  <c r="P214" i="25"/>
  <c r="P225" i="25"/>
  <c r="P213" i="25"/>
  <c r="P230" i="25"/>
  <c r="Q272" i="26"/>
  <c r="R272" i="26" s="1"/>
  <c r="Q280" i="26"/>
  <c r="R280" i="26" s="1"/>
  <c r="Q279" i="26"/>
  <c r="R279" i="26" s="1"/>
  <c r="Q263" i="26"/>
  <c r="R263" i="26" s="1"/>
  <c r="Q273" i="26"/>
  <c r="R273" i="26" s="1"/>
  <c r="Q270" i="26"/>
  <c r="R270" i="26" s="1"/>
  <c r="Q268" i="26"/>
  <c r="R268" i="26" s="1"/>
  <c r="Q278" i="26"/>
  <c r="R278" i="26" s="1"/>
  <c r="Q265" i="26"/>
  <c r="R265" i="26" s="1"/>
  <c r="Q281" i="26"/>
  <c r="R281" i="26" s="1"/>
  <c r="Q283" i="26"/>
  <c r="R283" i="26" s="1"/>
  <c r="Q275" i="26"/>
  <c r="R275" i="26" s="1"/>
  <c r="Q269" i="26"/>
  <c r="R269" i="26" s="1"/>
  <c r="Q282" i="26"/>
  <c r="R282" i="26" s="1"/>
  <c r="Q264" i="26"/>
  <c r="R264" i="26" s="1"/>
  <c r="Q262" i="26"/>
  <c r="R262" i="26" s="1"/>
  <c r="Q274" i="26"/>
  <c r="R274" i="26" s="1"/>
  <c r="Q266" i="26"/>
  <c r="R266" i="26" s="1"/>
  <c r="Q276" i="26"/>
  <c r="R276" i="26" s="1"/>
  <c r="Q284" i="26"/>
  <c r="R284" i="26" s="1"/>
  <c r="Q267" i="26"/>
  <c r="Q277" i="26"/>
  <c r="R261" i="26"/>
  <c r="Q137" i="26"/>
  <c r="O38" i="26"/>
  <c r="P228" i="23"/>
  <c r="P26" i="27" a="1"/>
  <c r="P26" i="27" s="1"/>
  <c r="P31" i="26"/>
  <c r="P21" i="26"/>
  <c r="P26" i="26"/>
  <c r="P36" i="26"/>
  <c r="P19" i="26"/>
  <c r="P15" i="26"/>
  <c r="P34" i="26"/>
  <c r="P27" i="26"/>
  <c r="P16" i="26"/>
  <c r="P33" i="26"/>
  <c r="P29" i="26"/>
  <c r="P17" i="26"/>
  <c r="P23" i="26"/>
  <c r="P32" i="26"/>
  <c r="P25" i="26"/>
  <c r="P37" i="26"/>
  <c r="P28" i="26"/>
  <c r="P35" i="26"/>
  <c r="P22" i="26"/>
  <c r="P18" i="26"/>
  <c r="P87" i="24"/>
  <c r="O30" i="26"/>
  <c r="Q212" i="25"/>
  <c r="Q65" i="14"/>
  <c r="N30" i="28"/>
  <c r="Q176" i="23"/>
  <c r="R176" i="23" s="1"/>
  <c r="Q170" i="23"/>
  <c r="R170" i="23" s="1"/>
  <c r="Q166" i="23"/>
  <c r="R166" i="23" s="1"/>
  <c r="Q185" i="23"/>
  <c r="R185" i="23" s="1"/>
  <c r="Q180" i="23"/>
  <c r="R180" i="23" s="1"/>
  <c r="Q175" i="23"/>
  <c r="R175" i="23" s="1"/>
  <c r="Q174" i="23"/>
  <c r="R174" i="23" s="1"/>
  <c r="Q181" i="23"/>
  <c r="R181" i="23" s="1"/>
  <c r="Q165" i="23"/>
  <c r="R165" i="23" s="1"/>
  <c r="Q171" i="23"/>
  <c r="R171" i="23" s="1"/>
  <c r="Q177" i="23"/>
  <c r="R177" i="23" s="1"/>
  <c r="Q182" i="23"/>
  <c r="R182" i="23" s="1"/>
  <c r="Q164" i="23"/>
  <c r="R164" i="23" s="1"/>
  <c r="Q183" i="23"/>
  <c r="R183" i="23" s="1"/>
  <c r="Q184" i="23"/>
  <c r="R184" i="23" s="1"/>
  <c r="Q172" i="23"/>
  <c r="Q178" i="23"/>
  <c r="R178" i="23" s="1"/>
  <c r="Q167" i="23"/>
  <c r="R167" i="23" s="1"/>
  <c r="Q186" i="23"/>
  <c r="R186" i="23" s="1"/>
  <c r="Q168" i="23"/>
  <c r="R168" i="23" s="1"/>
  <c r="R163" i="23"/>
  <c r="Q123" i="26"/>
  <c r="Q78" i="24"/>
  <c r="R78" i="24" s="1"/>
  <c r="Q64" i="24"/>
  <c r="R64" i="24" s="1"/>
  <c r="Q86" i="24"/>
  <c r="R86" i="24" s="1"/>
  <c r="Q82" i="24"/>
  <c r="R82" i="24" s="1"/>
  <c r="Q84" i="24"/>
  <c r="R84" i="24" s="1"/>
  <c r="Q68" i="24"/>
  <c r="R68" i="24" s="1"/>
  <c r="Q74" i="24"/>
  <c r="R74" i="24" s="1"/>
  <c r="Q77" i="24"/>
  <c r="R77" i="24" s="1"/>
  <c r="Q14" i="24"/>
  <c r="Q67" i="24"/>
  <c r="R67" i="24" s="1"/>
  <c r="Q70" i="24"/>
  <c r="Q75" i="24"/>
  <c r="R75" i="24" s="1"/>
  <c r="Q81" i="24"/>
  <c r="R81" i="24" s="1"/>
  <c r="Q76" i="24"/>
  <c r="R76" i="24" s="1"/>
  <c r="Q72" i="24"/>
  <c r="R72" i="24" s="1"/>
  <c r="Q83" i="24"/>
  <c r="R83" i="24" s="1"/>
  <c r="Q66" i="24"/>
  <c r="R66" i="24" s="1"/>
  <c r="Q65" i="24"/>
  <c r="Q85" i="24"/>
  <c r="R85" i="24" s="1"/>
  <c r="Q80" i="24"/>
  <c r="Q71" i="24"/>
  <c r="R71" i="24" s="1"/>
  <c r="R63" i="24"/>
  <c r="Q11" i="14"/>
  <c r="O24" i="26"/>
  <c r="P94" i="15"/>
  <c r="P96" i="15"/>
  <c r="P97" i="15"/>
  <c r="P111" i="15"/>
  <c r="P103" i="15"/>
  <c r="P107" i="15"/>
  <c r="P99" i="15"/>
  <c r="P100" i="15"/>
  <c r="P102" i="15"/>
  <c r="P109" i="15"/>
  <c r="P110" i="15"/>
  <c r="P93" i="15"/>
  <c r="Q92" i="15"/>
  <c r="O105" i="15"/>
  <c r="O106" i="15"/>
  <c r="O104" i="15"/>
  <c r="O33" i="27" l="1" a="1"/>
  <c r="O33" i="27" s="1"/>
  <c r="O38" i="28"/>
  <c r="O30" i="28"/>
  <c r="O43" i="27" a="1"/>
  <c r="O43" i="27" s="1"/>
  <c r="P30" i="15"/>
  <c r="P38" i="15"/>
  <c r="P24" i="15"/>
  <c r="P20" i="15"/>
  <c r="Q137" i="24"/>
  <c r="R136" i="24"/>
  <c r="Q37" i="26"/>
  <c r="Q23" i="26"/>
  <c r="Q32" i="26"/>
  <c r="Q34" i="26"/>
  <c r="Q27" i="26"/>
  <c r="Q30" i="26" s="1"/>
  <c r="Q17" i="26"/>
  <c r="Q22" i="26"/>
  <c r="Q21" i="26"/>
  <c r="Q31" i="26"/>
  <c r="Q26" i="26"/>
  <c r="Q15" i="26"/>
  <c r="Q18" i="26"/>
  <c r="Q19" i="26"/>
  <c r="Q35" i="26"/>
  <c r="Q33" i="26"/>
  <c r="Q29" i="26"/>
  <c r="Q36" i="26"/>
  <c r="Q28" i="26"/>
  <c r="Q16" i="26"/>
  <c r="Q25" i="26"/>
  <c r="R14" i="26"/>
  <c r="Q123" i="23"/>
  <c r="Q87" i="26"/>
  <c r="Q218" i="23"/>
  <c r="R216" i="23"/>
  <c r="P218" i="25"/>
  <c r="Q69" i="24"/>
  <c r="R65" i="24"/>
  <c r="P30" i="26"/>
  <c r="Q69" i="15"/>
  <c r="Q137" i="23"/>
  <c r="O123" i="25"/>
  <c r="Q119" i="24"/>
  <c r="Q69" i="26"/>
  <c r="P181" i="25"/>
  <c r="P167" i="25"/>
  <c r="P177" i="25"/>
  <c r="P184" i="25"/>
  <c r="P165" i="25"/>
  <c r="P186" i="25"/>
  <c r="P174" i="25"/>
  <c r="P179" i="25" s="1"/>
  <c r="P182" i="25"/>
  <c r="P183" i="25"/>
  <c r="P166" i="25"/>
  <c r="P178" i="25"/>
  <c r="P168" i="25"/>
  <c r="P180" i="25"/>
  <c r="P164" i="25"/>
  <c r="P185" i="25"/>
  <c r="P170" i="25"/>
  <c r="P171" i="25"/>
  <c r="P172" i="25"/>
  <c r="P176" i="25"/>
  <c r="P175" i="25"/>
  <c r="P169" i="25"/>
  <c r="O69" i="25"/>
  <c r="Q73" i="24"/>
  <c r="R70" i="24"/>
  <c r="P24" i="26"/>
  <c r="Q37" i="24"/>
  <c r="R37" i="24" s="1"/>
  <c r="Q34" i="24"/>
  <c r="R34" i="24" s="1"/>
  <c r="Q35" i="24"/>
  <c r="R35" i="24" s="1"/>
  <c r="Q22" i="24"/>
  <c r="R22" i="24" s="1"/>
  <c r="Q16" i="24"/>
  <c r="R16" i="24" s="1"/>
  <c r="Q31" i="24"/>
  <c r="R31" i="24" s="1"/>
  <c r="Q32" i="24"/>
  <c r="R32" i="24" s="1"/>
  <c r="Q19" i="24"/>
  <c r="Q21" i="24"/>
  <c r="R21" i="24" s="1"/>
  <c r="Q18" i="24"/>
  <c r="R18" i="24" s="1"/>
  <c r="Q25" i="24"/>
  <c r="R25" i="24" s="1"/>
  <c r="Q29" i="24"/>
  <c r="R29" i="24" s="1"/>
  <c r="Q26" i="24"/>
  <c r="R26" i="24" s="1"/>
  <c r="Q17" i="24"/>
  <c r="R17" i="24" s="1"/>
  <c r="Q23" i="24"/>
  <c r="Q15" i="24"/>
  <c r="R15" i="24" s="1"/>
  <c r="Q36" i="24"/>
  <c r="R36" i="24" s="1"/>
  <c r="Q28" i="24"/>
  <c r="R28" i="24" s="1"/>
  <c r="Q33" i="24"/>
  <c r="R33" i="24" s="1"/>
  <c r="Q27" i="24"/>
  <c r="R27" i="24" s="1"/>
  <c r="Q38" i="24"/>
  <c r="R14" i="24"/>
  <c r="Q173" i="23"/>
  <c r="R172" i="23"/>
  <c r="P20" i="26"/>
  <c r="Q32" i="23"/>
  <c r="R32" i="23" s="1"/>
  <c r="Q19" i="23"/>
  <c r="R19" i="23" s="1"/>
  <c r="Q33" i="23"/>
  <c r="R33" i="23" s="1"/>
  <c r="Q28" i="23"/>
  <c r="R28" i="23" s="1"/>
  <c r="Q36" i="23"/>
  <c r="R36" i="23" s="1"/>
  <c r="Q27" i="23"/>
  <c r="R27" i="23" s="1"/>
  <c r="Q29" i="23"/>
  <c r="R29" i="23" s="1"/>
  <c r="Q23" i="23"/>
  <c r="R23" i="23" s="1"/>
  <c r="Q34" i="23"/>
  <c r="R34" i="23" s="1"/>
  <c r="Q21" i="23"/>
  <c r="R21" i="23" s="1"/>
  <c r="Q25" i="23"/>
  <c r="R25" i="23" s="1"/>
  <c r="Q15" i="23"/>
  <c r="R15" i="23" s="1"/>
  <c r="Q18" i="23"/>
  <c r="R18" i="23" s="1"/>
  <c r="Q22" i="23"/>
  <c r="R22" i="23" s="1"/>
  <c r="Q17" i="23"/>
  <c r="R17" i="23" s="1"/>
  <c r="Q31" i="23"/>
  <c r="R31" i="23" s="1"/>
  <c r="Q35" i="23"/>
  <c r="R35" i="23" s="1"/>
  <c r="Q16" i="23"/>
  <c r="R16" i="23" s="1"/>
  <c r="Q37" i="23"/>
  <c r="R37" i="23" s="1"/>
  <c r="Q26" i="23"/>
  <c r="R26" i="23" s="1"/>
  <c r="R14" i="23"/>
  <c r="Q87" i="15"/>
  <c r="Q79" i="15"/>
  <c r="Q119" i="23"/>
  <c r="Q375" i="26"/>
  <c r="Q129" i="24"/>
  <c r="R127" i="24"/>
  <c r="Q163" i="25"/>
  <c r="Q63" i="14"/>
  <c r="Q87" i="24"/>
  <c r="R80" i="24"/>
  <c r="Q228" i="23"/>
  <c r="R223" i="23"/>
  <c r="P38" i="26"/>
  <c r="Q19" i="15"/>
  <c r="R19" i="15" s="1"/>
  <c r="Q17" i="15"/>
  <c r="R17" i="15" s="1"/>
  <c r="Q16" i="15"/>
  <c r="R16" i="15" s="1"/>
  <c r="Q18" i="15"/>
  <c r="R18" i="15" s="1"/>
  <c r="R14" i="15"/>
  <c r="Q33" i="15"/>
  <c r="R33" i="15" s="1"/>
  <c r="Q21" i="15"/>
  <c r="R21" i="15" s="1"/>
  <c r="Q32" i="15"/>
  <c r="R32" i="15" s="1"/>
  <c r="Q37" i="15"/>
  <c r="R37" i="15" s="1"/>
  <c r="Q34" i="15"/>
  <c r="R34" i="15" s="1"/>
  <c r="Q23" i="15"/>
  <c r="R23" i="15" s="1"/>
  <c r="Q31" i="15"/>
  <c r="R31" i="15" s="1"/>
  <c r="Q15" i="15"/>
  <c r="R15" i="15" s="1"/>
  <c r="Q22" i="15"/>
  <c r="R22" i="15" s="1"/>
  <c r="Q27" i="15"/>
  <c r="R27" i="15" s="1"/>
  <c r="Q36" i="15"/>
  <c r="R36" i="15" s="1"/>
  <c r="Q26" i="15"/>
  <c r="R26" i="15" s="1"/>
  <c r="Q28" i="15"/>
  <c r="R28" i="15" s="1"/>
  <c r="Q25" i="15"/>
  <c r="R25" i="15" s="1"/>
  <c r="Q29" i="15"/>
  <c r="R29" i="15" s="1"/>
  <c r="Q35" i="15"/>
  <c r="R35" i="15" s="1"/>
  <c r="Q414" i="26"/>
  <c r="Q424" i="26"/>
  <c r="R421" i="26"/>
  <c r="Q129" i="23"/>
  <c r="Q369" i="26"/>
  <c r="Q73" i="26"/>
  <c r="R72" i="26"/>
  <c r="P25" i="28"/>
  <c r="P37" i="27" s="1" a="1"/>
  <c r="P37" i="27" s="1"/>
  <c r="P15" i="28"/>
  <c r="P27" i="27" s="1" a="1"/>
  <c r="P27" i="27" s="1"/>
  <c r="P16" i="28"/>
  <c r="P28" i="27" s="1" a="1"/>
  <c r="P28" i="27" s="1"/>
  <c r="P35" i="28"/>
  <c r="P47" i="27" s="1" a="1"/>
  <c r="P47" i="27" s="1"/>
  <c r="P18" i="28"/>
  <c r="P30" i="27" s="1" a="1"/>
  <c r="P30" i="27" s="1"/>
  <c r="P17" i="28"/>
  <c r="P29" i="27" s="1" a="1"/>
  <c r="P29" i="27" s="1"/>
  <c r="P31" i="28"/>
  <c r="P43" i="27" s="1" a="1"/>
  <c r="P43" i="27" s="1"/>
  <c r="P27" i="28"/>
  <c r="P39" i="27" s="1" a="1"/>
  <c r="P39" i="27" s="1"/>
  <c r="P21" i="28"/>
  <c r="P33" i="27" s="1" a="1"/>
  <c r="P33" i="27" s="1"/>
  <c r="P34" i="28"/>
  <c r="P46" i="27" s="1" a="1"/>
  <c r="P46" i="27" s="1"/>
  <c r="P28" i="28"/>
  <c r="P40" i="27" s="1" a="1"/>
  <c r="P40" i="27" s="1"/>
  <c r="P36" i="28"/>
  <c r="P48" i="27" s="1" a="1"/>
  <c r="P48" i="27" s="1"/>
  <c r="P19" i="28"/>
  <c r="P31" i="27" s="1" a="1"/>
  <c r="P31" i="27" s="1"/>
  <c r="P22" i="28"/>
  <c r="P34" i="27" s="1" a="1"/>
  <c r="P34" i="27" s="1"/>
  <c r="P29" i="28"/>
  <c r="P41" i="27" s="1" a="1"/>
  <c r="P41" i="27" s="1"/>
  <c r="P26" i="28"/>
  <c r="P38" i="27" s="1" a="1"/>
  <c r="P38" i="27" s="1"/>
  <c r="P33" i="28"/>
  <c r="P45" i="27" s="1" a="1"/>
  <c r="P45" i="27" s="1"/>
  <c r="P32" i="28"/>
  <c r="P44" i="27" s="1" a="1"/>
  <c r="P44" i="27" s="1"/>
  <c r="P23" i="28"/>
  <c r="P35" i="27" s="1" a="1"/>
  <c r="P35" i="27" s="1"/>
  <c r="P37" i="28"/>
  <c r="P49" i="27" s="1" a="1"/>
  <c r="P49" i="27" s="1"/>
  <c r="Q113" i="25"/>
  <c r="Q61" i="14"/>
  <c r="Q73" i="15"/>
  <c r="O20" i="28"/>
  <c r="Q365" i="26"/>
  <c r="R360" i="26"/>
  <c r="Q123" i="24"/>
  <c r="R122" i="24"/>
  <c r="P14" i="25"/>
  <c r="P85" i="25"/>
  <c r="P77" i="25"/>
  <c r="P65" i="25"/>
  <c r="P72" i="25"/>
  <c r="P68" i="25"/>
  <c r="P78" i="25"/>
  <c r="P67" i="25"/>
  <c r="P64" i="25"/>
  <c r="P86" i="25"/>
  <c r="P70" i="25"/>
  <c r="P75" i="25"/>
  <c r="P76" i="25"/>
  <c r="P82" i="25"/>
  <c r="P84" i="25"/>
  <c r="P74" i="25"/>
  <c r="P79" i="25" s="1"/>
  <c r="P83" i="25"/>
  <c r="P80" i="25"/>
  <c r="P81" i="25"/>
  <c r="P66" i="25"/>
  <c r="P71" i="25"/>
  <c r="P73" i="25" s="1"/>
  <c r="O25" i="25"/>
  <c r="O26" i="25"/>
  <c r="O30" i="25" s="1"/>
  <c r="O27" i="25"/>
  <c r="O31" i="25"/>
  <c r="O38" i="25" s="1"/>
  <c r="O34" i="25"/>
  <c r="O22" i="25"/>
  <c r="O21" i="25"/>
  <c r="O24" i="25" s="1"/>
  <c r="O29" i="25"/>
  <c r="O17" i="25"/>
  <c r="O18" i="25"/>
  <c r="O35" i="25"/>
  <c r="O19" i="25"/>
  <c r="O33" i="25"/>
  <c r="O28" i="25"/>
  <c r="O37" i="25"/>
  <c r="O15" i="25"/>
  <c r="O20" i="25" s="1"/>
  <c r="O32" i="25"/>
  <c r="O16" i="25"/>
  <c r="O23" i="25"/>
  <c r="O36" i="25"/>
  <c r="P236" i="25"/>
  <c r="Q79" i="24"/>
  <c r="Q179" i="23"/>
  <c r="Q169" i="23"/>
  <c r="Q213" i="25"/>
  <c r="R213" i="25" s="1"/>
  <c r="Q232" i="25"/>
  <c r="R232" i="25" s="1"/>
  <c r="Q229" i="25"/>
  <c r="R229" i="25" s="1"/>
  <c r="Q214" i="25"/>
  <c r="R214" i="25" s="1"/>
  <c r="Q217" i="25"/>
  <c r="R217" i="25" s="1"/>
  <c r="Q230" i="25"/>
  <c r="R230" i="25" s="1"/>
  <c r="Q215" i="25"/>
  <c r="R215" i="25" s="1"/>
  <c r="Q231" i="25"/>
  <c r="R231" i="25" s="1"/>
  <c r="Q219" i="25"/>
  <c r="R219" i="25" s="1"/>
  <c r="Q234" i="25"/>
  <c r="R234" i="25" s="1"/>
  <c r="Q216" i="25"/>
  <c r="Q223" i="25"/>
  <c r="R223" i="25" s="1"/>
  <c r="Q224" i="25"/>
  <c r="R224" i="25" s="1"/>
  <c r="Q235" i="25"/>
  <c r="R235" i="25" s="1"/>
  <c r="Q225" i="25"/>
  <c r="R225" i="25" s="1"/>
  <c r="Q227" i="25"/>
  <c r="R227" i="25" s="1"/>
  <c r="Q226" i="25"/>
  <c r="R226" i="25" s="1"/>
  <c r="Q220" i="25"/>
  <c r="R220" i="25" s="1"/>
  <c r="Q221" i="25"/>
  <c r="R221" i="25" s="1"/>
  <c r="Q233" i="25"/>
  <c r="R233" i="25" s="1"/>
  <c r="R212" i="25"/>
  <c r="Q271" i="26"/>
  <c r="Q326" i="26"/>
  <c r="P121" i="25"/>
  <c r="P136" i="25"/>
  <c r="P132" i="25"/>
  <c r="P117" i="25"/>
  <c r="P116" i="25"/>
  <c r="P126" i="25"/>
  <c r="P131" i="25"/>
  <c r="P122" i="25"/>
  <c r="P127" i="25"/>
  <c r="P114" i="25"/>
  <c r="P119" i="25" s="1"/>
  <c r="P134" i="25"/>
  <c r="P130" i="25"/>
  <c r="P120" i="25"/>
  <c r="P124" i="25"/>
  <c r="P133" i="25"/>
  <c r="P125" i="25"/>
  <c r="P115" i="25"/>
  <c r="P135" i="25"/>
  <c r="P137" i="25" s="1"/>
  <c r="P128" i="25"/>
  <c r="P118" i="25"/>
  <c r="O173" i="25"/>
  <c r="Q418" i="26"/>
  <c r="R416" i="26"/>
  <c r="Q63" i="25"/>
  <c r="P57" i="14"/>
  <c r="Q59" i="14"/>
  <c r="O73" i="25"/>
  <c r="P106" i="15"/>
  <c r="P105" i="15"/>
  <c r="P104" i="15"/>
  <c r="R92" i="15"/>
  <c r="Q94" i="15"/>
  <c r="R94" i="15" s="1"/>
  <c r="Q102" i="15"/>
  <c r="Q109" i="15"/>
  <c r="R109" i="15" s="1"/>
  <c r="Q99" i="15"/>
  <c r="R99" i="15" s="1"/>
  <c r="Q100" i="15"/>
  <c r="R100" i="15" s="1"/>
  <c r="Q110" i="15"/>
  <c r="R110" i="15" s="1"/>
  <c r="Q111" i="15"/>
  <c r="R111" i="15" s="1"/>
  <c r="Q93" i="15"/>
  <c r="Q96" i="15"/>
  <c r="Q97" i="15"/>
  <c r="R97" i="15" s="1"/>
  <c r="Q103" i="15"/>
  <c r="Q107" i="15"/>
  <c r="R107" i="15" s="1"/>
  <c r="P30" i="28" l="1"/>
  <c r="P24" i="28"/>
  <c r="P38" i="28"/>
  <c r="Q222" i="25"/>
  <c r="Q38" i="15"/>
  <c r="R25" i="26"/>
  <c r="R34" i="26"/>
  <c r="P87" i="25"/>
  <c r="P187" i="25"/>
  <c r="R16" i="26"/>
  <c r="R15" i="26"/>
  <c r="R32" i="26"/>
  <c r="R18" i="26"/>
  <c r="P20" i="28"/>
  <c r="Q24" i="15"/>
  <c r="Q182" i="25"/>
  <c r="R182" i="25" s="1"/>
  <c r="Q177" i="25"/>
  <c r="R177" i="25" s="1"/>
  <c r="Q165" i="25"/>
  <c r="R165" i="25" s="1"/>
  <c r="Q168" i="25"/>
  <c r="R168" i="25" s="1"/>
  <c r="Q184" i="25"/>
  <c r="R184" i="25" s="1"/>
  <c r="Q186" i="25"/>
  <c r="R186" i="25" s="1"/>
  <c r="Q181" i="25"/>
  <c r="R181" i="25" s="1"/>
  <c r="Q175" i="25"/>
  <c r="R175" i="25" s="1"/>
  <c r="Q166" i="25"/>
  <c r="R166" i="25" s="1"/>
  <c r="Q180" i="25"/>
  <c r="R180" i="25" s="1"/>
  <c r="Q172" i="25"/>
  <c r="R172" i="25" s="1"/>
  <c r="Q185" i="25"/>
  <c r="R185" i="25" s="1"/>
  <c r="Q167" i="25"/>
  <c r="R167" i="25" s="1"/>
  <c r="Q176" i="25"/>
  <c r="R176" i="25" s="1"/>
  <c r="Q164" i="25"/>
  <c r="R164" i="25" s="1"/>
  <c r="Q174" i="25"/>
  <c r="R174" i="25" s="1"/>
  <c r="Q183" i="25"/>
  <c r="R183" i="25" s="1"/>
  <c r="Q170" i="25"/>
  <c r="R170" i="25" s="1"/>
  <c r="Q178" i="25"/>
  <c r="R178" i="25" s="1"/>
  <c r="Q171" i="25"/>
  <c r="Q169" i="25"/>
  <c r="Q187" i="25"/>
  <c r="R163" i="25"/>
  <c r="Q20" i="23"/>
  <c r="R28" i="26"/>
  <c r="R26" i="26"/>
  <c r="R23" i="26"/>
  <c r="Q14" i="25"/>
  <c r="Q75" i="25"/>
  <c r="R75" i="25" s="1"/>
  <c r="Q65" i="25"/>
  <c r="R65" i="25" s="1"/>
  <c r="Q70" i="25"/>
  <c r="R70" i="25" s="1"/>
  <c r="Q81" i="25"/>
  <c r="R81" i="25" s="1"/>
  <c r="Q74" i="25"/>
  <c r="R74" i="25" s="1"/>
  <c r="Q68" i="25"/>
  <c r="R68" i="25" s="1"/>
  <c r="Q86" i="25"/>
  <c r="R86" i="25" s="1"/>
  <c r="Q84" i="25"/>
  <c r="R84" i="25" s="1"/>
  <c r="Q80" i="25"/>
  <c r="R80" i="25" s="1"/>
  <c r="Q66" i="25"/>
  <c r="R66" i="25" s="1"/>
  <c r="Q71" i="25"/>
  <c r="R71" i="25" s="1"/>
  <c r="Q78" i="25"/>
  <c r="R78" i="25" s="1"/>
  <c r="Q82" i="25"/>
  <c r="R82" i="25" s="1"/>
  <c r="Q72" i="25"/>
  <c r="R72" i="25" s="1"/>
  <c r="Q83" i="25"/>
  <c r="R83" i="25" s="1"/>
  <c r="Q64" i="25"/>
  <c r="R64" i="25" s="1"/>
  <c r="Q76" i="25"/>
  <c r="Q77" i="25"/>
  <c r="R77" i="25" s="1"/>
  <c r="Q85" i="25"/>
  <c r="R85" i="25" s="1"/>
  <c r="Q67" i="25"/>
  <c r="R67" i="25" s="1"/>
  <c r="Q87" i="25"/>
  <c r="Q69" i="25"/>
  <c r="R63" i="25"/>
  <c r="Q30" i="23"/>
  <c r="R36" i="26"/>
  <c r="R31" i="26"/>
  <c r="R37" i="26"/>
  <c r="Q30" i="15"/>
  <c r="R27" i="26"/>
  <c r="Q218" i="25"/>
  <c r="R216" i="25"/>
  <c r="P69" i="25"/>
  <c r="P129" i="25"/>
  <c r="Q236" i="25"/>
  <c r="P36" i="25"/>
  <c r="P19" i="25"/>
  <c r="P22" i="25"/>
  <c r="P21" i="25"/>
  <c r="P32" i="25"/>
  <c r="P33" i="25"/>
  <c r="P31" i="25"/>
  <c r="P38" i="25" s="1"/>
  <c r="P37" i="25"/>
  <c r="P35" i="25"/>
  <c r="P18" i="25"/>
  <c r="P17" i="25"/>
  <c r="P23" i="25"/>
  <c r="P27" i="25"/>
  <c r="P29" i="25"/>
  <c r="P30" i="25" s="1"/>
  <c r="P34" i="25"/>
  <c r="P28" i="25"/>
  <c r="P15" i="25"/>
  <c r="P25" i="25"/>
  <c r="P26" i="25"/>
  <c r="P16" i="25"/>
  <c r="P20" i="25" s="1"/>
  <c r="P24" i="25"/>
  <c r="Q128" i="25"/>
  <c r="R128" i="25" s="1"/>
  <c r="Q117" i="25"/>
  <c r="R117" i="25" s="1"/>
  <c r="Q118" i="25"/>
  <c r="R118" i="25" s="1"/>
  <c r="Q127" i="25"/>
  <c r="R127" i="25" s="1"/>
  <c r="Q114" i="25"/>
  <c r="R114" i="25" s="1"/>
  <c r="Q126" i="25"/>
  <c r="R126" i="25" s="1"/>
  <c r="Q135" i="25"/>
  <c r="R135" i="25" s="1"/>
  <c r="Q121" i="25"/>
  <c r="R121" i="25" s="1"/>
  <c r="Q120" i="25"/>
  <c r="R120" i="25" s="1"/>
  <c r="Q115" i="25"/>
  <c r="R115" i="25" s="1"/>
  <c r="Q134" i="25"/>
  <c r="R134" i="25" s="1"/>
  <c r="Q131" i="25"/>
  <c r="R131" i="25" s="1"/>
  <c r="Q133" i="25"/>
  <c r="R133" i="25" s="1"/>
  <c r="Q136" i="25"/>
  <c r="R136" i="25" s="1"/>
  <c r="Q132" i="25"/>
  <c r="R132" i="25" s="1"/>
  <c r="Q124" i="25"/>
  <c r="R124" i="25" s="1"/>
  <c r="Q130" i="25"/>
  <c r="R130" i="25" s="1"/>
  <c r="Q125" i="25"/>
  <c r="R125" i="25" s="1"/>
  <c r="Q116" i="25"/>
  <c r="R116" i="25" s="1"/>
  <c r="Q122" i="25"/>
  <c r="R122" i="25" s="1"/>
  <c r="Q119" i="25"/>
  <c r="Q129" i="25"/>
  <c r="R113" i="25"/>
  <c r="Q38" i="23"/>
  <c r="Q20" i="24"/>
  <c r="R19" i="24"/>
  <c r="Q38" i="26"/>
  <c r="R29" i="26"/>
  <c r="R21" i="26"/>
  <c r="R19" i="26"/>
  <c r="P123" i="25"/>
  <c r="Q20" i="15"/>
  <c r="Q24" i="23"/>
  <c r="Q24" i="24"/>
  <c r="R23" i="24"/>
  <c r="P173" i="25"/>
  <c r="Q20" i="26"/>
  <c r="R33" i="26"/>
  <c r="R22" i="26"/>
  <c r="Q57" i="14"/>
  <c r="Q14" i="28"/>
  <c r="Q228" i="25"/>
  <c r="Q30" i="24"/>
  <c r="Q24" i="26"/>
  <c r="R35" i="26"/>
  <c r="R17" i="26"/>
  <c r="R102" i="15"/>
  <c r="R96" i="15"/>
  <c r="R93" i="15"/>
  <c r="R103" i="15"/>
  <c r="Q106" i="15"/>
  <c r="R106" i="15" s="1"/>
  <c r="Q105" i="15"/>
  <c r="Q104" i="15"/>
  <c r="Q12" i="28" l="1"/>
  <c r="Q26" i="27" a="1"/>
  <c r="Q26" i="27" s="1"/>
  <c r="R26" i="27" s="1"/>
  <c r="Q173" i="25"/>
  <c r="R171" i="25"/>
  <c r="Q79" i="25"/>
  <c r="R76" i="25"/>
  <c r="Q37" i="25"/>
  <c r="R37" i="25" s="1"/>
  <c r="Q35" i="25"/>
  <c r="R35" i="25" s="1"/>
  <c r="Q23" i="25"/>
  <c r="R23" i="25" s="1"/>
  <c r="Q16" i="25"/>
  <c r="R16" i="25" s="1"/>
  <c r="Q22" i="25"/>
  <c r="R22" i="25" s="1"/>
  <c r="Q21" i="25"/>
  <c r="R21" i="25" s="1"/>
  <c r="Q19" i="25"/>
  <c r="R19" i="25" s="1"/>
  <c r="Q26" i="25"/>
  <c r="R26" i="25" s="1"/>
  <c r="Q36" i="25"/>
  <c r="R36" i="25" s="1"/>
  <c r="Q33" i="25"/>
  <c r="R33" i="25" s="1"/>
  <c r="Q15" i="25"/>
  <c r="R15" i="25" s="1"/>
  <c r="Q28" i="25"/>
  <c r="R28" i="25" s="1"/>
  <c r="Q34" i="25"/>
  <c r="R34" i="25" s="1"/>
  <c r="Q29" i="25"/>
  <c r="R29" i="25" s="1"/>
  <c r="Q17" i="25"/>
  <c r="R17" i="25" s="1"/>
  <c r="Q18" i="25"/>
  <c r="R18" i="25" s="1"/>
  <c r="Q32" i="25"/>
  <c r="R32" i="25" s="1"/>
  <c r="Q27" i="25"/>
  <c r="R27" i="25" s="1"/>
  <c r="Q25" i="25"/>
  <c r="R25" i="25" s="1"/>
  <c r="Q31" i="25"/>
  <c r="R31" i="25" s="1"/>
  <c r="R14" i="25"/>
  <c r="Q137" i="25"/>
  <c r="Q31" i="28"/>
  <c r="Q23" i="28"/>
  <c r="Q28" i="28"/>
  <c r="Q27" i="28"/>
  <c r="Q21" i="28"/>
  <c r="Q35" i="28"/>
  <c r="Q18" i="28"/>
  <c r="Q22" i="28"/>
  <c r="Q16" i="28"/>
  <c r="Q34" i="28"/>
  <c r="Q19" i="28"/>
  <c r="Q32" i="28"/>
  <c r="Q25" i="28"/>
  <c r="Q36" i="28"/>
  <c r="Q29" i="28"/>
  <c r="Q26" i="28"/>
  <c r="Q37" i="28"/>
  <c r="Q15" i="28"/>
  <c r="Q17" i="28"/>
  <c r="Q33" i="28"/>
  <c r="R14" i="28"/>
  <c r="S5" i="27" s="1" a="1"/>
  <c r="S5" i="27" s="1"/>
  <c r="Q123" i="25"/>
  <c r="Q73" i="25"/>
  <c r="Q179" i="25"/>
  <c r="R105" i="15"/>
  <c r="R104" i="15"/>
  <c r="R28" i="28" l="1"/>
  <c r="Q40" i="27" a="1"/>
  <c r="Q40" i="27" s="1"/>
  <c r="R40" i="27" s="1"/>
  <c r="R32" i="28"/>
  <c r="Q44" i="27" a="1"/>
  <c r="Q44" i="27" s="1"/>
  <c r="R44" i="27" s="1"/>
  <c r="R27" i="28"/>
  <c r="Q39" i="27" a="1"/>
  <c r="Q39" i="27" s="1"/>
  <c r="R39" i="27" s="1"/>
  <c r="R16" i="28"/>
  <c r="Q28" i="27" a="1"/>
  <c r="Q28" i="27" s="1"/>
  <c r="R28" i="27" s="1"/>
  <c r="R17" i="28"/>
  <c r="Q29" i="27" a="1"/>
  <c r="Q29" i="27" s="1"/>
  <c r="R29" i="27" s="1"/>
  <c r="R26" i="28"/>
  <c r="Q38" i="27" a="1"/>
  <c r="Q38" i="27" s="1"/>
  <c r="R38" i="27" s="1"/>
  <c r="R33" i="28"/>
  <c r="Q45" i="27" a="1"/>
  <c r="Q45" i="27" s="1"/>
  <c r="R45" i="27" s="1"/>
  <c r="R19" i="28"/>
  <c r="Q31" i="27" a="1"/>
  <c r="Q31" i="27" s="1"/>
  <c r="R31" i="27" s="1"/>
  <c r="R15" i="28"/>
  <c r="Q27" i="27" a="1"/>
  <c r="Q27" i="27" s="1"/>
  <c r="R27" i="27" s="1"/>
  <c r="R34" i="28"/>
  <c r="Q46" i="27" a="1"/>
  <c r="Q46" i="27" s="1"/>
  <c r="R46" i="27" s="1"/>
  <c r="R23" i="28"/>
  <c r="Q35" i="27" a="1"/>
  <c r="Q35" i="27" s="1"/>
  <c r="R35" i="27" s="1"/>
  <c r="R37" i="28"/>
  <c r="Q49" i="27" a="1"/>
  <c r="Q49" i="27" s="1"/>
  <c r="R49" i="27" s="1"/>
  <c r="R31" i="28"/>
  <c r="Q43" i="27" a="1"/>
  <c r="Q43" i="27" s="1"/>
  <c r="R43" i="27" s="1"/>
  <c r="R22" i="28"/>
  <c r="Q34" i="27" a="1"/>
  <c r="Q34" i="27" s="1"/>
  <c r="R34" i="27" s="1"/>
  <c r="R29" i="28"/>
  <c r="Q41" i="27" a="1"/>
  <c r="Q41" i="27" s="1"/>
  <c r="R41" i="27" s="1"/>
  <c r="R18" i="28"/>
  <c r="Q30" i="27" a="1"/>
  <c r="Q30" i="27" s="1"/>
  <c r="R30" i="27" s="1"/>
  <c r="R36" i="28"/>
  <c r="Q48" i="27" a="1"/>
  <c r="Q48" i="27" s="1"/>
  <c r="R48" i="27" s="1"/>
  <c r="R35" i="28"/>
  <c r="Q47" i="27" a="1"/>
  <c r="Q47" i="27" s="1"/>
  <c r="R47" i="27" s="1"/>
  <c r="Q30" i="28"/>
  <c r="R25" i="28"/>
  <c r="Q37" i="27" a="1"/>
  <c r="Q37" i="27" s="1"/>
  <c r="R37" i="27" s="1"/>
  <c r="R21" i="28"/>
  <c r="Q33" i="27" a="1"/>
  <c r="Q33" i="27" s="1"/>
  <c r="R33" i="27" s="1"/>
  <c r="Q38" i="28"/>
  <c r="Q30" i="25"/>
  <c r="Q24" i="25"/>
  <c r="Q20" i="28"/>
  <c r="Q38" i="25"/>
  <c r="Q20" i="25"/>
  <c r="Q24" i="28"/>
  <c r="E77" i="15"/>
  <c r="E84" i="15"/>
  <c r="E70" i="15"/>
  <c r="E81" i="15"/>
  <c r="E71" i="15"/>
  <c r="E78" i="15"/>
  <c r="E86" i="15"/>
  <c r="E80" i="15"/>
  <c r="E72" i="15"/>
  <c r="E75" i="15"/>
  <c r="E83" i="15"/>
  <c r="E76" i="15"/>
  <c r="E74" i="15"/>
  <c r="E85" i="15"/>
  <c r="E82" i="15"/>
  <c r="E87" i="15" l="1"/>
  <c r="E79" i="15"/>
  <c r="E73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<sst xmlns="http://schemas.openxmlformats.org/spreadsheetml/2006/main" count="2045" uniqueCount="124">
  <si>
    <t>North America</t>
  </si>
  <si>
    <t>Europe</t>
  </si>
  <si>
    <t>Latin America</t>
  </si>
  <si>
    <t>Russia</t>
  </si>
  <si>
    <t>China</t>
  </si>
  <si>
    <t>India</t>
  </si>
  <si>
    <t>Australia</t>
  </si>
  <si>
    <t>Mexico</t>
  </si>
  <si>
    <t>Brazil</t>
  </si>
  <si>
    <t>GCC</t>
  </si>
  <si>
    <t>South Africa</t>
  </si>
  <si>
    <t>Argentina</t>
  </si>
  <si>
    <t>Canada</t>
  </si>
  <si>
    <t>CAGR (2024-2036)</t>
  </si>
  <si>
    <t>Technology</t>
  </si>
  <si>
    <t>Product</t>
  </si>
  <si>
    <t>Instruments</t>
  </si>
  <si>
    <t>Consumables</t>
  </si>
  <si>
    <t>Method</t>
  </si>
  <si>
    <t>Conventional</t>
  </si>
  <si>
    <t>Automated</t>
  </si>
  <si>
    <t>Culture-Based</t>
  </si>
  <si>
    <t>Molecular Technology</t>
  </si>
  <si>
    <t>PCR</t>
  </si>
  <si>
    <t>Microarray</t>
  </si>
  <si>
    <t>PNA-FISH</t>
  </si>
  <si>
    <t>Proteomic Technologies</t>
  </si>
  <si>
    <t>Application</t>
  </si>
  <si>
    <t>Bacteremia</t>
  </si>
  <si>
    <t>Fungemia</t>
  </si>
  <si>
    <t>Mycobacterial Infection</t>
  </si>
  <si>
    <t>Japan</t>
  </si>
  <si>
    <t>Asia Pacific</t>
  </si>
  <si>
    <t>NORDIC</t>
  </si>
  <si>
    <t>Phenotypic AST</t>
  </si>
  <si>
    <t>Genotypic AST</t>
  </si>
  <si>
    <t>Historical</t>
  </si>
  <si>
    <t>Estimated</t>
  </si>
  <si>
    <t>Forecast</t>
  </si>
  <si>
    <t>Rest EU</t>
  </si>
  <si>
    <t>Rest LA</t>
  </si>
  <si>
    <t>APAC</t>
  </si>
  <si>
    <t>Rest</t>
  </si>
  <si>
    <t>MEA</t>
  </si>
  <si>
    <t>Base Year</t>
  </si>
  <si>
    <t>Middle East and Africa</t>
  </si>
  <si>
    <t>Israel</t>
  </si>
  <si>
    <t>Regional Share (%)</t>
  </si>
  <si>
    <t>CAGR % (2027-2036)</t>
  </si>
  <si>
    <t xml:space="preserve"> Test Type</t>
  </si>
  <si>
    <t>United States (92-97%)</t>
  </si>
  <si>
    <t>Germany (1)</t>
  </si>
  <si>
    <t>UK (2)</t>
  </si>
  <si>
    <t>France (3)</t>
  </si>
  <si>
    <t>Italy (4)</t>
  </si>
  <si>
    <t>Spain (5)</t>
  </si>
  <si>
    <t>Base Number</t>
  </si>
  <si>
    <t xml:space="preserve">USD Million </t>
  </si>
  <si>
    <t xml:space="preserve">Growth Rate for Liquid Biopsy Market </t>
  </si>
  <si>
    <t>Biomarker Type</t>
  </si>
  <si>
    <t>Circulating tumor cells</t>
  </si>
  <si>
    <t>Circulating tumor DNA</t>
  </si>
  <si>
    <t>Exosomes</t>
  </si>
  <si>
    <t>Circulating RNA &amp; proteins</t>
  </si>
  <si>
    <t>Nucleosomes</t>
  </si>
  <si>
    <t>Sample</t>
  </si>
  <si>
    <t>Blood</t>
  </si>
  <si>
    <t>Urine</t>
  </si>
  <si>
    <t>Others (Serum)</t>
  </si>
  <si>
    <t>Clinical Application</t>
  </si>
  <si>
    <t>Early disease screening</t>
  </si>
  <si>
    <t>Therapy selection</t>
  </si>
  <si>
    <t>Treatment response monitoring</t>
  </si>
  <si>
    <t>Molecular health monitoring</t>
  </si>
  <si>
    <t>Others</t>
  </si>
  <si>
    <t>Disease Indication</t>
  </si>
  <si>
    <t>Lung cancer</t>
  </si>
  <si>
    <t>Colorectal cancer</t>
  </si>
  <si>
    <t>Breast cancer</t>
  </si>
  <si>
    <t>Prostate cancer</t>
  </si>
  <si>
    <t>Liver cancer</t>
  </si>
  <si>
    <t>Head &amp; neck cancer</t>
  </si>
  <si>
    <t>Others cancers</t>
  </si>
  <si>
    <t>North America Liquid Biopsy Market, 2027-36 (USD Million)</t>
  </si>
  <si>
    <t>CAGR (2027-2036)</t>
  </si>
  <si>
    <t>Europe Liquid Biopsy Market, 2027-36 (USD Million)</t>
  </si>
  <si>
    <t>Germany Liquid Biopsy Market 2027-36 (USD Million)</t>
  </si>
  <si>
    <t>France Liquid Biopsy Market 2027-36 (USD Million)</t>
  </si>
  <si>
    <t>Spain Liquid Biopsy Market 2027-36 (USD Million)</t>
  </si>
  <si>
    <t>NORDIC Liquid Biopsy Market 2027-36 (USD Million)</t>
  </si>
  <si>
    <t>Russia Liquid Biopsy Market 2027-36 (USD Million)</t>
  </si>
  <si>
    <t>Rest EU Liquid Biopsy Market 2027-36 (USD Million)</t>
  </si>
  <si>
    <t>UK Liquid Biopsy Market 2027-36 (USD Million)</t>
  </si>
  <si>
    <t>Italy Liquid Biopsy Market 2027-36 (USD Million)</t>
  </si>
  <si>
    <t>APAC Liquid Biopsy Market, 2027-36 (USD Million)</t>
  </si>
  <si>
    <t xml:space="preserve">Rest  Liquid Biopsy Market </t>
  </si>
  <si>
    <t>Latin America Liquid Biopsy Market, 2027-36 (USD Million)</t>
  </si>
  <si>
    <t>MEA Liquid Biopsy Market, 2027-36 (USD Million)</t>
  </si>
  <si>
    <t>GCC Liquid Biopsy Market 2027-36 (USD Million)</t>
  </si>
  <si>
    <t>Israel Liquid Biopsy Market 2027-36 (USD Million)</t>
  </si>
  <si>
    <t>South Africa Liquid Biopsy Market 2027-36 (USD Million)</t>
  </si>
  <si>
    <t>Rest MEA Liquid Biopsy Market 2027-36 (USD Million)</t>
  </si>
  <si>
    <t>Brazil Liquid Biopsy Market 2027-36 (USD Million)</t>
  </si>
  <si>
    <t>Argentina Liquid Biopsy Market 2027-36 (USD Million)</t>
  </si>
  <si>
    <t>Mexico Liquid Biopsy Market 2027-36 (USD Million)</t>
  </si>
  <si>
    <t>Rest LA Liquid Biopsy Market 2027-36 (USD Million)</t>
  </si>
  <si>
    <t>Rest  Liquid Biopsy Market 2027-36 (USD Million)</t>
  </si>
  <si>
    <t>Australia Liquid Biopsy Market 2027-36 (USD Million)</t>
  </si>
  <si>
    <t>Japan Liquid Biopsy Market 2027-36 (USD Million)</t>
  </si>
  <si>
    <t>India Liquid Biopsy Market 2027-36 (USD Million)</t>
  </si>
  <si>
    <t>China Liquid Biopsy Market 2027-36 (USD Million)</t>
  </si>
  <si>
    <t>Canada Liquid Biopsy Market 2027-36 (USD Million)</t>
  </si>
  <si>
    <t>US Liquid Biopsy Market 2027-36 (USD Million)</t>
  </si>
  <si>
    <t>Dynamic Dashboard Liquid Biopsy Market, 2027-36 (USD Million)</t>
  </si>
  <si>
    <t>Global Liquid Biopsy Market, 2027-36 (USD Million)</t>
  </si>
  <si>
    <t>CAGR%(2027-2036)</t>
  </si>
  <si>
    <t>Population</t>
  </si>
  <si>
    <t>prevelance</t>
  </si>
  <si>
    <t>healthcaRE</t>
  </si>
  <si>
    <t>Per capita income</t>
  </si>
  <si>
    <t>health issurance</t>
  </si>
  <si>
    <t xml:space="preserve">prousction and consumption </t>
  </si>
  <si>
    <t>value of products</t>
  </si>
  <si>
    <t>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</si>
</sst>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%"/>
    <numFmt numFmtId="165" formatCode="0.0"/>
    <numFmt numFmtId="166" formatCode="_ * #,##0_ ;_ * \-#,##0_ ;_ * &quot;-&quot;??_ ;_ @_ "/>
    <numFmt numFmtId="167" formatCode="_ * #,##0.0_ ;_ * \-#,##0.0_ ;_ * &quot;-&quot;??_ ;_ @_ "/>
    <numFmt numFmtId="168" formatCode="_ * #,##0.000_ ;_ * \-#,##0.000_ ;_ * &quot;-&quot;??_ ;_ @_ "/>
    <numFmt numFmtId="169" formatCode="_ * #,##0.000_ ;_ * \-#,##0.000_ ;_ * &quot;-&quot;???_ ;_ @_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Arial"/>
      <family val="2"/>
    </font>
    <font>
      <b/>
      <sz val="20"/>
      <color theme="0"/>
      <name val="Arial"/>
      <family val="2"/>
    </font>
    <font>
      <sz val="20"/>
      <color theme="0"/>
      <name val="Arial"/>
      <family val="2"/>
    </font>
    <font>
      <sz val="7"/>
      <color rgb="FF6C6C6C"/>
      <name val="Arial"/>
      <family val="2"/>
    </font>
    <font>
      <b/>
      <sz val="7"/>
      <color rgb="FF767676"/>
      <name val="Arial"/>
      <family val="2"/>
    </font>
    <font>
      <b/>
      <sz val="7"/>
      <color theme="1"/>
      <name val="Arial"/>
      <family val="2"/>
    </font>
    <font>
      <b/>
      <sz val="20"/>
      <name val="Arial"/>
      <family val="2"/>
    </font>
    <font>
      <sz val="8"/>
      <color rgb="FF000000"/>
      <name val="Segoe UI"/>
      <family val="2"/>
    </font>
    <font>
      <b/>
      <sz val="20"/>
      <color theme="1"/>
      <name val="Arial"/>
      <family val="2"/>
    </font>
    <font>
      <b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7">
    <xf numFmtId="0" fontId="0" fillId="0" borderId="0" xfId="0"/>
    <xf numFmtId="0" fontId="0" fillId="0" borderId="2" xfId="0" applyBorder="1"/>
    <xf numFmtId="0" fontId="1" fillId="0" borderId="2" xfId="0" applyFont="1" applyBorder="1"/>
    <xf numFmtId="0" fontId="1" fillId="0" borderId="0" xfId="0" applyFont="1" applyAlignment="1">
      <alignment horizontal="center"/>
    </xf>
    <xf numFmtId="0" fontId="0" fillId="3" borderId="1" xfId="0" applyFill="1" applyBorder="1"/>
    <xf numFmtId="9" fontId="1" fillId="3" borderId="1" xfId="0" applyNumberFormat="1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6" borderId="10" xfId="0" applyFont="1" applyFill="1" applyBorder="1" applyAlignment="1">
      <alignment horizontal="center"/>
    </xf>
    <xf numFmtId="9" fontId="1" fillId="2" borderId="4" xfId="0" applyNumberFormat="1" applyFont="1" applyFill="1" applyBorder="1" applyAlignment="1">
      <alignment horizontal="center"/>
    </xf>
    <xf numFmtId="43" fontId="1" fillId="2" borderId="4" xfId="0" applyNumberFormat="1" applyFont="1" applyFill="1" applyBorder="1"/>
    <xf numFmtId="0" fontId="1" fillId="0" borderId="2" xfId="0" applyFont="1" applyBorder="1" applyAlignment="1">
      <alignment horizontal="center"/>
    </xf>
    <xf numFmtId="9" fontId="0" fillId="0" borderId="0" xfId="0" applyNumberFormat="1"/>
    <xf numFmtId="164" fontId="3" fillId="4" borderId="0" xfId="0" applyNumberFormat="1" applyFont="1" applyFill="1" applyAlignment="1">
      <alignment horizontal="center"/>
    </xf>
    <xf numFmtId="0" fontId="1" fillId="0" borderId="2" xfId="0" applyFont="1" applyBorder="1" applyAlignment="1">
      <alignment horizontal="left"/>
    </xf>
    <xf numFmtId="9" fontId="1" fillId="0" borderId="0" xfId="0" applyNumberFormat="1" applyFont="1" applyAlignment="1">
      <alignment horizontal="center"/>
    </xf>
    <xf numFmtId="43" fontId="0" fillId="0" borderId="0" xfId="0" applyNumberFormat="1"/>
    <xf numFmtId="0" fontId="1" fillId="0" borderId="6" xfId="0" applyFont="1" applyBorder="1" applyAlignment="1">
      <alignment horizontal="left"/>
    </xf>
    <xf numFmtId="9" fontId="1" fillId="0" borderId="7" xfId="0" applyNumberFormat="1" applyFont="1" applyBorder="1" applyAlignment="1">
      <alignment horizontal="center"/>
    </xf>
    <xf numFmtId="43" fontId="0" fillId="0" borderId="7" xfId="0" applyNumberFormat="1" applyBorder="1"/>
    <xf numFmtId="165" fontId="1" fillId="0" borderId="0" xfId="0" applyNumberFormat="1" applyFont="1" applyAlignment="1">
      <alignment horizontal="center"/>
    </xf>
    <xf numFmtId="0" fontId="0" fillId="0" borderId="9" xfId="0" applyBorder="1"/>
    <xf numFmtId="0" fontId="1" fillId="2" borderId="3" xfId="0" applyFont="1" applyFill="1" applyBorder="1" applyAlignment="1">
      <alignment horizontal="left"/>
    </xf>
    <xf numFmtId="43" fontId="0" fillId="2" borderId="4" xfId="0" applyNumberFormat="1" applyFill="1" applyBorder="1"/>
    <xf numFmtId="166" fontId="0" fillId="0" borderId="0" xfId="0" applyNumberFormat="1"/>
    <xf numFmtId="0" fontId="0" fillId="0" borderId="6" xfId="0" applyBorder="1"/>
    <xf numFmtId="0" fontId="1" fillId="2" borderId="3" xfId="0" applyFont="1" applyFill="1" applyBorder="1"/>
    <xf numFmtId="0" fontId="1" fillId="0" borderId="0" xfId="0" applyFont="1"/>
    <xf numFmtId="0" fontId="1" fillId="7" borderId="11" xfId="0" applyFont="1" applyFill="1" applyBorder="1"/>
    <xf numFmtId="9" fontId="1" fillId="7" borderId="11" xfId="0" applyNumberFormat="1" applyFont="1" applyFill="1" applyBorder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1" fillId="7" borderId="0" xfId="0" applyFont="1" applyFill="1"/>
    <xf numFmtId="43" fontId="1" fillId="0" borderId="0" xfId="0" applyNumberFormat="1" applyFont="1"/>
    <xf numFmtId="167" fontId="1" fillId="2" borderId="4" xfId="0" applyNumberFormat="1" applyFont="1" applyFill="1" applyBorder="1"/>
    <xf numFmtId="43" fontId="1" fillId="0" borderId="7" xfId="0" applyNumberFormat="1" applyFont="1" applyBorder="1"/>
    <xf numFmtId="43" fontId="0" fillId="0" borderId="0" xfId="0" applyNumberFormat="1" applyAlignment="1">
      <alignment horizontal="center"/>
    </xf>
    <xf numFmtId="164" fontId="3" fillId="4" borderId="1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4" borderId="11" xfId="0" applyFill="1" applyBorder="1"/>
    <xf numFmtId="0" fontId="0" fillId="5" borderId="11" xfId="0" applyFill="1" applyBorder="1"/>
    <xf numFmtId="0" fontId="0" fillId="0" borderId="3" xfId="0" applyBorder="1"/>
    <xf numFmtId="0" fontId="0" fillId="0" borderId="4" xfId="0" applyBorder="1"/>
    <xf numFmtId="0" fontId="0" fillId="4" borderId="15" xfId="0" applyFill="1" applyBorder="1"/>
    <xf numFmtId="0" fontId="0" fillId="9" borderId="17" xfId="0" applyFill="1" applyBorder="1"/>
    <xf numFmtId="0" fontId="0" fillId="9" borderId="15" xfId="0" applyFill="1" applyBorder="1"/>
    <xf numFmtId="0" fontId="0" fillId="10" borderId="17" xfId="0" applyFill="1" applyBorder="1"/>
    <xf numFmtId="0" fontId="0" fillId="10" borderId="15" xfId="0" applyFill="1" applyBorder="1"/>
    <xf numFmtId="0" fontId="0" fillId="4" borderId="17" xfId="0" applyFill="1" applyBorder="1"/>
    <xf numFmtId="0" fontId="0" fillId="5" borderId="17" xfId="0" applyFill="1" applyBorder="1"/>
    <xf numFmtId="0" fontId="0" fillId="5" borderId="15" xfId="0" applyFill="1" applyBorder="1"/>
    <xf numFmtId="0" fontId="0" fillId="9" borderId="19" xfId="0" applyFill="1" applyBorder="1" applyAlignment="1">
      <alignment horizontal="left"/>
    </xf>
    <xf numFmtId="0" fontId="0" fillId="9" borderId="20" xfId="0" applyFill="1" applyBorder="1" applyAlignment="1">
      <alignment horizontal="left"/>
    </xf>
    <xf numFmtId="0" fontId="0" fillId="4" borderId="19" xfId="0" applyFill="1" applyBorder="1" applyAlignment="1">
      <alignment horizontal="left"/>
    </xf>
    <xf numFmtId="0" fontId="0" fillId="4" borderId="23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0" fillId="10" borderId="19" xfId="0" applyFill="1" applyBorder="1" applyAlignment="1">
      <alignment horizontal="left"/>
    </xf>
    <xf numFmtId="0" fontId="0" fillId="10" borderId="20" xfId="0" applyFill="1" applyBorder="1" applyAlignment="1">
      <alignment horizontal="left"/>
    </xf>
    <xf numFmtId="0" fontId="1" fillId="5" borderId="19" xfId="0" applyFont="1" applyFill="1" applyBorder="1" applyAlignment="1">
      <alignment horizontal="left"/>
    </xf>
    <xf numFmtId="0" fontId="1" fillId="5" borderId="23" xfId="0" applyFont="1" applyFill="1" applyBorder="1" applyAlignment="1">
      <alignment horizontal="left"/>
    </xf>
    <xf numFmtId="0" fontId="3" fillId="5" borderId="23" xfId="0" applyFont="1" applyFill="1" applyBorder="1" applyAlignment="1">
      <alignment horizontal="left" indent="4"/>
    </xf>
    <xf numFmtId="0" fontId="1" fillId="5" borderId="20" xfId="0" applyFont="1" applyFill="1" applyBorder="1" applyAlignment="1">
      <alignment horizontal="left"/>
    </xf>
    <xf numFmtId="0" fontId="7" fillId="0" borderId="0" xfId="0" applyFont="1"/>
    <xf numFmtId="0" fontId="8" fillId="0" borderId="0" xfId="0" applyFont="1"/>
    <xf numFmtId="0" fontId="6" fillId="11" borderId="13" xfId="0" applyFont="1" applyFill="1" applyBorder="1" applyAlignment="1">
      <alignment horizontal="center"/>
    </xf>
    <xf numFmtId="0" fontId="6" fillId="11" borderId="28" xfId="0" applyFont="1" applyFill="1" applyBorder="1" applyAlignment="1">
      <alignment horizontal="center"/>
    </xf>
    <xf numFmtId="9" fontId="5" fillId="0" borderId="0" xfId="0" applyNumberFormat="1" applyFont="1"/>
    <xf numFmtId="164" fontId="4" fillId="12" borderId="29" xfId="0" applyNumberFormat="1" applyFont="1" applyFill="1" applyBorder="1" applyAlignment="1">
      <alignment horizontal="center"/>
    </xf>
    <xf numFmtId="164" fontId="1" fillId="10" borderId="18" xfId="0" applyNumberFormat="1" applyFont="1" applyFill="1" applyBorder="1" applyAlignment="1">
      <alignment horizontal="center"/>
    </xf>
    <xf numFmtId="164" fontId="1" fillId="10" borderId="16" xfId="0" applyNumberFormat="1" applyFont="1" applyFill="1" applyBorder="1" applyAlignment="1">
      <alignment horizontal="center"/>
    </xf>
    <xf numFmtId="164" fontId="1" fillId="4" borderId="18" xfId="0" applyNumberFormat="1" applyFont="1" applyFill="1" applyBorder="1" applyAlignment="1">
      <alignment horizontal="center"/>
    </xf>
    <xf numFmtId="164" fontId="1" fillId="4" borderId="16" xfId="0" applyNumberFormat="1" applyFont="1" applyFill="1" applyBorder="1" applyAlignment="1">
      <alignment horizontal="center"/>
    </xf>
    <xf numFmtId="164" fontId="4" fillId="12" borderId="18" xfId="0" applyNumberFormat="1" applyFont="1" applyFill="1" applyBorder="1" applyAlignment="1">
      <alignment horizontal="center"/>
    </xf>
    <xf numFmtId="164" fontId="4" fillId="12" borderId="14" xfId="0" applyNumberFormat="1" applyFont="1" applyFill="1" applyBorder="1" applyAlignment="1">
      <alignment horizontal="center"/>
    </xf>
    <xf numFmtId="164" fontId="4" fillId="12" borderId="16" xfId="0" applyNumberFormat="1" applyFont="1" applyFill="1" applyBorder="1" applyAlignment="1">
      <alignment horizontal="center"/>
    </xf>
    <xf numFmtId="164" fontId="1" fillId="4" borderId="14" xfId="0" applyNumberFormat="1" applyFont="1" applyFill="1" applyBorder="1" applyAlignment="1">
      <alignment horizontal="center"/>
    </xf>
    <xf numFmtId="164" fontId="0" fillId="9" borderId="18" xfId="1" applyNumberFormat="1" applyFont="1" applyFill="1" applyBorder="1" applyAlignment="1">
      <alignment horizontal="center"/>
    </xf>
    <xf numFmtId="164" fontId="0" fillId="9" borderId="30" xfId="1" applyNumberFormat="1" applyFont="1" applyFill="1" applyBorder="1" applyAlignment="1">
      <alignment horizontal="center"/>
    </xf>
    <xf numFmtId="167" fontId="0" fillId="9" borderId="17" xfId="0" applyNumberFormat="1" applyFill="1" applyBorder="1"/>
    <xf numFmtId="167" fontId="0" fillId="9" borderId="15" xfId="0" applyNumberFormat="1" applyFill="1" applyBorder="1"/>
    <xf numFmtId="167" fontId="0" fillId="0" borderId="0" xfId="0" applyNumberFormat="1"/>
    <xf numFmtId="167" fontId="0" fillId="10" borderId="17" xfId="0" applyNumberFormat="1" applyFill="1" applyBorder="1"/>
    <xf numFmtId="167" fontId="0" fillId="10" borderId="15" xfId="0" applyNumberFormat="1" applyFill="1" applyBorder="1"/>
    <xf numFmtId="167" fontId="0" fillId="4" borderId="17" xfId="0" applyNumberFormat="1" applyFill="1" applyBorder="1"/>
    <xf numFmtId="167" fontId="0" fillId="4" borderId="15" xfId="0" applyNumberFormat="1" applyFill="1" applyBorder="1"/>
    <xf numFmtId="167" fontId="0" fillId="5" borderId="17" xfId="0" applyNumberFormat="1" applyFill="1" applyBorder="1"/>
    <xf numFmtId="167" fontId="0" fillId="5" borderId="11" xfId="0" applyNumberFormat="1" applyFill="1" applyBorder="1"/>
    <xf numFmtId="167" fontId="3" fillId="5" borderId="11" xfId="0" applyNumberFormat="1" applyFont="1" applyFill="1" applyBorder="1"/>
    <xf numFmtId="167" fontId="0" fillId="5" borderId="15" xfId="0" applyNumberFormat="1" applyFill="1" applyBorder="1"/>
    <xf numFmtId="167" fontId="0" fillId="4" borderId="11" xfId="0" applyNumberFormat="1" applyFill="1" applyBorder="1"/>
    <xf numFmtId="0" fontId="6" fillId="11" borderId="31" xfId="0" applyFont="1" applyFill="1" applyBorder="1" applyAlignment="1">
      <alignment horizontal="center"/>
    </xf>
    <xf numFmtId="167" fontId="4" fillId="12" borderId="32" xfId="0" applyNumberFormat="1" applyFont="1" applyFill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9" fontId="1" fillId="7" borderId="0" xfId="0" applyNumberFormat="1" applyFont="1" applyFill="1" applyAlignment="1">
      <alignment horizontal="center"/>
    </xf>
    <xf numFmtId="9" fontId="1" fillId="0" borderId="0" xfId="0" applyNumberFormat="1" applyFont="1"/>
    <xf numFmtId="164" fontId="0" fillId="0" borderId="0" xfId="0" applyNumberFormat="1"/>
    <xf numFmtId="0" fontId="7" fillId="13" borderId="0" xfId="0" applyFont="1" applyFill="1" applyAlignment="1">
      <alignment horizontal="center"/>
    </xf>
    <xf numFmtId="168" fontId="1" fillId="2" borderId="4" xfId="0" applyNumberFormat="1" applyFont="1" applyFill="1" applyBorder="1"/>
    <xf numFmtId="0" fontId="0" fillId="7" borderId="0" xfId="0" applyFill="1"/>
    <xf numFmtId="10" fontId="0" fillId="0" borderId="0" xfId="0" applyNumberFormat="1"/>
    <xf numFmtId="10" fontId="13" fillId="0" borderId="0" xfId="0" applyNumberFormat="1" applyFont="1"/>
    <xf numFmtId="164" fontId="11" fillId="0" borderId="0" xfId="0" applyNumberFormat="1" applyFont="1"/>
    <xf numFmtId="9" fontId="12" fillId="0" borderId="0" xfId="0" applyNumberFormat="1" applyFont="1"/>
    <xf numFmtId="164" fontId="0" fillId="7" borderId="0" xfId="0" applyNumberFormat="1" applyFill="1"/>
    <xf numFmtId="164" fontId="1" fillId="0" borderId="0" xfId="0" applyNumberFormat="1" applyFont="1"/>
    <xf numFmtId="0" fontId="0" fillId="9" borderId="1" xfId="0" applyFill="1" applyBorder="1" applyAlignment="1">
      <alignment horizontal="left"/>
    </xf>
    <xf numFmtId="0" fontId="0" fillId="9" borderId="1" xfId="0" applyFill="1" applyBorder="1"/>
    <xf numFmtId="167" fontId="0" fillId="9" borderId="1" xfId="0" applyNumberFormat="1" applyFill="1" applyBorder="1"/>
    <xf numFmtId="9" fontId="0" fillId="0" borderId="1" xfId="0" applyNumberFormat="1" applyBorder="1"/>
    <xf numFmtId="0" fontId="0" fillId="0" borderId="1" xfId="0" applyBorder="1"/>
    <xf numFmtId="0" fontId="0" fillId="9" borderId="33" xfId="0" applyFill="1" applyBorder="1" applyAlignment="1">
      <alignment horizontal="left"/>
    </xf>
    <xf numFmtId="0" fontId="0" fillId="9" borderId="33" xfId="0" applyFill="1" applyBorder="1"/>
    <xf numFmtId="167" fontId="0" fillId="9" borderId="33" xfId="0" applyNumberFormat="1" applyFill="1" applyBorder="1"/>
    <xf numFmtId="0" fontId="0" fillId="0" borderId="33" xfId="0" applyBorder="1"/>
    <xf numFmtId="0" fontId="0" fillId="10" borderId="1" xfId="0" applyFill="1" applyBorder="1" applyAlignment="1">
      <alignment horizontal="left"/>
    </xf>
    <xf numFmtId="0" fontId="0" fillId="10" borderId="1" xfId="0" applyFill="1" applyBorder="1"/>
    <xf numFmtId="167" fontId="0" fillId="10" borderId="1" xfId="0" applyNumberFormat="1" applyFill="1" applyBorder="1"/>
    <xf numFmtId="0" fontId="0" fillId="4" borderId="1" xfId="0" applyFill="1" applyBorder="1" applyAlignment="1">
      <alignment horizontal="left"/>
    </xf>
    <xf numFmtId="0" fontId="0" fillId="4" borderId="1" xfId="0" applyFill="1" applyBorder="1"/>
    <xf numFmtId="167" fontId="0" fillId="4" borderId="1" xfId="0" applyNumberFormat="1" applyFill="1" applyBorder="1"/>
    <xf numFmtId="0" fontId="0" fillId="5" borderId="1" xfId="0" applyFill="1" applyBorder="1" applyAlignment="1">
      <alignment horizontal="left"/>
    </xf>
    <xf numFmtId="0" fontId="0" fillId="5" borderId="1" xfId="0" applyFill="1" applyBorder="1"/>
    <xf numFmtId="167" fontId="0" fillId="5" borderId="1" xfId="0" applyNumberFormat="1" applyFill="1" applyBorder="1"/>
    <xf numFmtId="164" fontId="4" fillId="12" borderId="1" xfId="0" applyNumberFormat="1" applyFont="1" applyFill="1" applyBorder="1" applyAlignment="1">
      <alignment horizontal="center"/>
    </xf>
    <xf numFmtId="167" fontId="3" fillId="5" borderId="1" xfId="0" applyNumberFormat="1" applyFont="1" applyFill="1" applyBorder="1"/>
    <xf numFmtId="9" fontId="5" fillId="0" borderId="1" xfId="0" applyNumberFormat="1" applyFont="1" applyBorder="1"/>
    <xf numFmtId="0" fontId="3" fillId="5" borderId="1" xfId="0" applyFont="1" applyFill="1" applyBorder="1" applyAlignment="1">
      <alignment horizontal="left"/>
    </xf>
    <xf numFmtId="9" fontId="3" fillId="0" borderId="1" xfId="0" applyNumberFormat="1" applyFont="1" applyBorder="1"/>
    <xf numFmtId="9" fontId="3" fillId="0" borderId="33" xfId="0" applyNumberFormat="1" applyFont="1" applyBorder="1"/>
    <xf numFmtId="164" fontId="0" fillId="0" borderId="1" xfId="0" applyNumberFormat="1" applyBorder="1"/>
    <xf numFmtId="0" fontId="9" fillId="14" borderId="0" xfId="0" applyFont="1" applyFill="1" applyAlignment="1">
      <alignment horizontal="center"/>
    </xf>
    <xf numFmtId="0" fontId="0" fillId="14" borderId="0" xfId="0" applyFill="1"/>
    <xf numFmtId="0" fontId="14" fillId="14" borderId="0" xfId="0" applyFont="1" applyFill="1" applyAlignment="1">
      <alignment horizontal="center"/>
    </xf>
    <xf numFmtId="0" fontId="16" fillId="10" borderId="0" xfId="0" applyFont="1" applyFill="1" applyAlignment="1">
      <alignment horizontal="center"/>
    </xf>
    <xf numFmtId="10" fontId="17" fillId="10" borderId="0" xfId="0" applyNumberFormat="1" applyFont="1" applyFill="1"/>
    <xf numFmtId="10" fontId="4" fillId="12" borderId="1" xfId="0" applyNumberFormat="1" applyFont="1" applyFill="1" applyBorder="1" applyAlignment="1">
      <alignment horizontal="center"/>
    </xf>
    <xf numFmtId="169" fontId="1" fillId="0" borderId="0" xfId="0" applyNumberFormat="1" applyFont="1"/>
    <xf numFmtId="0" fontId="16" fillId="0" borderId="0" xfId="0" applyFont="1" applyAlignment="1">
      <alignment horizontal="center"/>
    </xf>
    <xf numFmtId="0" fontId="9" fillId="8" borderId="0" xfId="0" applyFont="1" applyFill="1" applyAlignment="1">
      <alignment horizontal="center"/>
    </xf>
    <xf numFmtId="0" fontId="4" fillId="8" borderId="34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center" vertical="center"/>
    </xf>
    <xf numFmtId="0" fontId="4" fillId="8" borderId="27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/>
    </xf>
    <xf numFmtId="0" fontId="4" fillId="8" borderId="24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 Market Size 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995630368436477E-3"/>
                  <c:y val="-0.120370370370370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A8E-428C-83E7-ACBD505944BD}"/>
                </c:ext>
              </c:extLst>
            </c:dLbl>
            <c:dLbl>
              <c:idx val="1"/>
              <c:layout>
                <c:manualLayout>
                  <c:x val="5.2493445552654712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8E-428C-83E7-ACBD505944BD}"/>
                </c:ext>
              </c:extLst>
            </c:dLbl>
            <c:dLbl>
              <c:idx val="2"/>
              <c:layout>
                <c:manualLayout>
                  <c:x val="1.2248470628952767E-2"/>
                  <c:y val="-0.120370370370370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8E-428C-83E7-ACBD505944BD}"/>
                </c:ext>
              </c:extLst>
            </c:dLbl>
            <c:dLbl>
              <c:idx val="3"/>
              <c:layout>
                <c:manualLayout>
                  <c:x val="1.2248470628952735E-2"/>
                  <c:y val="-0.148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8E-428C-83E7-ACBD505944BD}"/>
                </c:ext>
              </c:extLst>
            </c:dLbl>
            <c:dLbl>
              <c:idx val="4"/>
              <c:layout>
                <c:manualLayout>
                  <c:x val="6.9991260736872313E-3"/>
                  <c:y val="-0.125000000000000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A8E-428C-83E7-ACBD505944BD}"/>
                </c:ext>
              </c:extLst>
            </c:dLbl>
            <c:dLbl>
              <c:idx val="5"/>
              <c:layout>
                <c:manualLayout>
                  <c:x val="5.249344555265407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8E-428C-83E7-ACBD505944BD}"/>
                </c:ext>
              </c:extLst>
            </c:dLbl>
            <c:dLbl>
              <c:idx val="6"/>
              <c:layout>
                <c:manualLayout>
                  <c:x val="-3.4995630368436477E-3"/>
                  <c:y val="-0.194444444444444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A8E-428C-83E7-ACBD505944BD}"/>
                </c:ext>
              </c:extLst>
            </c:dLbl>
            <c:dLbl>
              <c:idx val="7"/>
              <c:layout>
                <c:manualLayout>
                  <c:x val="5.249344555265407E-3"/>
                  <c:y val="-0.166666666666666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A8E-428C-83E7-ACBD505944BD}"/>
                </c:ext>
              </c:extLst>
            </c:dLbl>
            <c:dLbl>
              <c:idx val="8"/>
              <c:layout>
                <c:manualLayout>
                  <c:x val="5.2493445552653428E-3"/>
                  <c:y val="-0.208333333333333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A8E-428C-83E7-ACBD505944BD}"/>
                </c:ext>
              </c:extLst>
            </c:dLbl>
            <c:dLbl>
              <c:idx val="9"/>
              <c:layout>
                <c:manualLayout>
                  <c:x val="8.7489075921089905E-3"/>
                  <c:y val="-0.273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A8E-428C-83E7-ACBD505944BD}"/>
                </c:ext>
              </c:extLst>
            </c:dLbl>
            <c:dLbl>
              <c:idx val="10"/>
              <c:layout>
                <c:manualLayout>
                  <c:x val="1.0498689110530814E-2"/>
                  <c:y val="-0.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A8E-428C-83E7-ACBD505944BD}"/>
                </c:ext>
              </c:extLst>
            </c:dLbl>
            <c:dLbl>
              <c:idx val="11"/>
              <c:layout>
                <c:manualLayout>
                  <c:x val="-1.2831582903552711E-16"/>
                  <c:y val="-0.300925925925925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A8E-428C-83E7-ACBD505944BD}"/>
                </c:ext>
              </c:extLst>
            </c:dLbl>
            <c:dLbl>
              <c:idx val="12"/>
              <c:layout>
                <c:manualLayout>
                  <c:x val="-1.7497815184219522E-3"/>
                  <c:y val="-0.34259259259259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A8E-428C-83E7-ACBD505944BD}"/>
                </c:ext>
              </c:extLst>
            </c:dLbl>
            <c:dLbl>
              <c:idx val="13"/>
              <c:layout>
                <c:manualLayout>
                  <c:x val="-1.7497815184219522E-3"/>
                  <c:y val="-0.384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A8E-428C-83E7-ACBD505944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Global!$D$13:$Q$13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Global!$D$14:$Q$14</c:f>
              <c:numCache>
                <c:formatCode>_ * #,##0.0_ ;_ * \-#,##0.0_ ;_ * "-"??_ ;_ @_ </c:formatCode>
                <c:ptCount val="14"/>
                <c:pt idx="0">
                  <c:v>4589</c:v>
                </c:pt>
                <c:pt idx="1">
                  <c:v>5133.73596008</c:v>
                </c:pt>
                <c:pt idx="2">
                  <c:v>5753.0666260357775</c:v>
                </c:pt>
                <c:pt idx="3">
                  <c:v>6458.3340830333336</c:v>
                </c:pt>
                <c:pt idx="4">
                  <c:v>7262.7697765657776</c:v>
                </c:pt>
                <c:pt idx="5">
                  <c:v>8181.8371659361346</c:v>
                </c:pt>
                <c:pt idx="6">
                  <c:v>9233.6418179764842</c:v>
                </c:pt>
                <c:pt idx="7">
                  <c:v>10439.423310893157</c:v>
                </c:pt>
                <c:pt idx="8">
                  <c:v>11824.1466246282</c:v>
                </c:pt>
                <c:pt idx="9">
                  <c:v>13417.214819947749</c:v>
                </c:pt>
                <c:pt idx="10">
                  <c:v>15253.329971597685</c:v>
                </c:pt>
                <c:pt idx="11">
                  <c:v>17373.535801390906</c:v>
                </c:pt>
                <c:pt idx="12">
                  <c:v>19826.48361607402</c:v>
                </c:pt>
                <c:pt idx="13">
                  <c:v>22669.973459312536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A8E-428C-83E7-ACBD50594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_ * #,##0.0_ ;_ * \-#,##0.0_ ;_ * &quot;-&quot;??_ ;_ @_ 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By</a:t>
            </a:r>
            <a:r>
              <a:rPr lang="en-US" baseline="0">
                <a:solidFill>
                  <a:schemeClr val="bg1"/>
                </a:solidFill>
              </a:rPr>
              <a:t> Sample </a:t>
            </a:r>
            <a:r>
              <a:rPr lang="en-US">
                <a:solidFill>
                  <a:schemeClr val="bg1"/>
                </a:solidFill>
              </a:rPr>
              <a:t>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Global!$B$22</c:f>
              <c:strCache>
                <c:ptCount val="1"/>
                <c:pt idx="0">
                  <c:v>Urine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Global!$D$13:$Q$13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Global!$D$22:$Q$22</c:f>
              <c:numCache>
                <c:formatCode>_ * #,##0.0_ ;_ * \-#,##0.0_ ;_ * "-"??_ ;_ @_ </c:formatCode>
                <c:ptCount val="14"/>
                <c:pt idx="0">
                  <c:v>917.80000000000007</c:v>
                </c:pt>
                <c:pt idx="1">
                  <c:v>1027.14209478216</c:v>
                </c:pt>
                <c:pt idx="2">
                  <c:v>1151.4984123803918</c:v>
                </c:pt>
                <c:pt idx="3">
                  <c:v>1293.157201395059</c:v>
                </c:pt>
                <c:pt idx="4">
                  <c:v>1454.7886537059449</c:v>
                </c:pt>
                <c:pt idx="5">
                  <c:v>1639.514293635664</c:v>
                </c:pt>
                <c:pt idx="6">
                  <c:v>1850.990044434363</c:v>
                </c:pt>
                <c:pt idx="7">
                  <c:v>2093.5058901152661</c:v>
                </c:pt>
                <c:pt idx="8">
                  <c:v>2372.1057228484879</c:v>
                </c:pt>
                <c:pt idx="9">
                  <c:v>2692.7318050187446</c:v>
                </c:pt>
                <c:pt idx="10">
                  <c:v>3062.39932506692</c:v>
                </c:pt>
                <c:pt idx="11">
                  <c:v>3489.4078444178194</c:v>
                </c:pt>
                <c:pt idx="12">
                  <c:v>3983.5980927065648</c:v>
                </c:pt>
                <c:pt idx="13">
                  <c:v>4556.6646653218204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5-44B2-A33A-6337E6E84BF3}"/>
            </c:ext>
          </c:extLst>
        </c:ser>
        <c:ser>
          <c:idx val="0"/>
          <c:order val="1"/>
          <c:tx>
            <c:strRef>
              <c:f>Global!$B$23</c:f>
              <c:strCache>
                <c:ptCount val="1"/>
                <c:pt idx="0">
                  <c:v>Others (Serum)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Global!$D$23:$Q$23</c:f>
              <c:numCache>
                <c:formatCode>_ * #,##0.0_ ;_ * \-#,##0.0_ ;_ * "-"??_ ;_ @_ </c:formatCode>
                <c:ptCount val="14"/>
                <c:pt idx="0">
                  <c:v>458.90000000000043</c:v>
                </c:pt>
                <c:pt idx="1">
                  <c:v>512.58379047568042</c:v>
                </c:pt>
                <c:pt idx="2">
                  <c:v>573.53648825710547</c:v>
                </c:pt>
                <c:pt idx="3">
                  <c:v>642.852638726549</c:v>
                </c:pt>
                <c:pt idx="4">
                  <c:v>721.807580870999</c:v>
                </c:pt>
                <c:pt idx="5">
                  <c:v>811.88999569673956</c:v>
                </c:pt>
                <c:pt idx="6">
                  <c:v>914.84082011951716</c:v>
                </c:pt>
                <c:pt idx="7">
                  <c:v>1032.6998752160468</c:v>
                </c:pt>
                <c:pt idx="8">
                  <c:v>1167.8618666171244</c:v>
                </c:pt>
                <c:pt idx="9">
                  <c:v>1323.1437999363864</c:v>
                </c:pt>
                <c:pt idx="10">
                  <c:v>1501.8663356650031</c:v>
                </c:pt>
                <c:pt idx="11">
                  <c:v>1707.9522118598159</c:v>
                </c:pt>
                <c:pt idx="12">
                  <c:v>1946.0456226238828</c:v>
                </c:pt>
                <c:pt idx="13">
                  <c:v>2221.6573990126303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75-44B2-A33A-6337E6E84BF3}"/>
            </c:ext>
          </c:extLst>
        </c:ser>
        <c:ser>
          <c:idx val="2"/>
          <c:order val="2"/>
          <c:tx>
            <c:strRef>
              <c:f>Global!$B$21</c:f>
              <c:strCache>
                <c:ptCount val="1"/>
                <c:pt idx="0">
                  <c:v>Blood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293969768205198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D75-44B2-A33A-6337E6E84BF3}"/>
                </c:ext>
              </c:extLst>
            </c:dLbl>
            <c:dLbl>
              <c:idx val="1"/>
              <c:layout>
                <c:manualLayout>
                  <c:x val="3.5725804171676838E-3"/>
                  <c:y val="-0.293969768205198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75-44B2-A33A-6337E6E84BF3}"/>
                </c:ext>
              </c:extLst>
            </c:dLbl>
            <c:dLbl>
              <c:idx val="2"/>
              <c:layout>
                <c:manualLayout>
                  <c:x val="5.3588706257515252E-3"/>
                  <c:y val="-0.322884827372922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75-44B2-A33A-6337E6E84BF3}"/>
                </c:ext>
              </c:extLst>
            </c:dLbl>
            <c:dLbl>
              <c:idx val="3"/>
              <c:layout>
                <c:manualLayout>
                  <c:x val="1.071774125150305E-2"/>
                  <c:y val="-0.318065650844968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75-44B2-A33A-6337E6E84BF3}"/>
                </c:ext>
              </c:extLst>
            </c:dLbl>
            <c:dLbl>
              <c:idx val="4"/>
              <c:layout>
                <c:manualLayout>
                  <c:x val="7.1451608343353675E-3"/>
                  <c:y val="-0.293969768205198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D75-44B2-A33A-6337E6E84BF3}"/>
                </c:ext>
              </c:extLst>
            </c:dLbl>
            <c:dLbl>
              <c:idx val="5"/>
              <c:layout>
                <c:manualLayout>
                  <c:x val="7.1451608343353675E-3"/>
                  <c:y val="-0.260235532509519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D75-44B2-A33A-6337E6E84BF3}"/>
                </c:ext>
              </c:extLst>
            </c:dLbl>
            <c:dLbl>
              <c:idx val="6"/>
              <c:layout>
                <c:manualLayout>
                  <c:x val="1.7862902085838419E-3"/>
                  <c:y val="-0.260235532509519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D75-44B2-A33A-6337E6E84BF3}"/>
                </c:ext>
              </c:extLst>
            </c:dLbl>
            <c:dLbl>
              <c:idx val="7"/>
              <c:layout>
                <c:manualLayout>
                  <c:x val="1.2504031460086893E-2"/>
                  <c:y val="-0.265054709037473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D75-44B2-A33A-6337E6E84BF3}"/>
                </c:ext>
              </c:extLst>
            </c:dLbl>
            <c:dLbl>
              <c:idx val="8"/>
              <c:layout>
                <c:manualLayout>
                  <c:x val="1.607661187725451E-2"/>
                  <c:y val="-0.25541635598156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D75-44B2-A33A-6337E6E84BF3}"/>
                </c:ext>
              </c:extLst>
            </c:dLbl>
            <c:dLbl>
              <c:idx val="9"/>
              <c:layout>
                <c:manualLayout>
                  <c:x val="1.071774125150305E-2"/>
                  <c:y val="-0.284331415149290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D75-44B2-A33A-6337E6E84BF3}"/>
                </c:ext>
              </c:extLst>
            </c:dLbl>
            <c:dLbl>
              <c:idx val="10"/>
              <c:layout>
                <c:manualLayout>
                  <c:x val="3.5725804171676838E-3"/>
                  <c:y val="-0.2891505916772442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D75-44B2-A33A-6337E6E84BF3}"/>
                </c:ext>
              </c:extLst>
            </c:dLbl>
            <c:dLbl>
              <c:idx val="11"/>
              <c:layout>
                <c:manualLayout>
                  <c:x val="1.7862902085838419E-3"/>
                  <c:y val="-0.332523180428830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D75-44B2-A33A-6337E6E84BF3}"/>
                </c:ext>
              </c:extLst>
            </c:dLbl>
            <c:dLbl>
              <c:idx val="12"/>
              <c:layout>
                <c:manualLayout>
                  <c:x val="-3.5725804171676838E-3"/>
                  <c:y val="-0.318065650844968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D75-44B2-A33A-6337E6E84BF3}"/>
                </c:ext>
              </c:extLst>
            </c:dLbl>
            <c:dLbl>
              <c:idx val="13"/>
              <c:layout>
                <c:manualLayout>
                  <c:x val="3.5725804171675528E-3"/>
                  <c:y val="-0.260235532509519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D75-44B2-A33A-6337E6E84B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Global!$D$21:$Q$21</c:f>
              <c:numCache>
                <c:formatCode>_ * #,##0.0_ ;_ * \-#,##0.0_ ;_ * "-"??_ ;_ @_ </c:formatCode>
                <c:ptCount val="14"/>
                <c:pt idx="0">
                  <c:v>3212.2999999999997</c:v>
                </c:pt>
                <c:pt idx="1">
                  <c:v>3594.0100748221598</c:v>
                </c:pt>
                <c:pt idx="2">
                  <c:v>4028.0317253982803</c:v>
                </c:pt>
                <c:pt idx="3">
                  <c:v>4522.3242429117254</c:v>
                </c:pt>
                <c:pt idx="4">
                  <c:v>5086.1735419888337</c:v>
                </c:pt>
                <c:pt idx="5">
                  <c:v>5730.4328766037315</c:v>
                </c:pt>
                <c:pt idx="6">
                  <c:v>6467.8109534226041</c:v>
                </c:pt>
                <c:pt idx="7">
                  <c:v>7313.2175455618435</c:v>
                </c:pt>
                <c:pt idx="8">
                  <c:v>8284.1790351625878</c:v>
                </c:pt>
                <c:pt idx="9">
                  <c:v>9401.3392149926185</c:v>
                </c:pt>
                <c:pt idx="10">
                  <c:v>10689.06431086576</c:v>
                </c:pt>
                <c:pt idx="11">
                  <c:v>12176.175745113273</c:v>
                </c:pt>
                <c:pt idx="12">
                  <c:v>13896.839900743573</c:v>
                </c:pt>
                <c:pt idx="13">
                  <c:v>15891.651394978087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D75-44B2-A33A-6337E6E84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 Market Size 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995630368436477E-3"/>
                  <c:y val="-0.120370370370370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64-4FEA-A7F3-1970BF1DDFC8}"/>
                </c:ext>
              </c:extLst>
            </c:dLbl>
            <c:dLbl>
              <c:idx val="1"/>
              <c:layout>
                <c:manualLayout>
                  <c:x val="5.2493445552654712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64-4FEA-A7F3-1970BF1DDFC8}"/>
                </c:ext>
              </c:extLst>
            </c:dLbl>
            <c:dLbl>
              <c:idx val="2"/>
              <c:layout>
                <c:manualLayout>
                  <c:x val="1.2248470628952767E-2"/>
                  <c:y val="-0.120370370370370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64-4FEA-A7F3-1970BF1DDFC8}"/>
                </c:ext>
              </c:extLst>
            </c:dLbl>
            <c:dLbl>
              <c:idx val="3"/>
              <c:layout>
                <c:manualLayout>
                  <c:x val="1.2248470628952735E-2"/>
                  <c:y val="-0.148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64-4FEA-A7F3-1970BF1DDFC8}"/>
                </c:ext>
              </c:extLst>
            </c:dLbl>
            <c:dLbl>
              <c:idx val="4"/>
              <c:layout>
                <c:manualLayout>
                  <c:x val="6.9991260736872313E-3"/>
                  <c:y val="-0.125000000000000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F64-4FEA-A7F3-1970BF1DDFC8}"/>
                </c:ext>
              </c:extLst>
            </c:dLbl>
            <c:dLbl>
              <c:idx val="5"/>
              <c:layout>
                <c:manualLayout>
                  <c:x val="5.249344555265407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64-4FEA-A7F3-1970BF1DDFC8}"/>
                </c:ext>
              </c:extLst>
            </c:dLbl>
            <c:dLbl>
              <c:idx val="6"/>
              <c:layout>
                <c:manualLayout>
                  <c:x val="-3.4995630368436477E-3"/>
                  <c:y val="-0.194444444444444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F64-4FEA-A7F3-1970BF1DDFC8}"/>
                </c:ext>
              </c:extLst>
            </c:dLbl>
            <c:dLbl>
              <c:idx val="7"/>
              <c:layout>
                <c:manualLayout>
                  <c:x val="5.249344555265407E-3"/>
                  <c:y val="-0.166666666666666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F64-4FEA-A7F3-1970BF1DDFC8}"/>
                </c:ext>
              </c:extLst>
            </c:dLbl>
            <c:dLbl>
              <c:idx val="8"/>
              <c:layout>
                <c:manualLayout>
                  <c:x val="5.2493445552653428E-3"/>
                  <c:y val="-0.208333333333333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F64-4FEA-A7F3-1970BF1DDFC8}"/>
                </c:ext>
              </c:extLst>
            </c:dLbl>
            <c:dLbl>
              <c:idx val="9"/>
              <c:layout>
                <c:manualLayout>
                  <c:x val="8.7489075921089905E-3"/>
                  <c:y val="-0.273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F64-4FEA-A7F3-1970BF1DDFC8}"/>
                </c:ext>
              </c:extLst>
            </c:dLbl>
            <c:dLbl>
              <c:idx val="10"/>
              <c:layout>
                <c:manualLayout>
                  <c:x val="1.0498689110530814E-2"/>
                  <c:y val="-0.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F64-4FEA-A7F3-1970BF1DDFC8}"/>
                </c:ext>
              </c:extLst>
            </c:dLbl>
            <c:dLbl>
              <c:idx val="11"/>
              <c:layout>
                <c:manualLayout>
                  <c:x val="-1.2831582903552711E-16"/>
                  <c:y val="-0.300925925925925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F64-4FEA-A7F3-1970BF1DDFC8}"/>
                </c:ext>
              </c:extLst>
            </c:dLbl>
            <c:dLbl>
              <c:idx val="12"/>
              <c:layout>
                <c:manualLayout>
                  <c:x val="-1.7497815184219522E-3"/>
                  <c:y val="-0.34259259259259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F64-4FEA-A7F3-1970BF1DDFC8}"/>
                </c:ext>
              </c:extLst>
            </c:dLbl>
            <c:dLbl>
              <c:idx val="13"/>
              <c:layout>
                <c:manualLayout>
                  <c:x val="-1.7497815184219522E-3"/>
                  <c:y val="-0.384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F64-4FEA-A7F3-1970BF1DDF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Dashboard!$D$25:$Q$25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Dashboard!$D$26:$Q$26</c:f>
              <c:numCache>
                <c:formatCode>_ * #,##0.0_ ;_ * \-#,##0.0_ ;_ * "-"??_ ;_ @_ </c:formatCode>
                <c:ptCount val="14"/>
                <c:pt idx="0">
                  <c:v>977.45699999999988</c:v>
                </c:pt>
                <c:pt idx="1">
                  <c:v>1097.2402252500001</c:v>
                </c:pt>
                <c:pt idx="2">
                  <c:v>1233.1111116189686</c:v>
                </c:pt>
                <c:pt idx="3">
                  <c:v>1387.436791557981</c:v>
                </c:pt>
                <c:pt idx="4">
                  <c:v>1562.9683404044595</c:v>
                </c:pt>
                <c:pt idx="5">
                  <c:v>1762.9100506389991</c:v>
                </c:pt>
                <c:pt idx="6">
                  <c:v>1991.0027203077198</c:v>
                </c:pt>
                <c:pt idx="7">
                  <c:v>2251.6241418517857</c:v>
                </c:pt>
                <c:pt idx="8">
                  <c:v>2549.9107873398543</c:v>
                </c:pt>
                <c:pt idx="9">
                  <c:v>2891.905723199608</c:v>
                </c:pt>
                <c:pt idx="10">
                  <c:v>3284.7391215077914</c:v>
                </c:pt>
                <c:pt idx="11">
                  <c:v>3736.8494580854644</c:v>
                </c:pt>
                <c:pt idx="12">
                  <c:v>4258.2557232441295</c:v>
                </c:pt>
                <c:pt idx="13">
                  <c:v>4860.8938839784078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F64-4FEA-A7F3-1970BF1DD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_ * #,##0.0_ ;_ * \-#,##0.0_ ;_ * &quot;-&quot;??_ ;_ @_ 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By</a:t>
            </a:r>
            <a:r>
              <a:rPr lang="en-US" baseline="0">
                <a:solidFill>
                  <a:schemeClr val="bg1"/>
                </a:solidFill>
              </a:rPr>
              <a:t> Sample </a:t>
            </a:r>
            <a:r>
              <a:rPr lang="en-US">
                <a:solidFill>
                  <a:schemeClr val="bg1"/>
                </a:solidFill>
              </a:rPr>
              <a:t>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Dashboard!$B$34</c:f>
              <c:strCache>
                <c:ptCount val="1"/>
                <c:pt idx="0">
                  <c:v>Urine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Dashboard!$D$25:$Q$25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Dashboard!$D$34:$Q$34</c:f>
              <c:numCache>
                <c:formatCode>_ * #,##0.0_ ;_ * \-#,##0.0_ ;_ * "-"??_ ;_ @_ </c:formatCode>
                <c:ptCount val="14"/>
                <c:pt idx="0">
                  <c:v>195.4914</c:v>
                </c:pt>
                <c:pt idx="1">
                  <c:v>219.53244814425</c:v>
                </c:pt>
                <c:pt idx="2">
                  <c:v>246.81193172558125</c:v>
                </c:pt>
                <c:pt idx="3">
                  <c:v>277.80753603272495</c:v>
                </c:pt>
                <c:pt idx="4">
                  <c:v>313.07458141640092</c:v>
                </c:pt>
                <c:pt idx="5">
                  <c:v>353.26005245496867</c:v>
                </c:pt>
                <c:pt idx="6">
                  <c:v>399.11946839399366</c:v>
                </c:pt>
                <c:pt idx="7">
                  <c:v>451.53724136981583</c:v>
                </c:pt>
                <c:pt idx="8">
                  <c:v>511.55133333710307</c:v>
                </c:pt>
                <c:pt idx="9">
                  <c:v>580.38323321752137</c:v>
                </c:pt>
                <c:pt idx="10">
                  <c:v>659.47454670271816</c:v>
                </c:pt>
                <c:pt idx="11">
                  <c:v>750.53184115854981</c:v>
                </c:pt>
                <c:pt idx="12">
                  <c:v>855.58184223951275</c:v>
                </c:pt>
                <c:pt idx="13">
                  <c:v>977.03967067966005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B-4288-87CF-BC2C636CF33B}"/>
            </c:ext>
          </c:extLst>
        </c:ser>
        <c:ser>
          <c:idx val="0"/>
          <c:order val="1"/>
          <c:tx>
            <c:strRef>
              <c:f>Dashboard!$B$35</c:f>
              <c:strCache>
                <c:ptCount val="1"/>
                <c:pt idx="0">
                  <c:v>Others (Serum)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Dashboard!$D$35:$Q$35</c:f>
              <c:numCache>
                <c:formatCode>_ * #,##0.0_ ;_ * \-#,##0.0_ ;_ * "-"??_ ;_ @_ </c:formatCode>
                <c:ptCount val="14"/>
                <c:pt idx="0">
                  <c:v>97.74570000000007</c:v>
                </c:pt>
                <c:pt idx="1">
                  <c:v>109.5552163365001</c:v>
                </c:pt>
                <c:pt idx="2">
                  <c:v>122.93169235832185</c:v>
                </c:pt>
                <c:pt idx="3">
                  <c:v>138.10332371354062</c:v>
                </c:pt>
                <c:pt idx="4">
                  <c:v>155.33500736942784</c:v>
                </c:pt>
                <c:pt idx="5">
                  <c:v>174.93492040956224</c:v>
                </c:pt>
                <c:pt idx="6">
                  <c:v>197.26242336587273</c:v>
                </c:pt>
                <c:pt idx="7">
                  <c:v>222.73758818626143</c:v>
                </c:pt>
                <c:pt idx="8">
                  <c:v>251.85272699572116</c:v>
                </c:pt>
                <c:pt idx="9">
                  <c:v>285.18639516476145</c:v>
                </c:pt>
                <c:pt idx="10">
                  <c:v>323.42046734845957</c:v>
                </c:pt>
                <c:pt idx="11">
                  <c:v>367.36104672563306</c:v>
                </c:pt>
                <c:pt idx="12">
                  <c:v>417.96417714303959</c:v>
                </c:pt>
                <c:pt idx="13">
                  <c:v>476.36760062988441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CB-4288-87CF-BC2C636CF33B}"/>
            </c:ext>
          </c:extLst>
        </c:ser>
        <c:ser>
          <c:idx val="2"/>
          <c:order val="2"/>
          <c:tx>
            <c:strRef>
              <c:f>Dashboard!$B$33</c:f>
              <c:strCache>
                <c:ptCount val="1"/>
                <c:pt idx="0">
                  <c:v>Blood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293969768205198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CB-4288-87CF-BC2C636CF33B}"/>
                </c:ext>
              </c:extLst>
            </c:dLbl>
            <c:dLbl>
              <c:idx val="1"/>
              <c:layout>
                <c:manualLayout>
                  <c:x val="3.5725804171676838E-3"/>
                  <c:y val="-0.293969768205198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CB-4288-87CF-BC2C636CF33B}"/>
                </c:ext>
              </c:extLst>
            </c:dLbl>
            <c:dLbl>
              <c:idx val="2"/>
              <c:layout>
                <c:manualLayout>
                  <c:x val="5.3588706257515252E-3"/>
                  <c:y val="-0.322884827372922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5CB-4288-87CF-BC2C636CF33B}"/>
                </c:ext>
              </c:extLst>
            </c:dLbl>
            <c:dLbl>
              <c:idx val="3"/>
              <c:layout>
                <c:manualLayout>
                  <c:x val="1.071774125150305E-2"/>
                  <c:y val="-0.318065650844968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5CB-4288-87CF-BC2C636CF33B}"/>
                </c:ext>
              </c:extLst>
            </c:dLbl>
            <c:dLbl>
              <c:idx val="4"/>
              <c:layout>
                <c:manualLayout>
                  <c:x val="7.1451608343353675E-3"/>
                  <c:y val="-0.293969768205198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5CB-4288-87CF-BC2C636CF33B}"/>
                </c:ext>
              </c:extLst>
            </c:dLbl>
            <c:dLbl>
              <c:idx val="5"/>
              <c:layout>
                <c:manualLayout>
                  <c:x val="7.1451608343353675E-3"/>
                  <c:y val="-0.260235532509519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CB-4288-87CF-BC2C636CF33B}"/>
                </c:ext>
              </c:extLst>
            </c:dLbl>
            <c:dLbl>
              <c:idx val="6"/>
              <c:layout>
                <c:manualLayout>
                  <c:x val="1.7862902085838419E-3"/>
                  <c:y val="-0.260235532509519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5CB-4288-87CF-BC2C636CF33B}"/>
                </c:ext>
              </c:extLst>
            </c:dLbl>
            <c:dLbl>
              <c:idx val="7"/>
              <c:layout>
                <c:manualLayout>
                  <c:x val="1.2504031460086893E-2"/>
                  <c:y val="-0.265054709037473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5CB-4288-87CF-BC2C636CF33B}"/>
                </c:ext>
              </c:extLst>
            </c:dLbl>
            <c:dLbl>
              <c:idx val="8"/>
              <c:layout>
                <c:manualLayout>
                  <c:x val="1.607661187725451E-2"/>
                  <c:y val="-0.25541635598156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5CB-4288-87CF-BC2C636CF33B}"/>
                </c:ext>
              </c:extLst>
            </c:dLbl>
            <c:dLbl>
              <c:idx val="9"/>
              <c:layout>
                <c:manualLayout>
                  <c:x val="1.071774125150305E-2"/>
                  <c:y val="-0.284331415149290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5CB-4288-87CF-BC2C636CF33B}"/>
                </c:ext>
              </c:extLst>
            </c:dLbl>
            <c:dLbl>
              <c:idx val="10"/>
              <c:layout>
                <c:manualLayout>
                  <c:x val="3.5725804171676838E-3"/>
                  <c:y val="-0.2891505916772442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5CB-4288-87CF-BC2C636CF33B}"/>
                </c:ext>
              </c:extLst>
            </c:dLbl>
            <c:dLbl>
              <c:idx val="11"/>
              <c:layout>
                <c:manualLayout>
                  <c:x val="1.7862902085838419E-3"/>
                  <c:y val="-0.332523180428830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5CB-4288-87CF-BC2C636CF33B}"/>
                </c:ext>
              </c:extLst>
            </c:dLbl>
            <c:dLbl>
              <c:idx val="12"/>
              <c:layout>
                <c:manualLayout>
                  <c:x val="-3.5725804171676838E-3"/>
                  <c:y val="-0.318065650844968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5CB-4288-87CF-BC2C636CF33B}"/>
                </c:ext>
              </c:extLst>
            </c:dLbl>
            <c:dLbl>
              <c:idx val="13"/>
              <c:layout>
                <c:manualLayout>
                  <c:x val="3.5725804171675528E-3"/>
                  <c:y val="-0.260235532509519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5CB-4288-87CF-BC2C636CF3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Dashboard!$D$33:$Q$33</c:f>
              <c:numCache>
                <c:formatCode>_ * #,##0.0_ ;_ * \-#,##0.0_ ;_ * "-"??_ ;_ @_ </c:formatCode>
                <c:ptCount val="14"/>
                <c:pt idx="0">
                  <c:v>684.21989999999983</c:v>
                </c:pt>
                <c:pt idx="1">
                  <c:v>768.15256076925004</c:v>
                </c:pt>
                <c:pt idx="2">
                  <c:v>863.36748753506549</c:v>
                </c:pt>
                <c:pt idx="3">
                  <c:v>971.5259318117154</c:v>
                </c:pt>
                <c:pt idx="4">
                  <c:v>1094.5587516186306</c:v>
                </c:pt>
                <c:pt idx="5">
                  <c:v>1234.7150777744682</c:v>
                </c:pt>
                <c:pt idx="6">
                  <c:v>1394.6208285478533</c:v>
                </c:pt>
                <c:pt idx="7">
                  <c:v>1577.3493122957084</c:v>
                </c:pt>
                <c:pt idx="8">
                  <c:v>1786.5067270070301</c:v>
                </c:pt>
                <c:pt idx="9">
                  <c:v>2026.3360948173251</c:v>
                </c:pt>
                <c:pt idx="10">
                  <c:v>2301.8441074566135</c:v>
                </c:pt>
                <c:pt idx="11">
                  <c:v>2618.9565702012819</c:v>
                </c:pt>
                <c:pt idx="12">
                  <c:v>2984.7097038615775</c:v>
                </c:pt>
                <c:pt idx="13">
                  <c:v>3407.4866126688635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5CB-4288-87CF-BC2C636CF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 Market Size 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995630368436477E-3"/>
                  <c:y val="-0.120370370370370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68-458F-A920-CF37A619FC06}"/>
                </c:ext>
              </c:extLst>
            </c:dLbl>
            <c:dLbl>
              <c:idx val="1"/>
              <c:layout>
                <c:manualLayout>
                  <c:x val="5.2493445552654712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68-458F-A920-CF37A619FC06}"/>
                </c:ext>
              </c:extLst>
            </c:dLbl>
            <c:dLbl>
              <c:idx val="2"/>
              <c:layout>
                <c:manualLayout>
                  <c:x val="1.2248470628952767E-2"/>
                  <c:y val="-0.120370370370370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68-458F-A920-CF37A619FC06}"/>
                </c:ext>
              </c:extLst>
            </c:dLbl>
            <c:dLbl>
              <c:idx val="3"/>
              <c:layout>
                <c:manualLayout>
                  <c:x val="1.2248470628952735E-2"/>
                  <c:y val="-0.148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68-458F-A920-CF37A619FC06}"/>
                </c:ext>
              </c:extLst>
            </c:dLbl>
            <c:dLbl>
              <c:idx val="4"/>
              <c:layout>
                <c:manualLayout>
                  <c:x val="6.9991260736872313E-3"/>
                  <c:y val="-0.125000000000000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E68-458F-A920-CF37A619FC06}"/>
                </c:ext>
              </c:extLst>
            </c:dLbl>
            <c:dLbl>
              <c:idx val="5"/>
              <c:layout>
                <c:manualLayout>
                  <c:x val="5.249344555265407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68-458F-A920-CF37A619FC06}"/>
                </c:ext>
              </c:extLst>
            </c:dLbl>
            <c:dLbl>
              <c:idx val="6"/>
              <c:layout>
                <c:manualLayout>
                  <c:x val="-3.4995630368436477E-3"/>
                  <c:y val="-0.194444444444444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E68-458F-A920-CF37A619FC06}"/>
                </c:ext>
              </c:extLst>
            </c:dLbl>
            <c:dLbl>
              <c:idx val="7"/>
              <c:layout>
                <c:manualLayout>
                  <c:x val="5.249344555265407E-3"/>
                  <c:y val="-0.166666666666666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68-458F-A920-CF37A619FC06}"/>
                </c:ext>
              </c:extLst>
            </c:dLbl>
            <c:dLbl>
              <c:idx val="8"/>
              <c:layout>
                <c:manualLayout>
                  <c:x val="5.2493445552653428E-3"/>
                  <c:y val="-0.208333333333333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E68-458F-A920-CF37A619FC06}"/>
                </c:ext>
              </c:extLst>
            </c:dLbl>
            <c:dLbl>
              <c:idx val="9"/>
              <c:layout>
                <c:manualLayout>
                  <c:x val="8.7489075921089905E-3"/>
                  <c:y val="-0.273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68-458F-A920-CF37A619FC06}"/>
                </c:ext>
              </c:extLst>
            </c:dLbl>
            <c:dLbl>
              <c:idx val="10"/>
              <c:layout>
                <c:manualLayout>
                  <c:x val="1.0498689110530814E-2"/>
                  <c:y val="-0.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E68-458F-A920-CF37A619FC06}"/>
                </c:ext>
              </c:extLst>
            </c:dLbl>
            <c:dLbl>
              <c:idx val="11"/>
              <c:layout>
                <c:manualLayout>
                  <c:x val="-1.2831582903552711E-16"/>
                  <c:y val="-0.300925925925925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E68-458F-A920-CF37A619FC06}"/>
                </c:ext>
              </c:extLst>
            </c:dLbl>
            <c:dLbl>
              <c:idx val="12"/>
              <c:layout>
                <c:manualLayout>
                  <c:x val="-1.7497815184219522E-3"/>
                  <c:y val="-0.34259259259259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E68-458F-A920-CF37A619FC06}"/>
                </c:ext>
              </c:extLst>
            </c:dLbl>
            <c:dLbl>
              <c:idx val="13"/>
              <c:layout>
                <c:manualLayout>
                  <c:x val="-1.7497815184219522E-3"/>
                  <c:y val="-0.384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E68-458F-A920-CF37A619FC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Europe!$D$13:$Q$13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Europe!$D$14:$Q$14</c:f>
              <c:numCache>
                <c:formatCode>_ * #,##0.0_ ;_ * \-#,##0.0_ ;_ * "-"??_ ;_ @_ </c:formatCode>
                <c:ptCount val="14"/>
                <c:pt idx="0">
                  <c:v>1170.1949999999997</c:v>
                </c:pt>
                <c:pt idx="1">
                  <c:v>1300.5711057299998</c:v>
                </c:pt>
                <c:pt idx="2">
                  <c:v>1447.4533796746073</c:v>
                </c:pt>
                <c:pt idx="3">
                  <c:v>1613.0827268802921</c:v>
                </c:pt>
                <c:pt idx="4">
                  <c:v>1800.0211243761742</c:v>
                </c:pt>
                <c:pt idx="5">
                  <c:v>2011.1998369169023</c:v>
                </c:pt>
                <c:pt idx="6">
                  <c:v>2249.9752123302078</c:v>
                </c:pt>
                <c:pt idx="7">
                  <c:v>2520.1933054142501</c:v>
                </c:pt>
                <c:pt idx="8">
                  <c:v>2826.2647955482348</c:v>
                </c:pt>
                <c:pt idx="9">
                  <c:v>3173.2519188037131</c:v>
                </c:pt>
                <c:pt idx="10">
                  <c:v>3566.9694379394109</c:v>
                </c:pt>
                <c:pt idx="11">
                  <c:v>4014.1020323243401</c:v>
                </c:pt>
                <c:pt idx="12">
                  <c:v>4522.3409155106829</c:v>
                </c:pt>
                <c:pt idx="13">
                  <c:v>5100.5429940679751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E68-458F-A920-CF37A619F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_ * #,##0.0_ ;_ * \-#,##0.0_ ;_ * &quot;-&quot;??_ ;_ @_ 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By</a:t>
            </a:r>
            <a:r>
              <a:rPr lang="en-US" baseline="0">
                <a:solidFill>
                  <a:schemeClr val="bg1"/>
                </a:solidFill>
              </a:rPr>
              <a:t> Sample </a:t>
            </a:r>
            <a:r>
              <a:rPr lang="en-US">
                <a:solidFill>
                  <a:schemeClr val="bg1"/>
                </a:solidFill>
              </a:rPr>
              <a:t>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Europe!$B$22</c:f>
              <c:strCache>
                <c:ptCount val="1"/>
                <c:pt idx="0">
                  <c:v>Urine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Europe!$D$13:$Q$13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Europe!$D$22:$Q$22</c:f>
              <c:numCache>
                <c:formatCode>_ * #,##0.0_ ;_ * \-#,##0.0_ ;_ * "-"??_ ;_ @_ </c:formatCode>
                <c:ptCount val="14"/>
                <c:pt idx="0">
                  <c:v>234.03899999999996</c:v>
                </c:pt>
                <c:pt idx="1">
                  <c:v>260.21426507720992</c:v>
                </c:pt>
                <c:pt idx="2">
                  <c:v>289.71336107025598</c:v>
                </c:pt>
                <c:pt idx="3">
                  <c:v>322.98879523610771</c:v>
                </c:pt>
                <c:pt idx="4">
                  <c:v>360.55807752888904</c:v>
                </c:pt>
                <c:pt idx="5">
                  <c:v>403.01350578219467</c:v>
                </c:pt>
                <c:pt idx="6">
                  <c:v>451.03349256404016</c:v>
                </c:pt>
                <c:pt idx="7">
                  <c:v>505.39568824730389</c:v>
                </c:pt>
                <c:pt idx="8">
                  <c:v>566.99219898383046</c:v>
                </c:pt>
                <c:pt idx="9">
                  <c:v>636.8472504737606</c:v>
                </c:pt>
                <c:pt idx="10">
                  <c:v>716.13771023245101</c:v>
                </c:pt>
                <c:pt idx="11">
                  <c:v>806.21695433837317</c:v>
                </c:pt>
                <c:pt idx="12">
                  <c:v>908.6426516395311</c:v>
                </c:pt>
                <c:pt idx="13">
                  <c:v>1025.2091418076629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3-4A51-915D-7A3B8FA9D992}"/>
            </c:ext>
          </c:extLst>
        </c:ser>
        <c:ser>
          <c:idx val="0"/>
          <c:order val="1"/>
          <c:tx>
            <c:strRef>
              <c:f>Europe!$B$23</c:f>
              <c:strCache>
                <c:ptCount val="1"/>
                <c:pt idx="0">
                  <c:v>Others (Serum)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Europe!$D$23:$Q$23</c:f>
              <c:numCache>
                <c:formatCode>_ * #,##0.0_ ;_ * \-#,##0.0_ ;_ * "-"??_ ;_ @_ </c:formatCode>
                <c:ptCount val="14"/>
                <c:pt idx="0">
                  <c:v>117.01950000000008</c:v>
                </c:pt>
                <c:pt idx="1">
                  <c:v>129.85702271058008</c:v>
                </c:pt>
                <c:pt idx="2">
                  <c:v>144.2999676967917</c:v>
                </c:pt>
                <c:pt idx="3">
                  <c:v>160.56377296793067</c:v>
                </c:pt>
                <c:pt idx="4">
                  <c:v>178.89440713030905</c:v>
                </c:pt>
                <c:pt idx="5">
                  <c:v>199.57290689406184</c:v>
                </c:pt>
                <c:pt idx="6">
                  <c:v>222.92062103702389</c:v>
                </c:pt>
                <c:pt idx="7">
                  <c:v>249.30527621251755</c:v>
                </c:pt>
                <c:pt idx="8">
                  <c:v>279.1479998064566</c:v>
                </c:pt>
                <c:pt idx="9">
                  <c:v>312.93145845433554</c:v>
                </c:pt>
                <c:pt idx="10">
                  <c:v>351.20929850480366</c:v>
                </c:pt>
                <c:pt idx="11">
                  <c:v>394.61710748542407</c:v>
                </c:pt>
                <c:pt idx="12">
                  <c:v>443.88515447627981</c:v>
                </c:pt>
                <c:pt idx="13">
                  <c:v>499.85321341866199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3-4A51-915D-7A3B8FA9D992}"/>
            </c:ext>
          </c:extLst>
        </c:ser>
        <c:ser>
          <c:idx val="2"/>
          <c:order val="2"/>
          <c:tx>
            <c:strRef>
              <c:f>Europe!$B$21</c:f>
              <c:strCache>
                <c:ptCount val="1"/>
                <c:pt idx="0">
                  <c:v>Blood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293969768205198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23-4A51-915D-7A3B8FA9D992}"/>
                </c:ext>
              </c:extLst>
            </c:dLbl>
            <c:dLbl>
              <c:idx val="1"/>
              <c:layout>
                <c:manualLayout>
                  <c:x val="3.5725804171676838E-3"/>
                  <c:y val="-0.293969768205198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23-4A51-915D-7A3B8FA9D992}"/>
                </c:ext>
              </c:extLst>
            </c:dLbl>
            <c:dLbl>
              <c:idx val="2"/>
              <c:layout>
                <c:manualLayout>
                  <c:x val="5.3588706257515252E-3"/>
                  <c:y val="-0.322884827372922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23-4A51-915D-7A3B8FA9D992}"/>
                </c:ext>
              </c:extLst>
            </c:dLbl>
            <c:dLbl>
              <c:idx val="3"/>
              <c:layout>
                <c:manualLayout>
                  <c:x val="1.071774125150305E-2"/>
                  <c:y val="-0.318065650844968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23-4A51-915D-7A3B8FA9D992}"/>
                </c:ext>
              </c:extLst>
            </c:dLbl>
            <c:dLbl>
              <c:idx val="4"/>
              <c:layout>
                <c:manualLayout>
                  <c:x val="7.1451608343353675E-3"/>
                  <c:y val="-0.293969768205198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23-4A51-915D-7A3B8FA9D992}"/>
                </c:ext>
              </c:extLst>
            </c:dLbl>
            <c:dLbl>
              <c:idx val="5"/>
              <c:layout>
                <c:manualLayout>
                  <c:x val="7.1451608343353675E-3"/>
                  <c:y val="-0.260235532509519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23-4A51-915D-7A3B8FA9D992}"/>
                </c:ext>
              </c:extLst>
            </c:dLbl>
            <c:dLbl>
              <c:idx val="6"/>
              <c:layout>
                <c:manualLayout>
                  <c:x val="1.7862902085838419E-3"/>
                  <c:y val="-0.260235532509519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23-4A51-915D-7A3B8FA9D992}"/>
                </c:ext>
              </c:extLst>
            </c:dLbl>
            <c:dLbl>
              <c:idx val="7"/>
              <c:layout>
                <c:manualLayout>
                  <c:x val="1.2504031460086893E-2"/>
                  <c:y val="-0.265054709037473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23-4A51-915D-7A3B8FA9D992}"/>
                </c:ext>
              </c:extLst>
            </c:dLbl>
            <c:dLbl>
              <c:idx val="8"/>
              <c:layout>
                <c:manualLayout>
                  <c:x val="1.607661187725451E-2"/>
                  <c:y val="-0.25541635598156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423-4A51-915D-7A3B8FA9D992}"/>
                </c:ext>
              </c:extLst>
            </c:dLbl>
            <c:dLbl>
              <c:idx val="9"/>
              <c:layout>
                <c:manualLayout>
                  <c:x val="1.071774125150305E-2"/>
                  <c:y val="-0.284331415149290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23-4A51-915D-7A3B8FA9D992}"/>
                </c:ext>
              </c:extLst>
            </c:dLbl>
            <c:dLbl>
              <c:idx val="10"/>
              <c:layout>
                <c:manualLayout>
                  <c:x val="3.5725804171676838E-3"/>
                  <c:y val="-0.2891505916772442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423-4A51-915D-7A3B8FA9D992}"/>
                </c:ext>
              </c:extLst>
            </c:dLbl>
            <c:dLbl>
              <c:idx val="11"/>
              <c:layout>
                <c:manualLayout>
                  <c:x val="1.7862902085838419E-3"/>
                  <c:y val="-0.332523180428830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423-4A51-915D-7A3B8FA9D992}"/>
                </c:ext>
              </c:extLst>
            </c:dLbl>
            <c:dLbl>
              <c:idx val="12"/>
              <c:layout>
                <c:manualLayout>
                  <c:x val="-3.5725804171676838E-3"/>
                  <c:y val="-0.318065650844968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423-4A51-915D-7A3B8FA9D992}"/>
                </c:ext>
              </c:extLst>
            </c:dLbl>
            <c:dLbl>
              <c:idx val="13"/>
              <c:layout>
                <c:manualLayout>
                  <c:x val="3.5725804171675528E-3"/>
                  <c:y val="-0.260235532509519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423-4A51-915D-7A3B8FA9D9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Europe!$D$21:$Q$21</c:f>
              <c:numCache>
                <c:formatCode>_ * #,##0.0_ ;_ * \-#,##0.0_ ;_ * "-"??_ ;_ @_ </c:formatCode>
                <c:ptCount val="14"/>
                <c:pt idx="0">
                  <c:v>819.13649999999973</c:v>
                </c:pt>
                <c:pt idx="1">
                  <c:v>910.4998179422098</c:v>
                </c:pt>
                <c:pt idx="2">
                  <c:v>1013.4400509075596</c:v>
                </c:pt>
                <c:pt idx="3">
                  <c:v>1129.5301586762537</c:v>
                </c:pt>
                <c:pt idx="4">
                  <c:v>1260.5686397169761</c:v>
                </c:pt>
                <c:pt idx="5">
                  <c:v>1408.6134242406458</c:v>
                </c:pt>
                <c:pt idx="6">
                  <c:v>1576.0210987291439</c:v>
                </c:pt>
                <c:pt idx="7">
                  <c:v>1765.4923409544285</c:v>
                </c:pt>
                <c:pt idx="8">
                  <c:v>1980.1245967579478</c:v>
                </c:pt>
                <c:pt idx="9">
                  <c:v>2223.4732098756167</c:v>
                </c:pt>
                <c:pt idx="10">
                  <c:v>2499.6224292021561</c:v>
                </c:pt>
                <c:pt idx="11">
                  <c:v>2813.267970500543</c:v>
                </c:pt>
                <c:pt idx="12">
                  <c:v>3169.8131093948723</c:v>
                </c:pt>
                <c:pt idx="13">
                  <c:v>3575.4806388416505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423-4A51-915D-7A3B8FA9D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 Market Size 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995816283287062E-3"/>
                  <c:y val="-0.17820062573402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9B-4623-AECD-785AD20DDC6C}"/>
                </c:ext>
              </c:extLst>
            </c:dLbl>
            <c:dLbl>
              <c:idx val="1"/>
              <c:layout>
                <c:manualLayout>
                  <c:x val="5.2493021161068784E-3"/>
                  <c:y val="-0.297353057805453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9B-4623-AECD-785AD20DDC6C}"/>
                </c:ext>
              </c:extLst>
            </c:dLbl>
            <c:dLbl>
              <c:idx val="2"/>
              <c:layout>
                <c:manualLayout>
                  <c:x val="1.2248465372764307E-2"/>
                  <c:y val="-0.250488273653334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9B-4623-AECD-785AD20DDC6C}"/>
                </c:ext>
              </c:extLst>
            </c:dLbl>
            <c:dLbl>
              <c:idx val="3"/>
              <c:layout>
                <c:manualLayout>
                  <c:x val="8.6758849555966227E-3"/>
                  <c:y val="-0.302361965692775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9B-4623-AECD-785AD20DDC6C}"/>
                </c:ext>
              </c:extLst>
            </c:dLbl>
            <c:dLbl>
              <c:idx val="4"/>
              <c:layout>
                <c:manualLayout>
                  <c:x val="6.9991632566574124E-3"/>
                  <c:y val="-0.2936711310455525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9B-4623-AECD-785AD20DDC6C}"/>
                </c:ext>
              </c:extLst>
            </c:dLbl>
            <c:dLbl>
              <c:idx val="5"/>
              <c:layout>
                <c:manualLayout>
                  <c:x val="5.249302116106894E-3"/>
                  <c:y val="-0.29253388127749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9B-4623-AECD-785AD20DDC6C}"/>
                </c:ext>
              </c:extLst>
            </c:dLbl>
            <c:dLbl>
              <c:idx val="6"/>
              <c:layout>
                <c:manualLayout>
                  <c:x val="-3.4995816283287062E-3"/>
                  <c:y val="-0.295646993422013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9B-4623-AECD-785AD20DDC6C}"/>
                </c:ext>
              </c:extLst>
            </c:dLbl>
            <c:dLbl>
              <c:idx val="7"/>
              <c:layout>
                <c:manualLayout>
                  <c:x val="1.0608172741858355E-2"/>
                  <c:y val="-0.306422975708694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9B-4623-AECD-785AD20DDC6C}"/>
                </c:ext>
              </c:extLst>
            </c:dLbl>
            <c:dLbl>
              <c:idx val="8"/>
              <c:layout>
                <c:manualLayout>
                  <c:x val="8.8218825332745127E-3"/>
                  <c:y val="-0.333631970492978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09B-4623-AECD-785AD20DDC6C}"/>
                </c:ext>
              </c:extLst>
            </c:dLbl>
            <c:dLbl>
              <c:idx val="9"/>
              <c:layout>
                <c:manualLayout>
                  <c:x val="8.7489075921089905E-3"/>
                  <c:y val="-0.273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09B-4623-AECD-785AD20DDC6C}"/>
                </c:ext>
              </c:extLst>
            </c:dLbl>
            <c:dLbl>
              <c:idx val="10"/>
              <c:layout>
                <c:manualLayout>
                  <c:x val="1.0498744884985988E-2"/>
                  <c:y val="-0.404213554028850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09B-4623-AECD-785AD20DDC6C}"/>
                </c:ext>
              </c:extLst>
            </c:dLbl>
            <c:dLbl>
              <c:idx val="11"/>
              <c:layout>
                <c:manualLayout>
                  <c:x val="7.1451608343352365E-3"/>
                  <c:y val="-0.3924904327962038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09B-4623-AECD-785AD20DDC6C}"/>
                </c:ext>
              </c:extLst>
            </c:dLbl>
            <c:dLbl>
              <c:idx val="12"/>
              <c:layout>
                <c:manualLayout>
                  <c:x val="-1.7497815184219522E-3"/>
                  <c:y val="-0.34259259259259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09B-4623-AECD-785AD20DDC6C}"/>
                </c:ext>
              </c:extLst>
            </c:dLbl>
            <c:dLbl>
              <c:idx val="13"/>
              <c:layout>
                <c:manualLayout>
                  <c:x val="-1.7497815184219522E-3"/>
                  <c:y val="-0.384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09B-4623-AECD-785AD20DDC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MEA!$D$13:$Q$13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MEA!$D$14:$Q$14</c:f>
              <c:numCache>
                <c:formatCode>_ * #,##0.0_ ;_ * \-#,##0.0_ ;_ * "-"??_ ;_ @_ </c:formatCode>
                <c:ptCount val="14"/>
                <c:pt idx="0">
                  <c:v>390.06500000000028</c:v>
                </c:pt>
                <c:pt idx="1">
                  <c:v>415.08376910000038</c:v>
                </c:pt>
                <c:pt idx="2">
                  <c:v>442.08441390744565</c:v>
                </c:pt>
                <c:pt idx="3">
                  <c:v>471.25407763850853</c:v>
                </c:pt>
                <c:pt idx="4">
                  <c:v>502.80097874010471</c:v>
                </c:pt>
                <c:pt idx="5">
                  <c:v>536.95723062875891</c:v>
                </c:pt>
                <c:pt idx="6">
                  <c:v>573.98210463608325</c:v>
                </c:pt>
                <c:pt idx="7">
                  <c:v>614.16581661410839</c:v>
                </c:pt>
                <c:pt idx="8">
                  <c:v>657.83393420034645</c:v>
                </c:pt>
                <c:pt idx="9">
                  <c:v>705.35252207645499</c:v>
                </c:pt>
                <c:pt idx="10">
                  <c:v>757.13416762613792</c:v>
                </c:pt>
                <c:pt idx="11">
                  <c:v>813.64506041634797</c:v>
                </c:pt>
                <c:pt idx="12">
                  <c:v>875.41333743374048</c:v>
                </c:pt>
                <c:pt idx="13">
                  <c:v>943.03895398135433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09B-4623-AECD-785AD20DD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_ * #,##0.0_ ;_ * \-#,##0.0_ ;_ * &quot;-&quot;??_ ;_ @_ 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By</a:t>
            </a:r>
            <a:r>
              <a:rPr lang="en-US" baseline="0">
                <a:solidFill>
                  <a:schemeClr val="bg1"/>
                </a:solidFill>
              </a:rPr>
              <a:t> Sample </a:t>
            </a:r>
            <a:r>
              <a:rPr lang="en-US">
                <a:solidFill>
                  <a:schemeClr val="bg1"/>
                </a:solidFill>
              </a:rPr>
              <a:t>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MEA!$B$22</c:f>
              <c:strCache>
                <c:ptCount val="1"/>
                <c:pt idx="0">
                  <c:v>Urine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MEA!$D$13:$Q$13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MEA!$D$22:$Q$22</c:f>
              <c:numCache>
                <c:formatCode>_ * #,##0.0_ ;_ * \-#,##0.0_ ;_ * "-"??_ ;_ @_ </c:formatCode>
                <c:ptCount val="14"/>
                <c:pt idx="0">
                  <c:v>78.013000000000062</c:v>
                </c:pt>
                <c:pt idx="1">
                  <c:v>83.048683340700066</c:v>
                </c:pt>
                <c:pt idx="2">
                  <c:v>88.484895768244115</c:v>
                </c:pt>
                <c:pt idx="3">
                  <c:v>94.359566468695206</c:v>
                </c:pt>
                <c:pt idx="4">
                  <c:v>100.71490374147943</c:v>
                </c:pt>
                <c:pt idx="5">
                  <c:v>107.59796813753208</c:v>
                </c:pt>
                <c:pt idx="6">
                  <c:v>115.061335744741</c:v>
                </c:pt>
                <c:pt idx="7">
                  <c:v>123.16386799330621</c:v>
                </c:pt>
                <c:pt idx="8">
                  <c:v>131.97160772265411</c:v>
                </c:pt>
                <c:pt idx="9">
                  <c:v>141.55882539211316</c:v>
                </c:pt>
                <c:pt idx="10">
                  <c:v>152.00924442340155</c:v>
                </c:pt>
                <c:pt idx="11">
                  <c:v>163.41748098054495</c:v>
                </c:pt>
                <c:pt idx="12">
                  <c:v>175.89074133668694</c:v>
                </c:pt>
                <c:pt idx="13">
                  <c:v>189.55082975025223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D-4132-8632-613B99CF8C57}"/>
            </c:ext>
          </c:extLst>
        </c:ser>
        <c:ser>
          <c:idx val="0"/>
          <c:order val="1"/>
          <c:tx>
            <c:strRef>
              <c:f>MEA!$B$23</c:f>
              <c:strCache>
                <c:ptCount val="1"/>
                <c:pt idx="0">
                  <c:v>Others (Serum)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MEA!$D$23:$Q$23</c:f>
              <c:numCache>
                <c:formatCode>_ * #,##0.0_ ;_ * \-#,##0.0_ ;_ * "-"??_ ;_ @_ </c:formatCode>
                <c:ptCount val="14"/>
                <c:pt idx="0">
                  <c:v>39.006500000000059</c:v>
                </c:pt>
                <c:pt idx="1">
                  <c:v>41.444517868600066</c:v>
                </c:pt>
                <c:pt idx="2">
                  <c:v>44.072415417234609</c:v>
                </c:pt>
                <c:pt idx="3">
                  <c:v>46.907905881863869</c:v>
                </c:pt>
                <c:pt idx="4">
                  <c:v>49.970681887093491</c:v>
                </c:pt>
                <c:pt idx="5">
                  <c:v>53.282679039315312</c:v>
                </c:pt>
                <c:pt idx="6">
                  <c:v>56.868380828559687</c:v>
                </c:pt>
                <c:pt idx="7">
                  <c:v>60.755172320441851</c:v>
                </c:pt>
                <c:pt idx="8">
                  <c:v>64.973751654865026</c:v>
                </c:pt>
                <c:pt idx="9">
                  <c:v>69.558610254001209</c:v>
                </c:pt>
                <c:pt idx="10">
                  <c:v>74.54859496626591</c:v>
                </c:pt>
                <c:pt idx="11">
                  <c:v>79.987568247084155</c:v>
                </c:pt>
                <c:pt idx="12">
                  <c:v>85.925186043496467</c:v>
                </c:pt>
                <c:pt idx="13">
                  <c:v>92.417817490172808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7D-4132-8632-613B99CF8C57}"/>
            </c:ext>
          </c:extLst>
        </c:ser>
        <c:ser>
          <c:idx val="2"/>
          <c:order val="2"/>
          <c:tx>
            <c:strRef>
              <c:f>MEA!$B$21</c:f>
              <c:strCache>
                <c:ptCount val="1"/>
                <c:pt idx="0">
                  <c:v>Blood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293969768205198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7D-4132-8632-613B99CF8C57}"/>
                </c:ext>
              </c:extLst>
            </c:dLbl>
            <c:dLbl>
              <c:idx val="1"/>
              <c:layout>
                <c:manualLayout>
                  <c:x val="3.5725804171676838E-3"/>
                  <c:y val="-0.293969768205198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7D-4132-8632-613B99CF8C57}"/>
                </c:ext>
              </c:extLst>
            </c:dLbl>
            <c:dLbl>
              <c:idx val="2"/>
              <c:layout>
                <c:manualLayout>
                  <c:x val="5.3588706257515252E-3"/>
                  <c:y val="-0.322884827372922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7D-4132-8632-613B99CF8C57}"/>
                </c:ext>
              </c:extLst>
            </c:dLbl>
            <c:dLbl>
              <c:idx val="3"/>
              <c:layout>
                <c:manualLayout>
                  <c:x val="1.071774125150305E-2"/>
                  <c:y val="-0.318065650844968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7D-4132-8632-613B99CF8C57}"/>
                </c:ext>
              </c:extLst>
            </c:dLbl>
            <c:dLbl>
              <c:idx val="4"/>
              <c:layout>
                <c:manualLayout>
                  <c:x val="7.1451608343353675E-3"/>
                  <c:y val="-0.293969768205198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47D-4132-8632-613B99CF8C57}"/>
                </c:ext>
              </c:extLst>
            </c:dLbl>
            <c:dLbl>
              <c:idx val="5"/>
              <c:layout>
                <c:manualLayout>
                  <c:x val="7.1451608343353675E-3"/>
                  <c:y val="-0.260235532509519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7D-4132-8632-613B99CF8C57}"/>
                </c:ext>
              </c:extLst>
            </c:dLbl>
            <c:dLbl>
              <c:idx val="6"/>
              <c:layout>
                <c:manualLayout>
                  <c:x val="1.7862902085838419E-3"/>
                  <c:y val="-0.260235532509519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47D-4132-8632-613B99CF8C57}"/>
                </c:ext>
              </c:extLst>
            </c:dLbl>
            <c:dLbl>
              <c:idx val="7"/>
              <c:layout>
                <c:manualLayout>
                  <c:x val="1.2504031460086893E-2"/>
                  <c:y val="-0.265054709037473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47D-4132-8632-613B99CF8C57}"/>
                </c:ext>
              </c:extLst>
            </c:dLbl>
            <c:dLbl>
              <c:idx val="8"/>
              <c:layout>
                <c:manualLayout>
                  <c:x val="1.607661187725451E-2"/>
                  <c:y val="-0.25541635598156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47D-4132-8632-613B99CF8C57}"/>
                </c:ext>
              </c:extLst>
            </c:dLbl>
            <c:dLbl>
              <c:idx val="9"/>
              <c:layout>
                <c:manualLayout>
                  <c:x val="1.071774125150305E-2"/>
                  <c:y val="-0.284331415149290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47D-4132-8632-613B99CF8C57}"/>
                </c:ext>
              </c:extLst>
            </c:dLbl>
            <c:dLbl>
              <c:idx val="10"/>
              <c:layout>
                <c:manualLayout>
                  <c:x val="3.5725804171676838E-3"/>
                  <c:y val="-0.2891505916772442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47D-4132-8632-613B99CF8C57}"/>
                </c:ext>
              </c:extLst>
            </c:dLbl>
            <c:dLbl>
              <c:idx val="11"/>
              <c:layout>
                <c:manualLayout>
                  <c:x val="1.7862902085838419E-3"/>
                  <c:y val="-0.332523180428830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47D-4132-8632-613B99CF8C57}"/>
                </c:ext>
              </c:extLst>
            </c:dLbl>
            <c:dLbl>
              <c:idx val="12"/>
              <c:layout>
                <c:manualLayout>
                  <c:x val="-3.5725804171676838E-3"/>
                  <c:y val="-0.318065650844968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47D-4132-8632-613B99CF8C57}"/>
                </c:ext>
              </c:extLst>
            </c:dLbl>
            <c:dLbl>
              <c:idx val="13"/>
              <c:layout>
                <c:manualLayout>
                  <c:x val="3.5725804171675528E-3"/>
                  <c:y val="-0.260235532509519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47D-4132-8632-613B99CF8C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MEA!$D$21:$Q$21</c:f>
              <c:numCache>
                <c:formatCode>_ * #,##0.0_ ;_ * \-#,##0.0_ ;_ * "-"??_ ;_ @_ </c:formatCode>
                <c:ptCount val="14"/>
                <c:pt idx="0">
                  <c:v>273.04550000000017</c:v>
                </c:pt>
                <c:pt idx="1">
                  <c:v>290.59056789070024</c:v>
                </c:pt>
                <c:pt idx="2">
                  <c:v>309.52710272196691</c:v>
                </c:pt>
                <c:pt idx="3">
                  <c:v>329.98660528794949</c:v>
                </c:pt>
                <c:pt idx="4">
                  <c:v>352.11539311153177</c:v>
                </c:pt>
                <c:pt idx="5">
                  <c:v>376.07658345191152</c:v>
                </c:pt>
                <c:pt idx="6">
                  <c:v>402.05238806278254</c:v>
                </c:pt>
                <c:pt idx="7">
                  <c:v>430.24677630036035</c:v>
                </c:pt>
                <c:pt idx="8">
                  <c:v>460.88857482282731</c:v>
                </c:pt>
                <c:pt idx="9">
                  <c:v>494.23508643034057</c:v>
                </c:pt>
                <c:pt idx="10">
                  <c:v>530.57632823647043</c:v>
                </c:pt>
                <c:pt idx="11">
                  <c:v>570.24001118871888</c:v>
                </c:pt>
                <c:pt idx="12">
                  <c:v>613.59741005355716</c:v>
                </c:pt>
                <c:pt idx="13">
                  <c:v>661.07030674092937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47D-4132-8632-613B99CF8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 Market Size 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995630368436477E-3"/>
                  <c:y val="-0.120370370370370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38-4841-98F2-07E96DDC8502}"/>
                </c:ext>
              </c:extLst>
            </c:dLbl>
            <c:dLbl>
              <c:idx val="1"/>
              <c:layout>
                <c:manualLayout>
                  <c:x val="5.2493445552654712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38-4841-98F2-07E96DDC8502}"/>
                </c:ext>
              </c:extLst>
            </c:dLbl>
            <c:dLbl>
              <c:idx val="2"/>
              <c:layout>
                <c:manualLayout>
                  <c:x val="1.2248470628952767E-2"/>
                  <c:y val="-0.120370370370370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38-4841-98F2-07E96DDC8502}"/>
                </c:ext>
              </c:extLst>
            </c:dLbl>
            <c:dLbl>
              <c:idx val="3"/>
              <c:layout>
                <c:manualLayout>
                  <c:x val="1.2248470628952735E-2"/>
                  <c:y val="-0.148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38-4841-98F2-07E96DDC8502}"/>
                </c:ext>
              </c:extLst>
            </c:dLbl>
            <c:dLbl>
              <c:idx val="4"/>
              <c:layout>
                <c:manualLayout>
                  <c:x val="6.9991260736872313E-3"/>
                  <c:y val="-0.125000000000000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38-4841-98F2-07E96DDC8502}"/>
                </c:ext>
              </c:extLst>
            </c:dLbl>
            <c:dLbl>
              <c:idx val="5"/>
              <c:layout>
                <c:manualLayout>
                  <c:x val="5.249344555265407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38-4841-98F2-07E96DDC8502}"/>
                </c:ext>
              </c:extLst>
            </c:dLbl>
            <c:dLbl>
              <c:idx val="6"/>
              <c:layout>
                <c:manualLayout>
                  <c:x val="-3.4995630368436477E-3"/>
                  <c:y val="-0.194444444444444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538-4841-98F2-07E96DDC8502}"/>
                </c:ext>
              </c:extLst>
            </c:dLbl>
            <c:dLbl>
              <c:idx val="7"/>
              <c:layout>
                <c:manualLayout>
                  <c:x val="5.249344555265407E-3"/>
                  <c:y val="-0.166666666666666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538-4841-98F2-07E96DDC8502}"/>
                </c:ext>
              </c:extLst>
            </c:dLbl>
            <c:dLbl>
              <c:idx val="8"/>
              <c:layout>
                <c:manualLayout>
                  <c:x val="5.2493445552653428E-3"/>
                  <c:y val="-0.208333333333333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538-4841-98F2-07E96DDC8502}"/>
                </c:ext>
              </c:extLst>
            </c:dLbl>
            <c:dLbl>
              <c:idx val="9"/>
              <c:layout>
                <c:manualLayout>
                  <c:x val="8.7489075921089905E-3"/>
                  <c:y val="-0.273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538-4841-98F2-07E96DDC8502}"/>
                </c:ext>
              </c:extLst>
            </c:dLbl>
            <c:dLbl>
              <c:idx val="10"/>
              <c:layout>
                <c:manualLayout>
                  <c:x val="1.0498689110530814E-2"/>
                  <c:y val="-0.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538-4841-98F2-07E96DDC8502}"/>
                </c:ext>
              </c:extLst>
            </c:dLbl>
            <c:dLbl>
              <c:idx val="11"/>
              <c:layout>
                <c:manualLayout>
                  <c:x val="-1.2831582903552711E-16"/>
                  <c:y val="-0.300925925925925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538-4841-98F2-07E96DDC8502}"/>
                </c:ext>
              </c:extLst>
            </c:dLbl>
            <c:dLbl>
              <c:idx val="12"/>
              <c:layout>
                <c:manualLayout>
                  <c:x val="-1.7497815184219522E-3"/>
                  <c:y val="-0.34259259259259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538-4841-98F2-07E96DDC8502}"/>
                </c:ext>
              </c:extLst>
            </c:dLbl>
            <c:dLbl>
              <c:idx val="13"/>
              <c:layout>
                <c:manualLayout>
                  <c:x val="-1.7497815184219522E-3"/>
                  <c:y val="-0.384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538-4841-98F2-07E96DDC85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America'!$D$13:$Q$13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'Latin America'!$D$14:$Q$14</c:f>
              <c:numCache>
                <c:formatCode>_ * #,##0.0_ ;_ * \-#,##0.0_ ;_ * "-"??_ ;_ @_ </c:formatCode>
                <c:ptCount val="14"/>
                <c:pt idx="0">
                  <c:v>977.45699999999988</c:v>
                </c:pt>
                <c:pt idx="1">
                  <c:v>1097.2402252500001</c:v>
                </c:pt>
                <c:pt idx="2">
                  <c:v>1233.1111116189686</c:v>
                </c:pt>
                <c:pt idx="3">
                  <c:v>1387.436791557981</c:v>
                </c:pt>
                <c:pt idx="4">
                  <c:v>1562.9683404044595</c:v>
                </c:pt>
                <c:pt idx="5">
                  <c:v>1762.9100506389991</c:v>
                </c:pt>
                <c:pt idx="6">
                  <c:v>1991.0027203077198</c:v>
                </c:pt>
                <c:pt idx="7">
                  <c:v>2251.6241418517857</c:v>
                </c:pt>
                <c:pt idx="8">
                  <c:v>2549.9107873398543</c:v>
                </c:pt>
                <c:pt idx="9">
                  <c:v>2891.905723199608</c:v>
                </c:pt>
                <c:pt idx="10">
                  <c:v>3284.7391215077914</c:v>
                </c:pt>
                <c:pt idx="11">
                  <c:v>3736.8494580854644</c:v>
                </c:pt>
                <c:pt idx="12">
                  <c:v>4258.2557232441295</c:v>
                </c:pt>
                <c:pt idx="13">
                  <c:v>4860.8938839784078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538-4841-98F2-07E96DDC8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_ * #,##0.0_ ;_ * \-#,##0.0_ ;_ * &quot;-&quot;??_ ;_ @_ 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By</a:t>
            </a:r>
            <a:r>
              <a:rPr lang="en-US" baseline="0">
                <a:solidFill>
                  <a:schemeClr val="bg1"/>
                </a:solidFill>
              </a:rPr>
              <a:t> Sample </a:t>
            </a:r>
            <a:r>
              <a:rPr lang="en-US">
                <a:solidFill>
                  <a:schemeClr val="bg1"/>
                </a:solidFill>
              </a:rPr>
              <a:t>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'Latin America'!$B$22</c:f>
              <c:strCache>
                <c:ptCount val="1"/>
                <c:pt idx="0">
                  <c:v>Urine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'Latin America'!$D$13:$Q$13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'Latin America'!$D$22:$Q$22</c:f>
              <c:numCache>
                <c:formatCode>_ * #,##0.0_ ;_ * \-#,##0.0_ ;_ * "-"??_ ;_ @_ </c:formatCode>
                <c:ptCount val="14"/>
                <c:pt idx="0">
                  <c:v>195.4914</c:v>
                </c:pt>
                <c:pt idx="1">
                  <c:v>219.53244814425</c:v>
                </c:pt>
                <c:pt idx="2">
                  <c:v>246.81193172558125</c:v>
                </c:pt>
                <c:pt idx="3">
                  <c:v>277.80753603272495</c:v>
                </c:pt>
                <c:pt idx="4">
                  <c:v>313.07458141640092</c:v>
                </c:pt>
                <c:pt idx="5">
                  <c:v>353.26005245496867</c:v>
                </c:pt>
                <c:pt idx="6">
                  <c:v>399.11946839399366</c:v>
                </c:pt>
                <c:pt idx="7">
                  <c:v>451.53724136981583</c:v>
                </c:pt>
                <c:pt idx="8">
                  <c:v>511.55133333710307</c:v>
                </c:pt>
                <c:pt idx="9">
                  <c:v>580.38323321752137</c:v>
                </c:pt>
                <c:pt idx="10">
                  <c:v>659.47454670271816</c:v>
                </c:pt>
                <c:pt idx="11">
                  <c:v>750.53184115854981</c:v>
                </c:pt>
                <c:pt idx="12">
                  <c:v>855.58184223951275</c:v>
                </c:pt>
                <c:pt idx="13">
                  <c:v>977.03967067966005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3-443F-8799-8E6F0B9CE5C9}"/>
            </c:ext>
          </c:extLst>
        </c:ser>
        <c:ser>
          <c:idx val="0"/>
          <c:order val="1"/>
          <c:tx>
            <c:strRef>
              <c:f>'Latin America'!$B$23</c:f>
              <c:strCache>
                <c:ptCount val="1"/>
                <c:pt idx="0">
                  <c:v>Others (Serum)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'Latin America'!$D$23:$Q$23</c:f>
              <c:numCache>
                <c:formatCode>_ * #,##0.0_ ;_ * \-#,##0.0_ ;_ * "-"??_ ;_ @_ </c:formatCode>
                <c:ptCount val="14"/>
                <c:pt idx="0">
                  <c:v>97.74570000000007</c:v>
                </c:pt>
                <c:pt idx="1">
                  <c:v>109.5552163365001</c:v>
                </c:pt>
                <c:pt idx="2">
                  <c:v>122.93169235832185</c:v>
                </c:pt>
                <c:pt idx="3">
                  <c:v>138.10332371354062</c:v>
                </c:pt>
                <c:pt idx="4">
                  <c:v>155.33500736942784</c:v>
                </c:pt>
                <c:pt idx="5">
                  <c:v>174.93492040956224</c:v>
                </c:pt>
                <c:pt idx="6">
                  <c:v>197.26242336587273</c:v>
                </c:pt>
                <c:pt idx="7">
                  <c:v>222.73758818626143</c:v>
                </c:pt>
                <c:pt idx="8">
                  <c:v>251.85272699572116</c:v>
                </c:pt>
                <c:pt idx="9">
                  <c:v>285.18639516476145</c:v>
                </c:pt>
                <c:pt idx="10">
                  <c:v>323.42046734845957</c:v>
                </c:pt>
                <c:pt idx="11">
                  <c:v>367.36104672563306</c:v>
                </c:pt>
                <c:pt idx="12">
                  <c:v>417.96417714303959</c:v>
                </c:pt>
                <c:pt idx="13">
                  <c:v>476.36760062988441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B3-443F-8799-8E6F0B9CE5C9}"/>
            </c:ext>
          </c:extLst>
        </c:ser>
        <c:ser>
          <c:idx val="2"/>
          <c:order val="2"/>
          <c:tx>
            <c:strRef>
              <c:f>'Latin America'!$B$21</c:f>
              <c:strCache>
                <c:ptCount val="1"/>
                <c:pt idx="0">
                  <c:v>Blood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293969768205198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B3-443F-8799-8E6F0B9CE5C9}"/>
                </c:ext>
              </c:extLst>
            </c:dLbl>
            <c:dLbl>
              <c:idx val="1"/>
              <c:layout>
                <c:manualLayout>
                  <c:x val="3.5725804171676838E-3"/>
                  <c:y val="-0.293969768205198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B3-443F-8799-8E6F0B9CE5C9}"/>
                </c:ext>
              </c:extLst>
            </c:dLbl>
            <c:dLbl>
              <c:idx val="2"/>
              <c:layout>
                <c:manualLayout>
                  <c:x val="5.3588706257515252E-3"/>
                  <c:y val="-0.322884827372922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AB3-443F-8799-8E6F0B9CE5C9}"/>
                </c:ext>
              </c:extLst>
            </c:dLbl>
            <c:dLbl>
              <c:idx val="3"/>
              <c:layout>
                <c:manualLayout>
                  <c:x val="1.071774125150305E-2"/>
                  <c:y val="-0.318065650844968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AB3-443F-8799-8E6F0B9CE5C9}"/>
                </c:ext>
              </c:extLst>
            </c:dLbl>
            <c:dLbl>
              <c:idx val="4"/>
              <c:layout>
                <c:manualLayout>
                  <c:x val="7.1451608343353675E-3"/>
                  <c:y val="-0.293969768205198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AB3-443F-8799-8E6F0B9CE5C9}"/>
                </c:ext>
              </c:extLst>
            </c:dLbl>
            <c:dLbl>
              <c:idx val="5"/>
              <c:layout>
                <c:manualLayout>
                  <c:x val="7.1451608343353675E-3"/>
                  <c:y val="-0.260235532509519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AB3-443F-8799-8E6F0B9CE5C9}"/>
                </c:ext>
              </c:extLst>
            </c:dLbl>
            <c:dLbl>
              <c:idx val="6"/>
              <c:layout>
                <c:manualLayout>
                  <c:x val="1.7862902085838419E-3"/>
                  <c:y val="-0.260235532509519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AB3-443F-8799-8E6F0B9CE5C9}"/>
                </c:ext>
              </c:extLst>
            </c:dLbl>
            <c:dLbl>
              <c:idx val="7"/>
              <c:layout>
                <c:manualLayout>
                  <c:x val="1.2504031460086893E-2"/>
                  <c:y val="-0.265054709037473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AB3-443F-8799-8E6F0B9CE5C9}"/>
                </c:ext>
              </c:extLst>
            </c:dLbl>
            <c:dLbl>
              <c:idx val="8"/>
              <c:layout>
                <c:manualLayout>
                  <c:x val="1.607661187725451E-2"/>
                  <c:y val="-0.25541635598156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AB3-443F-8799-8E6F0B9CE5C9}"/>
                </c:ext>
              </c:extLst>
            </c:dLbl>
            <c:dLbl>
              <c:idx val="9"/>
              <c:layout>
                <c:manualLayout>
                  <c:x val="1.071774125150305E-2"/>
                  <c:y val="-0.284331415149290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AB3-443F-8799-8E6F0B9CE5C9}"/>
                </c:ext>
              </c:extLst>
            </c:dLbl>
            <c:dLbl>
              <c:idx val="10"/>
              <c:layout>
                <c:manualLayout>
                  <c:x val="3.5725804171676838E-3"/>
                  <c:y val="-0.2891505916772442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AB3-443F-8799-8E6F0B9CE5C9}"/>
                </c:ext>
              </c:extLst>
            </c:dLbl>
            <c:dLbl>
              <c:idx val="11"/>
              <c:layout>
                <c:manualLayout>
                  <c:x val="1.7862902085838419E-3"/>
                  <c:y val="-0.332523180428830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AB3-443F-8799-8E6F0B9CE5C9}"/>
                </c:ext>
              </c:extLst>
            </c:dLbl>
            <c:dLbl>
              <c:idx val="12"/>
              <c:layout>
                <c:manualLayout>
                  <c:x val="-3.5725804171676838E-3"/>
                  <c:y val="-0.318065650844968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AB3-443F-8799-8E6F0B9CE5C9}"/>
                </c:ext>
              </c:extLst>
            </c:dLbl>
            <c:dLbl>
              <c:idx val="13"/>
              <c:layout>
                <c:manualLayout>
                  <c:x val="3.5725804171675528E-3"/>
                  <c:y val="-0.260235532509519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AB3-443F-8799-8E6F0B9CE5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'Latin America'!$D$21:$Q$21</c:f>
              <c:numCache>
                <c:formatCode>_ * #,##0.0_ ;_ * \-#,##0.0_ ;_ * "-"??_ ;_ @_ </c:formatCode>
                <c:ptCount val="14"/>
                <c:pt idx="0">
                  <c:v>684.21989999999983</c:v>
                </c:pt>
                <c:pt idx="1">
                  <c:v>768.15256076925004</c:v>
                </c:pt>
                <c:pt idx="2">
                  <c:v>863.36748753506549</c:v>
                </c:pt>
                <c:pt idx="3">
                  <c:v>971.5259318117154</c:v>
                </c:pt>
                <c:pt idx="4">
                  <c:v>1094.5587516186306</c:v>
                </c:pt>
                <c:pt idx="5">
                  <c:v>1234.7150777744682</c:v>
                </c:pt>
                <c:pt idx="6">
                  <c:v>1394.6208285478533</c:v>
                </c:pt>
                <c:pt idx="7">
                  <c:v>1577.3493122957084</c:v>
                </c:pt>
                <c:pt idx="8">
                  <c:v>1786.5067270070301</c:v>
                </c:pt>
                <c:pt idx="9">
                  <c:v>2026.3360948173251</c:v>
                </c:pt>
                <c:pt idx="10">
                  <c:v>2301.8441074566135</c:v>
                </c:pt>
                <c:pt idx="11">
                  <c:v>2618.9565702012819</c:v>
                </c:pt>
                <c:pt idx="12">
                  <c:v>2984.7097038615775</c:v>
                </c:pt>
                <c:pt idx="13">
                  <c:v>3407.4866126688635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AB3-443F-8799-8E6F0B9CE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 Market Size 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995630368436477E-3"/>
                  <c:y val="-0.120370370370370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1B-46B2-A220-03BA36579D85}"/>
                </c:ext>
              </c:extLst>
            </c:dLbl>
            <c:dLbl>
              <c:idx val="1"/>
              <c:layout>
                <c:manualLayout>
                  <c:x val="5.2493445552654712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1B-46B2-A220-03BA36579D85}"/>
                </c:ext>
              </c:extLst>
            </c:dLbl>
            <c:dLbl>
              <c:idx val="2"/>
              <c:layout>
                <c:manualLayout>
                  <c:x val="1.2248470628952767E-2"/>
                  <c:y val="-0.120370370370370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1B-46B2-A220-03BA36579D85}"/>
                </c:ext>
              </c:extLst>
            </c:dLbl>
            <c:dLbl>
              <c:idx val="3"/>
              <c:layout>
                <c:manualLayout>
                  <c:x val="1.2248470628952735E-2"/>
                  <c:y val="-0.148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1B-46B2-A220-03BA36579D85}"/>
                </c:ext>
              </c:extLst>
            </c:dLbl>
            <c:dLbl>
              <c:idx val="4"/>
              <c:layout>
                <c:manualLayout>
                  <c:x val="6.9991260736872313E-3"/>
                  <c:y val="-0.125000000000000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1B-46B2-A220-03BA36579D85}"/>
                </c:ext>
              </c:extLst>
            </c:dLbl>
            <c:dLbl>
              <c:idx val="5"/>
              <c:layout>
                <c:manualLayout>
                  <c:x val="5.249344555265407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1B-46B2-A220-03BA36579D85}"/>
                </c:ext>
              </c:extLst>
            </c:dLbl>
            <c:dLbl>
              <c:idx val="6"/>
              <c:layout>
                <c:manualLayout>
                  <c:x val="-3.4995630368436477E-3"/>
                  <c:y val="-0.194444444444444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B1B-46B2-A220-03BA36579D85}"/>
                </c:ext>
              </c:extLst>
            </c:dLbl>
            <c:dLbl>
              <c:idx val="7"/>
              <c:layout>
                <c:manualLayout>
                  <c:x val="5.249344555265407E-3"/>
                  <c:y val="-0.166666666666666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B1B-46B2-A220-03BA36579D85}"/>
                </c:ext>
              </c:extLst>
            </c:dLbl>
            <c:dLbl>
              <c:idx val="8"/>
              <c:layout>
                <c:manualLayout>
                  <c:x val="5.2493445552653428E-3"/>
                  <c:y val="-0.208333333333333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B1B-46B2-A220-03BA36579D85}"/>
                </c:ext>
              </c:extLst>
            </c:dLbl>
            <c:dLbl>
              <c:idx val="9"/>
              <c:layout>
                <c:manualLayout>
                  <c:x val="8.7489075921089905E-3"/>
                  <c:y val="-0.273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B1B-46B2-A220-03BA36579D85}"/>
                </c:ext>
              </c:extLst>
            </c:dLbl>
            <c:dLbl>
              <c:idx val="10"/>
              <c:layout>
                <c:manualLayout>
                  <c:x val="1.0498689110530814E-2"/>
                  <c:y val="-0.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B1B-46B2-A220-03BA36579D85}"/>
                </c:ext>
              </c:extLst>
            </c:dLbl>
            <c:dLbl>
              <c:idx val="11"/>
              <c:layout>
                <c:manualLayout>
                  <c:x val="-1.2831582903552711E-16"/>
                  <c:y val="-0.300925925925925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B1B-46B2-A220-03BA36579D85}"/>
                </c:ext>
              </c:extLst>
            </c:dLbl>
            <c:dLbl>
              <c:idx val="12"/>
              <c:layout>
                <c:manualLayout>
                  <c:x val="-1.7497815184219522E-3"/>
                  <c:y val="-0.34259259259259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B1B-46B2-A220-03BA36579D85}"/>
                </c:ext>
              </c:extLst>
            </c:dLbl>
            <c:dLbl>
              <c:idx val="13"/>
              <c:layout>
                <c:manualLayout>
                  <c:x val="-1.7497815184219522E-3"/>
                  <c:y val="-0.384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B1B-46B2-A220-03BA36579D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APAC!$D$13:$Q$13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APAC!$D$14:$Q$14</c:f>
              <c:numCache>
                <c:formatCode>_ * #,##0.0_ ;_ * \-#,##0.0_ ;_ * "-"??_ ;_ @_ </c:formatCode>
                <c:ptCount val="14"/>
                <c:pt idx="0">
                  <c:v>963.68999999999983</c:v>
                </c:pt>
                <c:pt idx="1">
                  <c:v>1079.1400619999999</c:v>
                </c:pt>
                <c:pt idx="2">
                  <c:v>1210.2767211922041</c:v>
                </c:pt>
                <c:pt idx="3">
                  <c:v>1359.4696759655617</c:v>
                </c:pt>
                <c:pt idx="4">
                  <c:v>1529.4821789012992</c:v>
                </c:pt>
                <c:pt idx="5">
                  <c:v>1723.5422721980631</c:v>
                </c:pt>
                <c:pt idx="6">
                  <c:v>1945.4279732888458</c:v>
                </c:pt>
                <c:pt idx="7">
                  <c:v>2199.5693481127537</c:v>
                </c:pt>
                <c:pt idx="8">
                  <c:v>2491.1710712317836</c:v>
                </c:pt>
                <c:pt idx="9">
                  <c:v>2826.3598925427491</c:v>
                </c:pt>
                <c:pt idx="10">
                  <c:v>3212.3624502155681</c:v>
                </c:pt>
                <c:pt idx="11">
                  <c:v>3657.7201401098082</c:v>
                </c:pt>
                <c:pt idx="12">
                  <c:v>4172.5493387476054</c:v>
                </c:pt>
                <c:pt idx="13">
                  <c:v>4768.8572635197534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1B-46B2-A220-03BA36579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_ * #,##0.0_ ;_ * \-#,##0.0_ ;_ * &quot;-&quot;??_ ;_ @_ 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By</a:t>
            </a:r>
            <a:r>
              <a:rPr lang="en-US" baseline="0">
                <a:solidFill>
                  <a:schemeClr val="bg1"/>
                </a:solidFill>
              </a:rPr>
              <a:t> Sample </a:t>
            </a:r>
            <a:r>
              <a:rPr lang="en-US">
                <a:solidFill>
                  <a:schemeClr val="bg1"/>
                </a:solidFill>
              </a:rPr>
              <a:t>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APAC!$B$22</c:f>
              <c:strCache>
                <c:ptCount val="1"/>
                <c:pt idx="0">
                  <c:v>Urine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APAC!$D$13:$Q$13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APAC!$D$22:$Q$22</c:f>
              <c:numCache>
                <c:formatCode>_ * #,##0.0_ ;_ * \-#,##0.0_ ;_ * "-"??_ ;_ @_ </c:formatCode>
                <c:ptCount val="14"/>
                <c:pt idx="0">
                  <c:v>192.73799999999997</c:v>
                </c:pt>
                <c:pt idx="1">
                  <c:v>215.91102317399998</c:v>
                </c:pt>
                <c:pt idx="2">
                  <c:v>242.24154065708578</c:v>
                </c:pt>
                <c:pt idx="3">
                  <c:v>272.20765896448904</c:v>
                </c:pt>
                <c:pt idx="4">
                  <c:v>306.36704568146024</c:v>
                </c:pt>
                <c:pt idx="5">
                  <c:v>345.37135531353493</c:v>
                </c:pt>
                <c:pt idx="6">
                  <c:v>389.98348449159482</c:v>
                </c:pt>
                <c:pt idx="7">
                  <c:v>441.09825311768839</c:v>
                </c:pt>
                <c:pt idx="8">
                  <c:v>499.76724259788398</c:v>
                </c:pt>
                <c:pt idx="9">
                  <c:v>567.22868920338715</c:v>
                </c:pt>
                <c:pt idx="10">
                  <c:v>644.94353808174105</c:v>
                </c:pt>
                <c:pt idx="11">
                  <c:v>734.63902198666995</c:v>
                </c:pt>
                <c:pt idx="12">
                  <c:v>838.36145175451884</c:v>
                </c:pt>
                <c:pt idx="13">
                  <c:v>958.54030996747053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4-4020-BB44-EF478965A368}"/>
            </c:ext>
          </c:extLst>
        </c:ser>
        <c:ser>
          <c:idx val="0"/>
          <c:order val="1"/>
          <c:tx>
            <c:strRef>
              <c:f>APAC!$B$23</c:f>
              <c:strCache>
                <c:ptCount val="1"/>
                <c:pt idx="0">
                  <c:v>Others (Serum)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APAC!$D$23:$Q$23</c:f>
              <c:numCache>
                <c:formatCode>_ * #,##0.0_ ;_ * \-#,##0.0_ ;_ * "-"??_ ;_ @_ </c:formatCode>
                <c:ptCount val="14"/>
                <c:pt idx="0">
                  <c:v>96.369000000000071</c:v>
                </c:pt>
                <c:pt idx="1">
                  <c:v>107.74798465200007</c:v>
                </c:pt>
                <c:pt idx="2">
                  <c:v>120.65527928193058</c:v>
                </c:pt>
                <c:pt idx="3">
                  <c:v>135.31952005380288</c:v>
                </c:pt>
                <c:pt idx="4">
                  <c:v>152.00699808772916</c:v>
                </c:pt>
                <c:pt idx="5">
                  <c:v>171.02842547196164</c:v>
                </c:pt>
                <c:pt idx="6">
                  <c:v>192.74701766123351</c:v>
                </c:pt>
                <c:pt idx="7">
                  <c:v>217.58816782100027</c:v>
                </c:pt>
                <c:pt idx="8">
                  <c:v>246.051050420124</c:v>
                </c:pt>
                <c:pt idx="9">
                  <c:v>278.72256786460048</c:v>
                </c:pt>
                <c:pt idx="10">
                  <c:v>316.29414894430215</c:v>
                </c:pt>
                <c:pt idx="11">
                  <c:v>359.58202608156466</c:v>
                </c:pt>
                <c:pt idx="12">
                  <c:v>409.5517658647654</c:v>
                </c:pt>
                <c:pt idx="13">
                  <c:v>467.34801182493624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B4-4020-BB44-EF478965A368}"/>
            </c:ext>
          </c:extLst>
        </c:ser>
        <c:ser>
          <c:idx val="2"/>
          <c:order val="2"/>
          <c:tx>
            <c:strRef>
              <c:f>APAC!$B$21</c:f>
              <c:strCache>
                <c:ptCount val="1"/>
                <c:pt idx="0">
                  <c:v>Blood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293969768205198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EB4-4020-BB44-EF478965A368}"/>
                </c:ext>
              </c:extLst>
            </c:dLbl>
            <c:dLbl>
              <c:idx val="1"/>
              <c:layout>
                <c:manualLayout>
                  <c:x val="3.5725804171676838E-3"/>
                  <c:y val="-0.293969768205198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EB4-4020-BB44-EF478965A368}"/>
                </c:ext>
              </c:extLst>
            </c:dLbl>
            <c:dLbl>
              <c:idx val="2"/>
              <c:layout>
                <c:manualLayout>
                  <c:x val="5.3588706257515252E-3"/>
                  <c:y val="-0.322884827372922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EB4-4020-BB44-EF478965A368}"/>
                </c:ext>
              </c:extLst>
            </c:dLbl>
            <c:dLbl>
              <c:idx val="3"/>
              <c:layout>
                <c:manualLayout>
                  <c:x val="1.071774125150305E-2"/>
                  <c:y val="-0.318065650844968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B4-4020-BB44-EF478965A368}"/>
                </c:ext>
              </c:extLst>
            </c:dLbl>
            <c:dLbl>
              <c:idx val="4"/>
              <c:layout>
                <c:manualLayout>
                  <c:x val="7.1451608343353675E-3"/>
                  <c:y val="-0.293969768205198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EB4-4020-BB44-EF478965A368}"/>
                </c:ext>
              </c:extLst>
            </c:dLbl>
            <c:dLbl>
              <c:idx val="5"/>
              <c:layout>
                <c:manualLayout>
                  <c:x val="7.1451608343353675E-3"/>
                  <c:y val="-0.260235532509519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EB4-4020-BB44-EF478965A368}"/>
                </c:ext>
              </c:extLst>
            </c:dLbl>
            <c:dLbl>
              <c:idx val="6"/>
              <c:layout>
                <c:manualLayout>
                  <c:x val="1.7862902085838419E-3"/>
                  <c:y val="-0.260235532509519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EB4-4020-BB44-EF478965A368}"/>
                </c:ext>
              </c:extLst>
            </c:dLbl>
            <c:dLbl>
              <c:idx val="7"/>
              <c:layout>
                <c:manualLayout>
                  <c:x val="1.2504031460086893E-2"/>
                  <c:y val="-0.265054709037473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EB4-4020-BB44-EF478965A368}"/>
                </c:ext>
              </c:extLst>
            </c:dLbl>
            <c:dLbl>
              <c:idx val="8"/>
              <c:layout>
                <c:manualLayout>
                  <c:x val="1.607661187725451E-2"/>
                  <c:y val="-0.25541635598156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EB4-4020-BB44-EF478965A368}"/>
                </c:ext>
              </c:extLst>
            </c:dLbl>
            <c:dLbl>
              <c:idx val="9"/>
              <c:layout>
                <c:manualLayout>
                  <c:x val="1.071774125150305E-2"/>
                  <c:y val="-0.284331415149290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EB4-4020-BB44-EF478965A368}"/>
                </c:ext>
              </c:extLst>
            </c:dLbl>
            <c:dLbl>
              <c:idx val="10"/>
              <c:layout>
                <c:manualLayout>
                  <c:x val="3.5725804171676838E-3"/>
                  <c:y val="-0.2891505916772442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EB4-4020-BB44-EF478965A368}"/>
                </c:ext>
              </c:extLst>
            </c:dLbl>
            <c:dLbl>
              <c:idx val="11"/>
              <c:layout>
                <c:manualLayout>
                  <c:x val="1.7862902085838419E-3"/>
                  <c:y val="-0.332523180428830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EB4-4020-BB44-EF478965A368}"/>
                </c:ext>
              </c:extLst>
            </c:dLbl>
            <c:dLbl>
              <c:idx val="12"/>
              <c:layout>
                <c:manualLayout>
                  <c:x val="-3.5725804171676838E-3"/>
                  <c:y val="-0.318065650844968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EB4-4020-BB44-EF478965A368}"/>
                </c:ext>
              </c:extLst>
            </c:dLbl>
            <c:dLbl>
              <c:idx val="13"/>
              <c:layout>
                <c:manualLayout>
                  <c:x val="3.5725804171675528E-3"/>
                  <c:y val="-0.260235532509519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EB4-4020-BB44-EF478965A3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APAC!$D$21:$Q$21</c:f>
              <c:numCache>
                <c:formatCode>_ * #,##0.0_ ;_ * \-#,##0.0_ ;_ * "-"??_ ;_ @_ </c:formatCode>
                <c:ptCount val="14"/>
                <c:pt idx="0">
                  <c:v>674.58299999999986</c:v>
                </c:pt>
                <c:pt idx="1">
                  <c:v>755.48105417399995</c:v>
                </c:pt>
                <c:pt idx="2">
                  <c:v>847.37990125318788</c:v>
                </c:pt>
                <c:pt idx="3">
                  <c:v>951.94249694726977</c:v>
                </c:pt>
                <c:pt idx="4">
                  <c:v>1071.1081351321097</c:v>
                </c:pt>
                <c:pt idx="5">
                  <c:v>1207.1424914125664</c:v>
                </c:pt>
                <c:pt idx="6">
                  <c:v>1362.6974711360174</c:v>
                </c:pt>
                <c:pt idx="7">
                  <c:v>1540.8829271740651</c:v>
                </c:pt>
                <c:pt idx="8">
                  <c:v>1745.3527782137755</c:v>
                </c:pt>
                <c:pt idx="9">
                  <c:v>1980.4086354747615</c:v>
                </c:pt>
                <c:pt idx="10">
                  <c:v>2251.1247631895249</c:v>
                </c:pt>
                <c:pt idx="11">
                  <c:v>2563.4990920415739</c:v>
                </c:pt>
                <c:pt idx="12">
                  <c:v>2924.6361211283215</c:v>
                </c:pt>
                <c:pt idx="13">
                  <c:v>3342.9689417273471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EB4-4020-BB44-EF478965A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 Market Size 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995630368436477E-3"/>
                  <c:y val="-0.120370370370370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C4E-4747-941F-A3966749775D}"/>
                </c:ext>
              </c:extLst>
            </c:dLbl>
            <c:dLbl>
              <c:idx val="1"/>
              <c:layout>
                <c:manualLayout>
                  <c:x val="5.2493445552654712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4E-4747-941F-A3966749775D}"/>
                </c:ext>
              </c:extLst>
            </c:dLbl>
            <c:dLbl>
              <c:idx val="2"/>
              <c:layout>
                <c:manualLayout>
                  <c:x val="1.2248470628952767E-2"/>
                  <c:y val="-0.120370370370370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4E-4747-941F-A3966749775D}"/>
                </c:ext>
              </c:extLst>
            </c:dLbl>
            <c:dLbl>
              <c:idx val="3"/>
              <c:layout>
                <c:manualLayout>
                  <c:x val="1.2248470628952735E-2"/>
                  <c:y val="-0.148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4E-4747-941F-A3966749775D}"/>
                </c:ext>
              </c:extLst>
            </c:dLbl>
            <c:dLbl>
              <c:idx val="4"/>
              <c:layout>
                <c:manualLayout>
                  <c:x val="6.9991260736872313E-3"/>
                  <c:y val="-0.125000000000000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C4E-4747-941F-A3966749775D}"/>
                </c:ext>
              </c:extLst>
            </c:dLbl>
            <c:dLbl>
              <c:idx val="5"/>
              <c:layout>
                <c:manualLayout>
                  <c:x val="5.249344555265407E-3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4E-4747-941F-A3966749775D}"/>
                </c:ext>
              </c:extLst>
            </c:dLbl>
            <c:dLbl>
              <c:idx val="6"/>
              <c:layout>
                <c:manualLayout>
                  <c:x val="-3.4995630368436477E-3"/>
                  <c:y val="-0.194444444444444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C4E-4747-941F-A3966749775D}"/>
                </c:ext>
              </c:extLst>
            </c:dLbl>
            <c:dLbl>
              <c:idx val="7"/>
              <c:layout>
                <c:manualLayout>
                  <c:x val="5.249344555265407E-3"/>
                  <c:y val="-0.166666666666666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C4E-4747-941F-A3966749775D}"/>
                </c:ext>
              </c:extLst>
            </c:dLbl>
            <c:dLbl>
              <c:idx val="8"/>
              <c:layout>
                <c:manualLayout>
                  <c:x val="5.2493445552653428E-3"/>
                  <c:y val="-0.208333333333333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C4E-4747-941F-A3966749775D}"/>
                </c:ext>
              </c:extLst>
            </c:dLbl>
            <c:dLbl>
              <c:idx val="9"/>
              <c:layout>
                <c:manualLayout>
                  <c:x val="8.7489075921089905E-3"/>
                  <c:y val="-0.273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C4E-4747-941F-A3966749775D}"/>
                </c:ext>
              </c:extLst>
            </c:dLbl>
            <c:dLbl>
              <c:idx val="10"/>
              <c:layout>
                <c:manualLayout>
                  <c:x val="1.0498689110530814E-2"/>
                  <c:y val="-0.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C4E-4747-941F-A3966749775D}"/>
                </c:ext>
              </c:extLst>
            </c:dLbl>
            <c:dLbl>
              <c:idx val="11"/>
              <c:layout>
                <c:manualLayout>
                  <c:x val="-1.2831582903552711E-16"/>
                  <c:y val="-0.300925925925925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C4E-4747-941F-A3966749775D}"/>
                </c:ext>
              </c:extLst>
            </c:dLbl>
            <c:dLbl>
              <c:idx val="12"/>
              <c:layout>
                <c:manualLayout>
                  <c:x val="-1.7497815184219522E-3"/>
                  <c:y val="-0.34259259259259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C4E-4747-941F-A3966749775D}"/>
                </c:ext>
              </c:extLst>
            </c:dLbl>
            <c:dLbl>
              <c:idx val="13"/>
              <c:layout>
                <c:manualLayout>
                  <c:x val="-1.7497815184219522E-3"/>
                  <c:y val="-0.384259259259259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C4E-4747-941F-A396674977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'North America'!$D$13:$Q$13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'North America'!$D$14:$Q$14</c:f>
              <c:numCache>
                <c:formatCode>_ * #,##0.0_ ;_ * \-#,##0.0_ ;_ * "-"??_ ;_ @_ </c:formatCode>
                <c:ptCount val="14"/>
                <c:pt idx="0">
                  <c:v>1376.7</c:v>
                </c:pt>
                <c:pt idx="1">
                  <c:v>1561.4531400000001</c:v>
                </c:pt>
                <c:pt idx="2">
                  <c:v>1773.9429624027116</c:v>
                </c:pt>
                <c:pt idx="3">
                  <c:v>2018.7415169302828</c:v>
                </c:pt>
                <c:pt idx="4">
                  <c:v>2301.2382373344344</c:v>
                </c:pt>
                <c:pt idx="5">
                  <c:v>2627.7970241941775</c:v>
                </c:pt>
                <c:pt idx="6">
                  <c:v>3005.9455564465266</c:v>
                </c:pt>
                <c:pt idx="7">
                  <c:v>3444.6038525501926</c:v>
                </c:pt>
                <c:pt idx="8">
                  <c:v>3954.3607188593869</c:v>
                </c:pt>
                <c:pt idx="9">
                  <c:v>4547.8087314689938</c:v>
                </c:pt>
                <c:pt idx="10">
                  <c:v>5239.9508982540374</c:v>
                </c:pt>
                <c:pt idx="11">
                  <c:v>6048.6952664151722</c:v>
                </c:pt>
                <c:pt idx="12">
                  <c:v>6995.4576378794545</c:v>
                </c:pt>
                <c:pt idx="13">
                  <c:v>8105.8974342216989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4E-4747-941F-A39667497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_ * #,##0.0_ ;_ * \-#,##0.0_ ;_ * &quot;-&quot;??_ ;_ @_ 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By</a:t>
            </a:r>
            <a:r>
              <a:rPr lang="en-US" baseline="0">
                <a:solidFill>
                  <a:schemeClr val="bg1"/>
                </a:solidFill>
              </a:rPr>
              <a:t> Sample </a:t>
            </a:r>
            <a:r>
              <a:rPr lang="en-US">
                <a:solidFill>
                  <a:schemeClr val="bg1"/>
                </a:solidFill>
              </a:rPr>
              <a:t>(USD million)</a:t>
            </a:r>
          </a:p>
        </c:rich>
      </c:tx>
      <c:overlay val="0"/>
      <c:spPr>
        <a:solidFill>
          <a:schemeClr val="tx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'North America'!$B$22</c:f>
              <c:strCache>
                <c:ptCount val="1"/>
                <c:pt idx="0">
                  <c:v>Urine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'North America'!$D$13:$Q$13</c:f>
              <c:numCache>
                <c:formatCode>General</c:formatCode>
                <c:ptCount val="1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</c:numCache>
            </c:numRef>
          </c:cat>
          <c:val>
            <c:numRef>
              <c:f>'North America'!$D$22:$Q$22</c:f>
              <c:numCache>
                <c:formatCode>_ * #,##0.0_ ;_ * \-#,##0.0_ ;_ * "-"??_ ;_ @_ </c:formatCode>
                <c:ptCount val="14"/>
                <c:pt idx="0">
                  <c:v>275.34000000000003</c:v>
                </c:pt>
                <c:pt idx="1">
                  <c:v>312.41073978000003</c:v>
                </c:pt>
                <c:pt idx="2">
                  <c:v>355.06150678245041</c:v>
                </c:pt>
                <c:pt idx="3">
                  <c:v>404.21416681304049</c:v>
                </c:pt>
                <c:pt idx="4">
                  <c:v>460.95572077068209</c:v>
                </c:pt>
                <c:pt idx="5">
                  <c:v>526.57009600198717</c:v>
                </c:pt>
                <c:pt idx="6">
                  <c:v>602.57647077689603</c:v>
                </c:pt>
                <c:pt idx="7">
                  <c:v>690.77555719987333</c:v>
                </c:pt>
                <c:pt idx="8">
                  <c:v>793.30559652194472</c:v>
                </c:pt>
                <c:pt idx="9">
                  <c:v>912.71022926173885</c:v>
                </c:pt>
                <c:pt idx="10">
                  <c:v>1052.020911111003</c:v>
                </c:pt>
                <c:pt idx="11">
                  <c:v>1214.8571800469242</c:v>
                </c:pt>
                <c:pt idx="12">
                  <c:v>1405.5488730877796</c:v>
                </c:pt>
                <c:pt idx="13">
                  <c:v>1629.2853842785617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7B0-49D5-BC75-3CFAB5B475D3}"/>
            </c:ext>
          </c:extLst>
        </c:ser>
        <c:ser>
          <c:idx val="0"/>
          <c:order val="1"/>
          <c:tx>
            <c:strRef>
              <c:f>'North America'!$B$23</c:f>
              <c:strCache>
                <c:ptCount val="1"/>
                <c:pt idx="0">
                  <c:v>Others (Serum)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'North America'!$D$23:$Q$23</c:f>
              <c:numCache>
                <c:formatCode>_ * #,##0.0_ ;_ * \-#,##0.0_ ;_ * "-"??_ ;_ @_ </c:formatCode>
                <c:ptCount val="14"/>
                <c:pt idx="0">
                  <c:v>137.67000000000013</c:v>
                </c:pt>
                <c:pt idx="1">
                  <c:v>155.90509044000012</c:v>
                </c:pt>
                <c:pt idx="2">
                  <c:v>176.84846763645504</c:v>
                </c:pt>
                <c:pt idx="3">
                  <c:v>200.94242483906055</c:v>
                </c:pt>
                <c:pt idx="4">
                  <c:v>228.70767712585305</c:v>
                </c:pt>
                <c:pt idx="5">
                  <c:v>260.75832009311455</c:v>
                </c:pt>
                <c:pt idx="6">
                  <c:v>297.81983666947156</c:v>
                </c:pt>
                <c:pt idx="7">
                  <c:v>340.75081187535011</c:v>
                </c:pt>
                <c:pt idx="8">
                  <c:v>390.56916638580429</c:v>
                </c:pt>
                <c:pt idx="9">
                  <c:v>448.48390721101941</c:v>
                </c:pt>
                <c:pt idx="10">
                  <c:v>515.93362690501306</c:v>
                </c:pt>
                <c:pt idx="11">
                  <c:v>594.63327311373848</c:v>
                </c:pt>
                <c:pt idx="12">
                  <c:v>686.63107276416872</c:v>
                </c:pt>
                <c:pt idx="13">
                  <c:v>794.37794855372715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7B0-49D5-BC75-3CFAB5B475D3}"/>
            </c:ext>
          </c:extLst>
        </c:ser>
        <c:ser>
          <c:idx val="2"/>
          <c:order val="2"/>
          <c:tx>
            <c:strRef>
              <c:f>'North America'!$B$21</c:f>
              <c:strCache>
                <c:ptCount val="1"/>
                <c:pt idx="0">
                  <c:v>Blood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293969768205198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7B0-49D5-BC75-3CFAB5B475D3}"/>
                </c:ext>
              </c:extLst>
            </c:dLbl>
            <c:dLbl>
              <c:idx val="1"/>
              <c:layout>
                <c:manualLayout>
                  <c:x val="3.5725804171676838E-3"/>
                  <c:y val="-0.293969768205198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7B0-49D5-BC75-3CFAB5B475D3}"/>
                </c:ext>
              </c:extLst>
            </c:dLbl>
            <c:dLbl>
              <c:idx val="2"/>
              <c:layout>
                <c:manualLayout>
                  <c:x val="5.3588706257515252E-3"/>
                  <c:y val="-0.322884827372922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7B0-49D5-BC75-3CFAB5B475D3}"/>
                </c:ext>
              </c:extLst>
            </c:dLbl>
            <c:dLbl>
              <c:idx val="3"/>
              <c:layout>
                <c:manualLayout>
                  <c:x val="1.071774125150305E-2"/>
                  <c:y val="-0.318065650844968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7B0-49D5-BC75-3CFAB5B475D3}"/>
                </c:ext>
              </c:extLst>
            </c:dLbl>
            <c:dLbl>
              <c:idx val="4"/>
              <c:layout>
                <c:manualLayout>
                  <c:x val="7.1451608343353675E-3"/>
                  <c:y val="-0.293969768205198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7B0-49D5-BC75-3CFAB5B475D3}"/>
                </c:ext>
              </c:extLst>
            </c:dLbl>
            <c:dLbl>
              <c:idx val="5"/>
              <c:layout>
                <c:manualLayout>
                  <c:x val="7.1451608343353675E-3"/>
                  <c:y val="-0.260235532509519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7B0-49D5-BC75-3CFAB5B475D3}"/>
                </c:ext>
              </c:extLst>
            </c:dLbl>
            <c:dLbl>
              <c:idx val="6"/>
              <c:layout>
                <c:manualLayout>
                  <c:x val="1.7862902085838419E-3"/>
                  <c:y val="-0.260235532509519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7B0-49D5-BC75-3CFAB5B475D3}"/>
                </c:ext>
              </c:extLst>
            </c:dLbl>
            <c:dLbl>
              <c:idx val="7"/>
              <c:layout>
                <c:manualLayout>
                  <c:x val="1.2504031460086893E-2"/>
                  <c:y val="-0.265054709037473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97B0-49D5-BC75-3CFAB5B475D3}"/>
                </c:ext>
              </c:extLst>
            </c:dLbl>
            <c:dLbl>
              <c:idx val="8"/>
              <c:layout>
                <c:manualLayout>
                  <c:x val="1.607661187725451E-2"/>
                  <c:y val="-0.25541635598156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97B0-49D5-BC75-3CFAB5B475D3}"/>
                </c:ext>
              </c:extLst>
            </c:dLbl>
            <c:dLbl>
              <c:idx val="9"/>
              <c:layout>
                <c:manualLayout>
                  <c:x val="1.071774125150305E-2"/>
                  <c:y val="-0.284331415149290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97B0-49D5-BC75-3CFAB5B475D3}"/>
                </c:ext>
              </c:extLst>
            </c:dLbl>
            <c:dLbl>
              <c:idx val="10"/>
              <c:layout>
                <c:manualLayout>
                  <c:x val="3.5725804171676838E-3"/>
                  <c:y val="-0.2891505916772442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97B0-49D5-BC75-3CFAB5B475D3}"/>
                </c:ext>
              </c:extLst>
            </c:dLbl>
            <c:dLbl>
              <c:idx val="11"/>
              <c:layout>
                <c:manualLayout>
                  <c:x val="1.7862902085838419E-3"/>
                  <c:y val="-0.332523180428830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7B0-49D5-BC75-3CFAB5B475D3}"/>
                </c:ext>
              </c:extLst>
            </c:dLbl>
            <c:dLbl>
              <c:idx val="12"/>
              <c:layout>
                <c:manualLayout>
                  <c:x val="-3.5725804171676838E-3"/>
                  <c:y val="-0.318065650844968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97B0-49D5-BC75-3CFAB5B475D3}"/>
                </c:ext>
              </c:extLst>
            </c:dLbl>
            <c:dLbl>
              <c:idx val="13"/>
              <c:layout>
                <c:manualLayout>
                  <c:x val="3.5725804171675528E-3"/>
                  <c:y val="-0.260235532509519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97B0-49D5-BC75-3CFAB5B475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'North America'!$D$21:$Q$21</c:f>
              <c:numCache>
                <c:formatCode>_ * #,##0.0_ ;_ * \-#,##0.0_ ;_ * "-"??_ ;_ @_ </c:formatCode>
                <c:ptCount val="14"/>
                <c:pt idx="0">
                  <c:v>963.68999999999994</c:v>
                </c:pt>
                <c:pt idx="1">
                  <c:v>1093.1373097799999</c:v>
                </c:pt>
                <c:pt idx="2">
                  <c:v>1242.0329879838062</c:v>
                </c:pt>
                <c:pt idx="3">
                  <c:v>1413.5849252781818</c:v>
                </c:pt>
                <c:pt idx="4">
                  <c:v>1611.5748394378993</c:v>
                </c:pt>
                <c:pt idx="5">
                  <c:v>1840.4686080990759</c:v>
                </c:pt>
                <c:pt idx="6">
                  <c:v>2105.5492490001589</c:v>
                </c:pt>
                <c:pt idx="7">
                  <c:v>2413.0774834749691</c:v>
                </c:pt>
                <c:pt idx="8">
                  <c:v>2770.4859559516376</c:v>
                </c:pt>
                <c:pt idx="9">
                  <c:v>3186.6145949962352</c:v>
                </c:pt>
                <c:pt idx="10">
                  <c:v>3671.9963602380212</c:v>
                </c:pt>
                <c:pt idx="11">
                  <c:v>4239.2048132545096</c:v>
                </c:pt>
                <c:pt idx="12">
                  <c:v>4903.2776920275064</c:v>
                </c:pt>
                <c:pt idx="13">
                  <c:v>5682.2341013894102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7B0-49D5-BC75-3CFAB5B47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8464"/>
        <c:axId val="2093505023"/>
      </c:barChart>
      <c:catAx>
        <c:axId val="1258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5023"/>
        <c:crosses val="autoZero"/>
        <c:auto val="1"/>
        <c:lblAlgn val="ctr"/>
        <c:lblOffset val="100"/>
        <c:noMultiLvlLbl val="0"/>
      </c:catAx>
      <c:valAx>
        <c:axId val="209350502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2581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firstButton="1" fmlaLink="$A$3" lockText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checked="Checked" lockText="1" noThreeD="1"/>
</file>

<file path=xl/ctrlProps/ctrlProp6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83345</xdr:colOff>
      <xdr:row>2</xdr:row>
      <xdr:rowOff>83344</xdr:rowOff>
    </xdr:from>
    <xdr:to>
      <xdr:col>8</xdr:col>
      <xdr:colOff>404813</xdr:colOff>
      <xdr:row>10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44765F-D049-4439-8FDD-ECDC35C62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98380</xdr:rowOff>
    </xdr:from>
    <xdr:to>
      <xdr:col>18</xdr:col>
      <xdr:colOff>178369</xdr:colOff>
      <xdr:row>10</xdr:row>
      <xdr:rowOff>157911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C5D445-465E-41FD-BAE4-8D365811B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83345</xdr:colOff>
      <xdr:row>6</xdr:row>
      <xdr:rowOff>83344</xdr:rowOff>
    </xdr:from>
    <xdr:to>
      <xdr:col>8</xdr:col>
      <xdr:colOff>404813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86A552-BB80-4C62-A21A-3E574CA393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98380</xdr:rowOff>
    </xdr:from>
    <xdr:to>
      <xdr:col>18</xdr:col>
      <xdr:colOff>0</xdr:colOff>
      <xdr:row>14</xdr:row>
      <xdr:rowOff>157911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6B3E6F-78B4-46DB-993D-BDFC0B6CA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3</xdr:row>
          <xdr:rowOff>107950</xdr:rowOff>
        </xdr:from>
        <xdr:to>
          <xdr:col>1</xdr:col>
          <xdr:colOff>1619250</xdr:colOff>
          <xdr:row>4</xdr:row>
          <xdr:rowOff>234950</xdr:rowOff>
        </xdr:to>
        <xdr:sp macro="" textlink="">
          <xdr:nvSpPr>
            <xdr:cNvPr id="6145" name="Option Butto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1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FF" mc:Ignorable="a14" a14:legacySpreadsheetColorIndex="15"/>
            </a:solidFill>
            <a:ln w="38100">
              <a:solidFill>
                <a:srgbClr val="000000" mc:Ignorable="a14" a14:legacySpreadsheetColorIndex="8"/>
              </a:solidFill>
              <a:miter lim="800000"/>
              <a:headEnd/>
              <a:tailEnd/>
            </a:ln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Global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1860550</xdr:colOff>
          <xdr:row>3</xdr:row>
          <xdr:rowOff>107950</xdr:rowOff>
        </xdr:from>
        <xdr:to>
          <xdr:col>4</xdr:col>
          <xdr:colOff>50800</xdr:colOff>
          <xdr:row>4</xdr:row>
          <xdr:rowOff>234950</xdr:rowOff>
        </xdr:to>
        <xdr:sp macro="" textlink="">
          <xdr:nvSpPr>
            <xdr:cNvPr id="6150" name="Option Button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1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FF" mc:Ignorable="a14" a14:legacySpreadsheetColorIndex="15"/>
            </a:solidFill>
            <a:ln w="38100">
              <a:solidFill>
                <a:srgbClr val="000000" mc:Ignorable="a14" a14:legacySpreadsheetColorIndex="8"/>
              </a:solidFill>
              <a:miter lim="800000"/>
              <a:headEnd/>
              <a:tailEnd/>
            </a:ln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North America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292100</xdr:colOff>
          <xdr:row>3</xdr:row>
          <xdr:rowOff>114300</xdr:rowOff>
        </xdr:from>
        <xdr:to>
          <xdr:col>6</xdr:col>
          <xdr:colOff>425450</xdr:colOff>
          <xdr:row>4</xdr:row>
          <xdr:rowOff>241300</xdr:rowOff>
        </xdr:to>
        <xdr:sp macro="" textlink="">
          <xdr:nvSpPr>
            <xdr:cNvPr id="6151" name="Option Button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1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FF" mc:Ignorable="a14" a14:legacySpreadsheetColorIndex="15"/>
            </a:solidFill>
            <a:ln w="28575">
              <a:solidFill>
                <a:srgbClr val="000000" mc:Ignorable="a14" a14:legacySpreadsheetColorIndex="8"/>
              </a:solidFill>
              <a:miter lim="800000"/>
              <a:headEnd/>
              <a:tailEnd/>
            </a:ln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APAC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</xdr:colOff>
          <xdr:row>3</xdr:row>
          <xdr:rowOff>127000</xdr:rowOff>
        </xdr:from>
        <xdr:to>
          <xdr:col>9</xdr:col>
          <xdr:colOff>184150</xdr:colOff>
          <xdr:row>4</xdr:row>
          <xdr:rowOff>254000</xdr:rowOff>
        </xdr:to>
        <xdr:sp macro="" textlink="">
          <xdr:nvSpPr>
            <xdr:cNvPr id="6152" name="Option Button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1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FF" mc:Ignorable="a14" a14:legacySpreadsheetColorIndex="15"/>
            </a:solidFill>
            <a:ln w="38100">
              <a:solidFill>
                <a:srgbClr val="000000" mc:Ignorable="a14" a14:legacySpreadsheetColorIndex="8"/>
              </a:solidFill>
              <a:miter lim="800000"/>
              <a:headEnd/>
              <a:tailEnd/>
            </a:ln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Europe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400050</xdr:colOff>
          <xdr:row>3</xdr:row>
          <xdr:rowOff>133350</xdr:rowOff>
        </xdr:from>
        <xdr:to>
          <xdr:col>11</xdr:col>
          <xdr:colOff>533400</xdr:colOff>
          <xdr:row>4</xdr:row>
          <xdr:rowOff>260350</xdr:rowOff>
        </xdr:to>
        <xdr:sp macro="" textlink="">
          <xdr:nvSpPr>
            <xdr:cNvPr id="6153" name="Option Button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1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FF" mc:Ignorable="a14" a14:legacySpreadsheetColorIndex="15"/>
            </a:solidFill>
            <a:ln w="38100">
              <a:solidFill>
                <a:srgbClr val="000000" mc:Ignorable="a14" a14:legacySpreadsheetColorIndex="8"/>
              </a:solidFill>
              <a:miter lim="800000"/>
              <a:headEnd/>
              <a:tailEnd/>
            </a:ln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Latin America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120650</xdr:colOff>
          <xdr:row>3</xdr:row>
          <xdr:rowOff>146050</xdr:rowOff>
        </xdr:from>
        <xdr:to>
          <xdr:col>14</xdr:col>
          <xdr:colOff>254000</xdr:colOff>
          <xdr:row>4</xdr:row>
          <xdr:rowOff>273050</xdr:rowOff>
        </xdr:to>
        <xdr:sp macro="" textlink="">
          <xdr:nvSpPr>
            <xdr:cNvPr id="6154" name="Option Button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1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FF" mc:Ignorable="a14" a14:legacySpreadsheetColorIndex="15"/>
            </a:solidFill>
            <a:ln w="38100">
              <a:solidFill>
                <a:srgbClr val="000000" mc:Ignorable="a14" a14:legacySpreadsheetColorIndex="8"/>
              </a:solidFill>
              <a:miter lim="800000"/>
              <a:headEnd/>
              <a:tailEnd/>
            </a:ln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83345</xdr:colOff>
      <xdr:row>2</xdr:row>
      <xdr:rowOff>83344</xdr:rowOff>
    </xdr:from>
    <xdr:to>
      <xdr:col>8</xdr:col>
      <xdr:colOff>404813</xdr:colOff>
      <xdr:row>10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EF717F-92DE-47EC-9C74-91A9D1091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98380</xdr:rowOff>
    </xdr:from>
    <xdr:to>
      <xdr:col>18</xdr:col>
      <xdr:colOff>178369</xdr:colOff>
      <xdr:row>10</xdr:row>
      <xdr:rowOff>157911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AB4FA4-530C-49D3-B3FF-FE7CDFCA9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83345</xdr:colOff>
      <xdr:row>2</xdr:row>
      <xdr:rowOff>83344</xdr:rowOff>
    </xdr:from>
    <xdr:to>
      <xdr:col>8</xdr:col>
      <xdr:colOff>404813</xdr:colOff>
      <xdr:row>10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87E0A3-7E8D-4DE9-9F3B-D405BCC37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98380</xdr:rowOff>
    </xdr:from>
    <xdr:to>
      <xdr:col>18</xdr:col>
      <xdr:colOff>178369</xdr:colOff>
      <xdr:row>10</xdr:row>
      <xdr:rowOff>157911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2A6BE7-C5BE-4126-9659-560941D1A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83345</xdr:colOff>
      <xdr:row>2</xdr:row>
      <xdr:rowOff>83344</xdr:rowOff>
    </xdr:from>
    <xdr:to>
      <xdr:col>8</xdr:col>
      <xdr:colOff>404813</xdr:colOff>
      <xdr:row>10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0F8B0-EE37-43C2-BCA4-47DDC1680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98380</xdr:rowOff>
    </xdr:from>
    <xdr:to>
      <xdr:col>18</xdr:col>
      <xdr:colOff>178369</xdr:colOff>
      <xdr:row>10</xdr:row>
      <xdr:rowOff>157911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3FB035-C685-4698-A3C5-BD9BF768B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83345</xdr:colOff>
      <xdr:row>2</xdr:row>
      <xdr:rowOff>83344</xdr:rowOff>
    </xdr:from>
    <xdr:to>
      <xdr:col>8</xdr:col>
      <xdr:colOff>404813</xdr:colOff>
      <xdr:row>10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EF471C-7C70-44A1-9776-865ACEB7C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98380</xdr:rowOff>
    </xdr:from>
    <xdr:to>
      <xdr:col>18</xdr:col>
      <xdr:colOff>178369</xdr:colOff>
      <xdr:row>10</xdr:row>
      <xdr:rowOff>157911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27F711-76C8-496B-9A21-018CE77B6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83345</xdr:colOff>
      <xdr:row>2</xdr:row>
      <xdr:rowOff>83344</xdr:rowOff>
    </xdr:from>
    <xdr:to>
      <xdr:col>8</xdr:col>
      <xdr:colOff>404813</xdr:colOff>
      <xdr:row>10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EF5C7D-FCE2-B7E1-C751-2FE57948A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98380</xdr:rowOff>
    </xdr:from>
    <xdr:to>
      <xdr:col>18</xdr:col>
      <xdr:colOff>178369</xdr:colOff>
      <xdr:row>10</xdr:row>
      <xdr:rowOff>157911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013551-2EBB-48C0-AB1A-C10B3742A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1B53-D8D4-45C4-B479-4A298DACCC28}">
  <dimension ref="A2:AG38"/>
  <sheetViews>
    <sheetView showGridLines="0" topLeftCell="A10" zoomScale="71" zoomScaleNormal="71" workbookViewId="0">
      <selection activeCell="F22" sqref="F22"/>
    </sheetView>
  </sheetViews>
  <sheetFormatPr defaultRowHeight="14.5" x14ac:dyDescent="0.35"/>
  <cols>
    <col min="1" max="1" width="17.1796875" customWidth="1"/>
    <col min="2" max="2" width="27.81640625" customWidth="1"/>
    <col min="4" max="4" width="11.26953125" bestFit="1" customWidth="1"/>
    <col min="17" max="17" width="11.7265625" customWidth="1"/>
    <col min="18" max="18" width="26.453125" customWidth="1"/>
    <col min="19" max="19" width="28.90625" customWidth="1"/>
  </cols>
  <sheetData>
    <row r="2" spans="1:33" ht="25" x14ac:dyDescent="0.5">
      <c r="A2" s="146" t="s">
        <v>114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63"/>
    </row>
    <row r="3" spans="1:33" ht="25" x14ac:dyDescent="0.5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63"/>
    </row>
    <row r="4" spans="1:33" ht="25" x14ac:dyDescent="0.5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63"/>
    </row>
    <row r="5" spans="1:33" ht="25" x14ac:dyDescent="0.5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63"/>
    </row>
    <row r="6" spans="1:33" ht="25" x14ac:dyDescent="0.5">
      <c r="A6" s="96"/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63"/>
    </row>
    <row r="7" spans="1:33" ht="25" x14ac:dyDescent="0.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63"/>
    </row>
    <row r="8" spans="1:33" ht="25" x14ac:dyDescent="0.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63"/>
    </row>
    <row r="9" spans="1:33" ht="25" x14ac:dyDescent="0.5">
      <c r="A9" s="96"/>
      <c r="B9" s="96"/>
      <c r="C9" s="97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63"/>
    </row>
    <row r="10" spans="1:33" ht="25" x14ac:dyDescent="0.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63"/>
    </row>
    <row r="11" spans="1:33" ht="25" x14ac:dyDescent="0.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63"/>
    </row>
    <row r="12" spans="1:33" ht="25.5" thickBot="1" x14ac:dyDescent="0.55000000000000004">
      <c r="A12" s="96"/>
      <c r="B12" s="96"/>
      <c r="C12" s="96"/>
      <c r="D12" s="145" t="b">
        <f>D14='Market Analysis '!C8</f>
        <v>1</v>
      </c>
      <c r="E12" s="145" t="b">
        <f>E14='Market Analysis '!D8</f>
        <v>1</v>
      </c>
      <c r="F12" s="145" t="b">
        <f>F14='Market Analysis '!E8</f>
        <v>1</v>
      </c>
      <c r="G12" s="145" t="b">
        <f>G14='Market Analysis '!F8</f>
        <v>1</v>
      </c>
      <c r="H12" s="145" t="b">
        <f>H14='Market Analysis '!G8</f>
        <v>1</v>
      </c>
      <c r="I12" s="145" t="b">
        <f>I14='Market Analysis '!H8</f>
        <v>1</v>
      </c>
      <c r="J12" s="145" t="b">
        <f>J14='Market Analysis '!I8</f>
        <v>1</v>
      </c>
      <c r="K12" s="145" t="b">
        <f>K14='Market Analysis '!J8</f>
        <v>1</v>
      </c>
      <c r="L12" s="145" t="b">
        <f>L14='Market Analysis '!K8</f>
        <v>1</v>
      </c>
      <c r="M12" s="145" t="b">
        <f>M14='Market Analysis '!L8</f>
        <v>1</v>
      </c>
      <c r="N12" s="145" t="b">
        <f>N14='Market Analysis '!M8</f>
        <v>1</v>
      </c>
      <c r="O12" s="145" t="b">
        <f>O14='Market Analysis '!N8</f>
        <v>1</v>
      </c>
      <c r="P12" s="145" t="b">
        <f>P14='Market Analysis '!O8</f>
        <v>1</v>
      </c>
      <c r="Q12" s="145" t="b">
        <f>Q14='Market Analysis '!P8</f>
        <v>1</v>
      </c>
      <c r="R12" s="96"/>
      <c r="S12" s="63"/>
    </row>
    <row r="13" spans="1:33" ht="15.5" x14ac:dyDescent="0.35">
      <c r="A13" s="42"/>
      <c r="B13" s="43"/>
      <c r="C13" s="93"/>
      <c r="D13" s="91">
        <v>2023</v>
      </c>
      <c r="E13" s="65">
        <v>2024</v>
      </c>
      <c r="F13" s="65">
        <v>2025</v>
      </c>
      <c r="G13" s="65">
        <v>2026</v>
      </c>
      <c r="H13" s="65">
        <v>2027</v>
      </c>
      <c r="I13" s="65">
        <v>2028</v>
      </c>
      <c r="J13" s="65">
        <v>2029</v>
      </c>
      <c r="K13" s="65">
        <v>2030</v>
      </c>
      <c r="L13" s="65">
        <v>2031</v>
      </c>
      <c r="M13" s="65">
        <v>2032</v>
      </c>
      <c r="N13" s="65">
        <v>2033</v>
      </c>
      <c r="O13" s="65">
        <v>2034</v>
      </c>
      <c r="P13" s="65">
        <v>2035</v>
      </c>
      <c r="Q13" s="65">
        <v>2036</v>
      </c>
      <c r="R13" s="66" t="s">
        <v>84</v>
      </c>
    </row>
    <row r="14" spans="1:33" ht="16" thickBot="1" x14ac:dyDescent="0.4">
      <c r="A14" s="1"/>
      <c r="C14" s="21"/>
      <c r="D14" s="92">
        <f>'Market Analysis '!C11+'Market Analysis '!C17+'Market Analysis '!C35+'Market Analysis '!C45+'Market Analysis '!C57</f>
        <v>4589</v>
      </c>
      <c r="E14" s="92">
        <f>'Market Analysis '!D11+'Market Analysis '!D17+'Market Analysis '!D35+'Market Analysis '!D45+'Market Analysis '!D57</f>
        <v>5133.73596008</v>
      </c>
      <c r="F14" s="92">
        <f>'Market Analysis '!E11+'Market Analysis '!E17+'Market Analysis '!E35+'Market Analysis '!E45+'Market Analysis '!E57</f>
        <v>5753.0666260357775</v>
      </c>
      <c r="G14" s="92">
        <f>'Market Analysis '!F11+'Market Analysis '!F17+'Market Analysis '!F35+'Market Analysis '!F45+'Market Analysis '!F57</f>
        <v>6458.3340830333336</v>
      </c>
      <c r="H14" s="92">
        <f>'Market Analysis '!G11+'Market Analysis '!G17+'Market Analysis '!G35+'Market Analysis '!G45+'Market Analysis '!G57</f>
        <v>7262.7697765657776</v>
      </c>
      <c r="I14" s="92">
        <f>'Market Analysis '!H11+'Market Analysis '!H17+'Market Analysis '!H35+'Market Analysis '!H45+'Market Analysis '!H57</f>
        <v>8181.8371659361346</v>
      </c>
      <c r="J14" s="92">
        <f>'Market Analysis '!I11+'Market Analysis '!I17+'Market Analysis '!I35+'Market Analysis '!I45+'Market Analysis '!I57</f>
        <v>9233.6418179764842</v>
      </c>
      <c r="K14" s="92">
        <f>'Market Analysis '!J11+'Market Analysis '!J17+'Market Analysis '!J35+'Market Analysis '!J45+'Market Analysis '!J57</f>
        <v>10439.423310893157</v>
      </c>
      <c r="L14" s="92">
        <f>'Market Analysis '!K11+'Market Analysis '!K17+'Market Analysis '!K35+'Market Analysis '!K45+'Market Analysis '!K57</f>
        <v>11824.1466246282</v>
      </c>
      <c r="M14" s="92">
        <f>'Market Analysis '!L11+'Market Analysis '!L17+'Market Analysis '!L35+'Market Analysis '!L45+'Market Analysis '!L57</f>
        <v>13417.214819947749</v>
      </c>
      <c r="N14" s="92">
        <f>'Market Analysis '!M11+'Market Analysis '!M17+'Market Analysis '!M35+'Market Analysis '!M45+'Market Analysis '!M57</f>
        <v>15253.329971597685</v>
      </c>
      <c r="O14" s="92">
        <f>'Market Analysis '!N11+'Market Analysis '!N17+'Market Analysis '!N35+'Market Analysis '!N45+'Market Analysis '!N57</f>
        <v>17373.535801390906</v>
      </c>
      <c r="P14" s="92">
        <f>'Market Analysis '!O11+'Market Analysis '!O17+'Market Analysis '!O35+'Market Analysis '!O45+'Market Analysis '!O57</f>
        <v>19826.48361607402</v>
      </c>
      <c r="Q14" s="92">
        <f>'Market Analysis '!P11+'Market Analysis '!P17+'Market Analysis '!P35+'Market Analysis '!P45+'Market Analysis '!P57</f>
        <v>22669.973459312536</v>
      </c>
      <c r="R14" s="143">
        <f t="shared" ref="R14:R19" si="0">RATE(9,,-H14,Q14)</f>
        <v>0.13482171400076881</v>
      </c>
      <c r="T14" s="65">
        <v>2023</v>
      </c>
      <c r="U14" s="65">
        <v>2024</v>
      </c>
      <c r="V14" s="65">
        <v>2025</v>
      </c>
      <c r="W14" s="65">
        <v>2026</v>
      </c>
      <c r="X14" s="65">
        <v>2027</v>
      </c>
      <c r="Y14" s="65">
        <v>2028</v>
      </c>
      <c r="Z14" s="65">
        <v>2029</v>
      </c>
      <c r="AA14" s="65">
        <v>2030</v>
      </c>
      <c r="AB14" s="65">
        <v>2031</v>
      </c>
      <c r="AC14" s="65">
        <v>2032</v>
      </c>
      <c r="AD14" s="65">
        <v>2033</v>
      </c>
      <c r="AE14" s="65">
        <v>2034</v>
      </c>
      <c r="AF14" s="65">
        <v>2035</v>
      </c>
      <c r="AG14" s="65">
        <v>2036</v>
      </c>
    </row>
    <row r="15" spans="1:33" s="121" customFormat="1" x14ac:dyDescent="0.35">
      <c r="A15" s="147" t="s">
        <v>59</v>
      </c>
      <c r="B15" s="118" t="s">
        <v>60</v>
      </c>
      <c r="C15" s="119"/>
      <c r="D15" s="120">
        <f>D14*T15</f>
        <v>1376.7000000000003</v>
      </c>
      <c r="E15" s="120">
        <f>E14*U15</f>
        <v>1558.4918514171902</v>
      </c>
      <c r="F15" s="120">
        <f>F14*V15</f>
        <v>1767.3402340552893</v>
      </c>
      <c r="G15" s="120">
        <f t="shared" ref="G15:Q15" si="1">G14*W15</f>
        <v>2007.6639497750273</v>
      </c>
      <c r="H15" s="120">
        <f t="shared" si="1"/>
        <v>2284.665084081676</v>
      </c>
      <c r="I15" s="120">
        <f t="shared" si="1"/>
        <v>2604.4789512758507</v>
      </c>
      <c r="J15" s="120">
        <f t="shared" si="1"/>
        <v>2974.3549654200028</v>
      </c>
      <c r="K15" s="120">
        <f t="shared" si="1"/>
        <v>3402.8752989366358</v>
      </c>
      <c r="L15" s="120">
        <f t="shared" si="1"/>
        <v>3900.2198261016201</v>
      </c>
      <c r="M15" s="120">
        <f t="shared" si="1"/>
        <v>4478.4879020959115</v>
      </c>
      <c r="N15" s="120">
        <f t="shared" si="1"/>
        <v>5152.0901139197176</v>
      </c>
      <c r="O15" s="120">
        <f t="shared" si="1"/>
        <v>5938.2264050068297</v>
      </c>
      <c r="P15" s="120">
        <f t="shared" si="1"/>
        <v>6857.4711121961564</v>
      </c>
      <c r="Q15" s="120">
        <f t="shared" si="1"/>
        <v>7934.4907107593808</v>
      </c>
      <c r="R15" s="131">
        <f t="shared" si="0"/>
        <v>0.14835823776565149</v>
      </c>
      <c r="S15" s="118" t="s">
        <v>60</v>
      </c>
      <c r="T15" s="136">
        <v>0.30000000000000004</v>
      </c>
      <c r="U15" s="136">
        <v>0.30357849790796487</v>
      </c>
      <c r="V15" s="136">
        <v>0.3071996813068541</v>
      </c>
      <c r="W15" s="136">
        <v>0.31086405936313422</v>
      </c>
      <c r="X15" s="136">
        <v>0.31457214731677569</v>
      </c>
      <c r="Y15" s="136">
        <v>0.31832446655369928</v>
      </c>
      <c r="Z15" s="136">
        <v>0.32212154467908749</v>
      </c>
      <c r="AA15" s="136">
        <v>0.32596391559156912</v>
      </c>
      <c r="AB15" s="136">
        <v>0.32985211955829069</v>
      </c>
      <c r="AC15" s="136">
        <v>0.33378670329088106</v>
      </c>
      <c r="AD15" s="136">
        <v>0.33776822002232409</v>
      </c>
      <c r="AE15" s="136">
        <v>0.34179722958474706</v>
      </c>
      <c r="AF15" s="136">
        <v>0.34587429848813767</v>
      </c>
      <c r="AG15" s="136">
        <v>0.3499999999999997</v>
      </c>
    </row>
    <row r="16" spans="1:33" s="117" customFormat="1" x14ac:dyDescent="0.35">
      <c r="A16" s="148"/>
      <c r="B16" s="113" t="s">
        <v>61</v>
      </c>
      <c r="C16" s="114"/>
      <c r="D16" s="115">
        <f>D14*T16</f>
        <v>917.80000000000007</v>
      </c>
      <c r="E16" s="115">
        <f t="shared" ref="E16:Q16" si="2">E14*U16</f>
        <v>1030.6079064461449</v>
      </c>
      <c r="F16" s="115">
        <f t="shared" si="2"/>
        <v>1159.2825305044187</v>
      </c>
      <c r="G16" s="115">
        <f t="shared" si="2"/>
        <v>1306.2922214819935</v>
      </c>
      <c r="H16" s="115">
        <f t="shared" si="2"/>
        <v>1474.5247194652279</v>
      </c>
      <c r="I16" s="115">
        <f t="shared" si="2"/>
        <v>1667.3645283419523</v>
      </c>
      <c r="J16" s="115">
        <f t="shared" si="2"/>
        <v>1888.7857432817366</v>
      </c>
      <c r="K16" s="115">
        <f t="shared" si="2"/>
        <v>2143.4636677237008</v>
      </c>
      <c r="L16" s="115">
        <f t="shared" si="2"/>
        <v>2436.9093308064366</v>
      </c>
      <c r="M16" s="115">
        <f t="shared" si="2"/>
        <v>2775.6319861796715</v>
      </c>
      <c r="N16" s="115">
        <f t="shared" si="2"/>
        <v>3167.3358893537652</v>
      </c>
      <c r="O16" s="115">
        <f t="shared" si="2"/>
        <v>3621.159180215242</v>
      </c>
      <c r="P16" s="115">
        <f t="shared" si="2"/>
        <v>4147.9646266404707</v>
      </c>
      <c r="Q16" s="115">
        <f t="shared" si="2"/>
        <v>4760.694426455635</v>
      </c>
      <c r="R16" s="131">
        <f t="shared" si="0"/>
        <v>0.13908880389490522</v>
      </c>
      <c r="S16" s="113" t="s">
        <v>61</v>
      </c>
      <c r="T16" s="135">
        <v>0.2</v>
      </c>
      <c r="U16" s="135">
        <v>0.20075202824223254</v>
      </c>
      <c r="V16" s="135">
        <v>0.20150688421685059</v>
      </c>
      <c r="W16" s="135">
        <v>0.20226457855652732</v>
      </c>
      <c r="X16" s="135">
        <v>0.20302512193391614</v>
      </c>
      <c r="Y16" s="135">
        <v>0.20378852506180117</v>
      </c>
      <c r="Z16" s="135">
        <v>0.20455479869324805</v>
      </c>
      <c r="AA16" s="135">
        <v>0.20532395362175559</v>
      </c>
      <c r="AB16" s="135">
        <v>0.20609600068140757</v>
      </c>
      <c r="AC16" s="135">
        <v>0.20687095074702552</v>
      </c>
      <c r="AD16" s="135">
        <v>0.20764881473432178</v>
      </c>
      <c r="AE16" s="135">
        <v>0.20842960360005336</v>
      </c>
      <c r="AF16" s="135">
        <v>0.20921332834217618</v>
      </c>
      <c r="AG16" s="135">
        <v>0.2100000000000001</v>
      </c>
    </row>
    <row r="17" spans="1:33" s="117" customFormat="1" x14ac:dyDescent="0.35">
      <c r="A17" s="148"/>
      <c r="B17" s="113" t="s">
        <v>62</v>
      </c>
      <c r="C17" s="114"/>
      <c r="D17" s="115">
        <f>D14*T17</f>
        <v>458.90000000000032</v>
      </c>
      <c r="E17" s="115">
        <f t="shared" ref="E17:Q17" si="3">E14*U17</f>
        <v>520.62425012483186</v>
      </c>
      <c r="F17" s="115">
        <f t="shared" si="3"/>
        <v>591.67215850140099</v>
      </c>
      <c r="G17" s="115">
        <f t="shared" si="3"/>
        <v>673.58607759159349</v>
      </c>
      <c r="H17" s="115">
        <f t="shared" si="3"/>
        <v>768.18485019408308</v>
      </c>
      <c r="I17" s="115">
        <f t="shared" si="3"/>
        <v>877.61726302457942</v>
      </c>
      <c r="J17" s="115">
        <f t="shared" si="3"/>
        <v>1004.4266203565505</v>
      </c>
      <c r="K17" s="115">
        <f t="shared" si="3"/>
        <v>1151.6289236317195</v>
      </c>
      <c r="L17" s="115">
        <f t="shared" si="3"/>
        <v>1322.8077393389005</v>
      </c>
      <c r="M17" s="115">
        <f t="shared" si="3"/>
        <v>1522.2295871425292</v>
      </c>
      <c r="N17" s="115">
        <f t="shared" si="3"/>
        <v>1754.9846253512189</v>
      </c>
      <c r="O17" s="115">
        <f t="shared" si="3"/>
        <v>2027.1586058410057</v>
      </c>
      <c r="P17" s="115">
        <f t="shared" si="3"/>
        <v>2346.0435861918731</v>
      </c>
      <c r="Q17" s="115">
        <f t="shared" si="3"/>
        <v>2720.3968151175059</v>
      </c>
      <c r="R17" s="131">
        <f t="shared" si="0"/>
        <v>0.15084941740521307</v>
      </c>
      <c r="S17" s="113" t="s">
        <v>62</v>
      </c>
      <c r="T17" s="135">
        <v>0.10000000000000007</v>
      </c>
      <c r="U17" s="135">
        <v>0.10141235431140461</v>
      </c>
      <c r="V17" s="135">
        <v>0.10284465606981855</v>
      </c>
      <c r="W17" s="135">
        <v>0.10429718700386978</v>
      </c>
      <c r="X17" s="135">
        <v>0.10577023282119258</v>
      </c>
      <c r="Y17" s="135">
        <v>0.1072640832646253</v>
      </c>
      <c r="Z17" s="135">
        <v>0.10877903216920175</v>
      </c>
      <c r="AA17" s="135">
        <v>0.11031537751994758</v>
      </c>
      <c r="AB17" s="135">
        <v>0.11187342151049273</v>
      </c>
      <c r="AC17" s="135">
        <v>0.11345347060251193</v>
      </c>
      <c r="AD17" s="135">
        <v>0.11505583558600457</v>
      </c>
      <c r="AE17" s="135">
        <v>0.11668083164042599</v>
      </c>
      <c r="AF17" s="135">
        <v>0.11832877839668221</v>
      </c>
      <c r="AG17" s="135">
        <v>0.12000000000000006</v>
      </c>
    </row>
    <row r="18" spans="1:33" s="117" customFormat="1" x14ac:dyDescent="0.35">
      <c r="A18" s="148"/>
      <c r="B18" s="113" t="s">
        <v>63</v>
      </c>
      <c r="C18" s="114"/>
      <c r="D18" s="115">
        <f>D14*T18</f>
        <v>321.23</v>
      </c>
      <c r="E18" s="115">
        <f>E14*U18</f>
        <v>361.27377032424192</v>
      </c>
      <c r="F18" s="115">
        <f t="shared" ref="F18:Q18" si="4">F14*V18</f>
        <v>407.01195923426519</v>
      </c>
      <c r="G18" s="115">
        <f t="shared" si="4"/>
        <v>459.33880571597655</v>
      </c>
      <c r="H18" s="115">
        <f t="shared" si="4"/>
        <v>519.30173189145546</v>
      </c>
      <c r="I18" s="115">
        <f t="shared" si="4"/>
        <v>588.12980460252265</v>
      </c>
      <c r="J18" s="115">
        <f t="shared" si="4"/>
        <v>667.26791682663088</v>
      </c>
      <c r="K18" s="115">
        <f t="shared" si="4"/>
        <v>758.41792980487116</v>
      </c>
      <c r="L18" s="115">
        <f t="shared" si="4"/>
        <v>863.58830677655908</v>
      </c>
      <c r="M18" s="115">
        <f t="shared" si="4"/>
        <v>985.15413208167149</v>
      </c>
      <c r="N18" s="115">
        <f t="shared" si="4"/>
        <v>1125.9298647309072</v>
      </c>
      <c r="O18" s="115">
        <f t="shared" si="4"/>
        <v>1289.2577486227492</v>
      </c>
      <c r="P18" s="115">
        <f t="shared" si="4"/>
        <v>1479.1155250621507</v>
      </c>
      <c r="Q18" s="115">
        <f t="shared" si="4"/>
        <v>1700.2480094484376</v>
      </c>
      <c r="R18" s="131">
        <f t="shared" si="0"/>
        <v>0.14086038608389856</v>
      </c>
      <c r="S18" s="113" t="s">
        <v>63</v>
      </c>
      <c r="T18" s="135">
        <v>7.0000000000000007E-2</v>
      </c>
      <c r="U18" s="135">
        <v>7.0372487625680713E-2</v>
      </c>
      <c r="V18" s="135">
        <v>7.0746957351808359E-2</v>
      </c>
      <c r="W18" s="135">
        <v>7.1123419725638515E-2</v>
      </c>
      <c r="X18" s="135">
        <v>7.1501885350551325E-2</v>
      </c>
      <c r="Y18" s="135">
        <v>7.1882364886350206E-2</v>
      </c>
      <c r="Z18" s="135">
        <v>7.2264869049562072E-2</v>
      </c>
      <c r="AA18" s="135">
        <v>7.2649408613739211E-2</v>
      </c>
      <c r="AB18" s="135">
        <v>7.3035994409762647E-2</v>
      </c>
      <c r="AC18" s="135">
        <v>7.3424637326147249E-2</v>
      </c>
      <c r="AD18" s="135">
        <v>7.3815348309348452E-2</v>
      </c>
      <c r="AE18" s="135">
        <v>7.4208138364070517E-2</v>
      </c>
      <c r="AF18" s="135">
        <v>7.4603018553576511E-2</v>
      </c>
      <c r="AG18" s="135">
        <v>7.4999999999999886E-2</v>
      </c>
    </row>
    <row r="19" spans="1:33" s="117" customFormat="1" x14ac:dyDescent="0.35">
      <c r="A19" s="148"/>
      <c r="B19" s="113" t="s">
        <v>64</v>
      </c>
      <c r="C19" s="114"/>
      <c r="D19" s="115">
        <f>D14*T19</f>
        <v>1514.3699999999992</v>
      </c>
      <c r="E19" s="115">
        <f>E14*U19</f>
        <v>1662.7381817675912</v>
      </c>
      <c r="F19" s="115">
        <f t="shared" ref="F19:Q19" si="5">F14*V19</f>
        <v>1827.759743740404</v>
      </c>
      <c r="G19" s="115">
        <f t="shared" si="5"/>
        <v>2011.4530284687426</v>
      </c>
      <c r="H19" s="115">
        <f t="shared" si="5"/>
        <v>2216.0933909333353</v>
      </c>
      <c r="I19" s="115">
        <f t="shared" si="5"/>
        <v>2444.2466186912284</v>
      </c>
      <c r="J19" s="115">
        <f t="shared" si="5"/>
        <v>2698.8065720915633</v>
      </c>
      <c r="K19" s="115">
        <f t="shared" si="5"/>
        <v>2983.0374907962287</v>
      </c>
      <c r="L19" s="115">
        <f t="shared" si="5"/>
        <v>3300.6214216046837</v>
      </c>
      <c r="M19" s="115">
        <f t="shared" si="5"/>
        <v>3655.711212447965</v>
      </c>
      <c r="N19" s="115">
        <f t="shared" si="5"/>
        <v>4052.9894782420774</v>
      </c>
      <c r="O19" s="115">
        <f t="shared" si="5"/>
        <v>4497.7338617050809</v>
      </c>
      <c r="P19" s="115">
        <f t="shared" si="5"/>
        <v>4995.8887659833672</v>
      </c>
      <c r="Q19" s="115">
        <f t="shared" si="5"/>
        <v>5554.143497531576</v>
      </c>
      <c r="R19" s="131">
        <f t="shared" si="0"/>
        <v>0.10748170264992288</v>
      </c>
      <c r="S19" s="113" t="s">
        <v>64</v>
      </c>
      <c r="T19" s="135">
        <f>1-SUM(T15:T18)</f>
        <v>0.32999999999999985</v>
      </c>
      <c r="U19" s="135">
        <f t="shared" ref="U19:AG19" si="6">1-SUM(U15:U18)</f>
        <v>0.32388463191271732</v>
      </c>
      <c r="V19" s="135">
        <f t="shared" si="6"/>
        <v>0.31770182105466849</v>
      </c>
      <c r="W19" s="135">
        <f t="shared" si="6"/>
        <v>0.31145075535083011</v>
      </c>
      <c r="X19" s="135">
        <f t="shared" si="6"/>
        <v>0.30513061257756424</v>
      </c>
      <c r="Y19" s="135">
        <f t="shared" si="6"/>
        <v>0.29874056023352391</v>
      </c>
      <c r="Z19" s="135">
        <f t="shared" si="6"/>
        <v>0.29227975540890061</v>
      </c>
      <c r="AA19" s="135">
        <f t="shared" si="6"/>
        <v>0.28574734465298846</v>
      </c>
      <c r="AB19" s="135">
        <f t="shared" si="6"/>
        <v>0.27914246384004637</v>
      </c>
      <c r="AC19" s="135">
        <f t="shared" si="6"/>
        <v>0.27246423803343423</v>
      </c>
      <c r="AD19" s="135">
        <f t="shared" si="6"/>
        <v>0.26571178134800122</v>
      </c>
      <c r="AE19" s="135">
        <f t="shared" si="6"/>
        <v>0.25888419681070318</v>
      </c>
      <c r="AF19" s="135">
        <f t="shared" si="6"/>
        <v>0.25198057621942738</v>
      </c>
      <c r="AG19" s="135">
        <f t="shared" si="6"/>
        <v>0.24500000000000022</v>
      </c>
    </row>
    <row r="20" spans="1:33" x14ac:dyDescent="0.35">
      <c r="A20" s="1"/>
      <c r="D20" s="81" t="b">
        <f>D14=SUM(D15:D19)</f>
        <v>1</v>
      </c>
      <c r="E20" s="81" t="b">
        <f>E14=SUM(E15:E19)</f>
        <v>1</v>
      </c>
      <c r="F20" s="81" t="b">
        <f t="shared" ref="F20:Q20" si="7">F14=SUM(F15:F19)</f>
        <v>1</v>
      </c>
      <c r="G20" s="81" t="b">
        <f t="shared" si="7"/>
        <v>1</v>
      </c>
      <c r="H20" s="81" t="b">
        <f t="shared" si="7"/>
        <v>1</v>
      </c>
      <c r="I20" s="81" t="b">
        <f t="shared" si="7"/>
        <v>1</v>
      </c>
      <c r="J20" s="81" t="b">
        <f t="shared" si="7"/>
        <v>1</v>
      </c>
      <c r="K20" s="81" t="b">
        <f t="shared" si="7"/>
        <v>1</v>
      </c>
      <c r="L20" s="81" t="b">
        <f t="shared" si="7"/>
        <v>1</v>
      </c>
      <c r="M20" s="81" t="b">
        <f t="shared" si="7"/>
        <v>1</v>
      </c>
      <c r="N20" s="81" t="b">
        <f t="shared" si="7"/>
        <v>1</v>
      </c>
      <c r="O20" s="81" t="b">
        <f t="shared" si="7"/>
        <v>1</v>
      </c>
      <c r="P20" s="81" t="b">
        <f t="shared" si="7"/>
        <v>1</v>
      </c>
      <c r="Q20" s="81" t="b">
        <f t="shared" si="7"/>
        <v>1</v>
      </c>
      <c r="R20" s="21"/>
      <c r="T20" s="12"/>
    </row>
    <row r="21" spans="1:33" s="117" customFormat="1" x14ac:dyDescent="0.35">
      <c r="A21" s="149" t="s">
        <v>65</v>
      </c>
      <c r="B21" s="122" t="s">
        <v>66</v>
      </c>
      <c r="C21" s="123"/>
      <c r="D21" s="124">
        <f>D14*T21</f>
        <v>3212.2999999999997</v>
      </c>
      <c r="E21" s="124">
        <f t="shared" ref="E21:Q21" si="8">E14*U21</f>
        <v>3594.0100748221598</v>
      </c>
      <c r="F21" s="124">
        <f t="shared" si="8"/>
        <v>4028.0317253982803</v>
      </c>
      <c r="G21" s="124">
        <f t="shared" si="8"/>
        <v>4522.3242429117254</v>
      </c>
      <c r="H21" s="124">
        <f t="shared" si="8"/>
        <v>5086.1735419888337</v>
      </c>
      <c r="I21" s="124">
        <f t="shared" si="8"/>
        <v>5730.4328766037315</v>
      </c>
      <c r="J21" s="124">
        <f t="shared" si="8"/>
        <v>6467.8109534226041</v>
      </c>
      <c r="K21" s="124">
        <f t="shared" si="8"/>
        <v>7313.2175455618435</v>
      </c>
      <c r="L21" s="124">
        <f t="shared" si="8"/>
        <v>8284.1790351625878</v>
      </c>
      <c r="M21" s="124">
        <f t="shared" si="8"/>
        <v>9401.3392149926185</v>
      </c>
      <c r="N21" s="124">
        <f t="shared" si="8"/>
        <v>10689.06431086576</v>
      </c>
      <c r="O21" s="124">
        <f t="shared" si="8"/>
        <v>12176.175745113273</v>
      </c>
      <c r="P21" s="124">
        <f t="shared" si="8"/>
        <v>13896.839900743573</v>
      </c>
      <c r="Q21" s="124">
        <f t="shared" si="8"/>
        <v>15891.651394978087</v>
      </c>
      <c r="R21" s="131">
        <f>RATE(9,,-H21,Q21)</f>
        <v>0.13494631015856356</v>
      </c>
      <c r="S21" s="122" t="s">
        <v>66</v>
      </c>
      <c r="T21" s="135">
        <v>0.7</v>
      </c>
      <c r="U21" s="135">
        <v>0.70007692307692304</v>
      </c>
      <c r="V21" s="135">
        <v>0.70015384615384613</v>
      </c>
      <c r="W21" s="135">
        <v>0.70023076923076921</v>
      </c>
      <c r="X21" s="135">
        <v>0.7003076923076923</v>
      </c>
      <c r="Y21" s="135">
        <v>0.70038461538461538</v>
      </c>
      <c r="Z21" s="135">
        <v>0.70046153846153836</v>
      </c>
      <c r="AA21" s="135">
        <v>0.70053846153846144</v>
      </c>
      <c r="AB21" s="135">
        <v>0.70061538461538453</v>
      </c>
      <c r="AC21" s="135">
        <v>0.70069230769230761</v>
      </c>
      <c r="AD21" s="135">
        <v>0.7007692307692307</v>
      </c>
      <c r="AE21" s="135">
        <v>0.70084615384615379</v>
      </c>
      <c r="AF21" s="135">
        <v>0.70092307692307687</v>
      </c>
      <c r="AG21" s="135">
        <v>0.70099999999999996</v>
      </c>
    </row>
    <row r="22" spans="1:33" s="117" customFormat="1" x14ac:dyDescent="0.35">
      <c r="A22" s="149"/>
      <c r="B22" s="122" t="s">
        <v>67</v>
      </c>
      <c r="C22" s="123"/>
      <c r="D22" s="124">
        <f>D14*T22</f>
        <v>917.80000000000007</v>
      </c>
      <c r="E22" s="124">
        <f t="shared" ref="E22:Q22" si="9">E14*U22</f>
        <v>1027.14209478216</v>
      </c>
      <c r="F22" s="124">
        <f t="shared" si="9"/>
        <v>1151.4984123803918</v>
      </c>
      <c r="G22" s="124">
        <f t="shared" si="9"/>
        <v>1293.157201395059</v>
      </c>
      <c r="H22" s="124">
        <f t="shared" si="9"/>
        <v>1454.7886537059449</v>
      </c>
      <c r="I22" s="124">
        <f t="shared" si="9"/>
        <v>1639.514293635664</v>
      </c>
      <c r="J22" s="124">
        <f t="shared" si="9"/>
        <v>1850.990044434363</v>
      </c>
      <c r="K22" s="124">
        <f t="shared" si="9"/>
        <v>2093.5058901152661</v>
      </c>
      <c r="L22" s="124">
        <f t="shared" si="9"/>
        <v>2372.1057228484879</v>
      </c>
      <c r="M22" s="124">
        <f t="shared" si="9"/>
        <v>2692.7318050187446</v>
      </c>
      <c r="N22" s="124">
        <f t="shared" si="9"/>
        <v>3062.39932506692</v>
      </c>
      <c r="O22" s="124">
        <f t="shared" si="9"/>
        <v>3489.4078444178194</v>
      </c>
      <c r="P22" s="124">
        <f t="shared" si="9"/>
        <v>3983.5980927065648</v>
      </c>
      <c r="Q22" s="124">
        <f t="shared" si="9"/>
        <v>4556.6646653218204</v>
      </c>
      <c r="R22" s="131">
        <f>RATE(9,,-H22,Q22)</f>
        <v>0.13525684545133118</v>
      </c>
      <c r="S22" s="122" t="s">
        <v>67</v>
      </c>
      <c r="T22" s="135">
        <v>0.2</v>
      </c>
      <c r="U22" s="135">
        <v>0.20007692307692307</v>
      </c>
      <c r="V22" s="135">
        <v>0.20015384615384615</v>
      </c>
      <c r="W22" s="135">
        <v>0.20023076923076924</v>
      </c>
      <c r="X22" s="135">
        <v>0.2003076923076923</v>
      </c>
      <c r="Y22" s="135">
        <v>0.20038461538461538</v>
      </c>
      <c r="Z22" s="135">
        <v>0.20046153846153847</v>
      </c>
      <c r="AA22" s="135">
        <v>0.20053846153846155</v>
      </c>
      <c r="AB22" s="135">
        <v>0.20061538461538461</v>
      </c>
      <c r="AC22" s="135">
        <v>0.2006923076923077</v>
      </c>
      <c r="AD22" s="135">
        <v>0.20076923076923078</v>
      </c>
      <c r="AE22" s="135">
        <v>0.20084615384615384</v>
      </c>
      <c r="AF22" s="135">
        <v>0.20092307692307693</v>
      </c>
      <c r="AG22" s="135">
        <v>0.20100000000000001</v>
      </c>
    </row>
    <row r="23" spans="1:33" s="117" customFormat="1" x14ac:dyDescent="0.35">
      <c r="A23" s="149"/>
      <c r="B23" s="122" t="s">
        <v>68</v>
      </c>
      <c r="C23" s="123"/>
      <c r="D23" s="124">
        <f>D14*T23</f>
        <v>458.90000000000043</v>
      </c>
      <c r="E23" s="124">
        <f t="shared" ref="E23:L23" si="10">E14*U23</f>
        <v>512.58379047568042</v>
      </c>
      <c r="F23" s="124">
        <f t="shared" si="10"/>
        <v>573.53648825710547</v>
      </c>
      <c r="G23" s="124">
        <f t="shared" si="10"/>
        <v>642.852638726549</v>
      </c>
      <c r="H23" s="124">
        <f t="shared" si="10"/>
        <v>721.807580870999</v>
      </c>
      <c r="I23" s="124">
        <f t="shared" si="10"/>
        <v>811.88999569673956</v>
      </c>
      <c r="J23" s="124">
        <f t="shared" si="10"/>
        <v>914.84082011951716</v>
      </c>
      <c r="K23" s="124">
        <f t="shared" si="10"/>
        <v>1032.6998752160468</v>
      </c>
      <c r="L23" s="124">
        <f t="shared" si="10"/>
        <v>1167.8618666171244</v>
      </c>
      <c r="M23" s="124">
        <f>M14*AC23</f>
        <v>1323.1437999363864</v>
      </c>
      <c r="N23" s="124">
        <f t="shared" ref="N23:Q23" si="11">N14*AD23</f>
        <v>1501.8663356650031</v>
      </c>
      <c r="O23" s="124">
        <f t="shared" si="11"/>
        <v>1707.9522118598159</v>
      </c>
      <c r="P23" s="124">
        <f t="shared" si="11"/>
        <v>1946.0456226238828</v>
      </c>
      <c r="Q23" s="124">
        <f t="shared" si="11"/>
        <v>2221.6573990126303</v>
      </c>
      <c r="R23" s="131">
        <f>RATE(9,,-H23,Q23)</f>
        <v>0.13305405031748097</v>
      </c>
      <c r="S23" s="122" t="s">
        <v>68</v>
      </c>
      <c r="T23" s="135">
        <f>1-SUM(T21:T22)</f>
        <v>0.10000000000000009</v>
      </c>
      <c r="U23" s="135">
        <f t="shared" ref="U23:AG23" si="12">1-SUM(U21:U22)</f>
        <v>9.9846153846153918E-2</v>
      </c>
      <c r="V23" s="135">
        <f t="shared" si="12"/>
        <v>9.9692307692307747E-2</v>
      </c>
      <c r="W23" s="135">
        <f t="shared" si="12"/>
        <v>9.9538461538461576E-2</v>
      </c>
      <c r="X23" s="135">
        <f t="shared" si="12"/>
        <v>9.9384615384615405E-2</v>
      </c>
      <c r="Y23" s="135">
        <f t="shared" si="12"/>
        <v>9.9230769230769234E-2</v>
      </c>
      <c r="Z23" s="135">
        <f t="shared" si="12"/>
        <v>9.9076923076923173E-2</v>
      </c>
      <c r="AA23" s="135">
        <f t="shared" si="12"/>
        <v>9.8923076923077002E-2</v>
      </c>
      <c r="AB23" s="135">
        <f t="shared" si="12"/>
        <v>9.8769230769230831E-2</v>
      </c>
      <c r="AC23" s="135">
        <f t="shared" si="12"/>
        <v>9.861538461538466E-2</v>
      </c>
      <c r="AD23" s="135">
        <f t="shared" si="12"/>
        <v>9.8461538461538489E-2</v>
      </c>
      <c r="AE23" s="135">
        <f t="shared" si="12"/>
        <v>9.8307692307692429E-2</v>
      </c>
      <c r="AF23" s="135">
        <f t="shared" si="12"/>
        <v>9.8153846153846258E-2</v>
      </c>
      <c r="AG23" s="135">
        <f t="shared" si="12"/>
        <v>9.8000000000000087E-2</v>
      </c>
    </row>
    <row r="24" spans="1:33" ht="15" thickBot="1" x14ac:dyDescent="0.4">
      <c r="A24" s="1"/>
      <c r="D24" s="81" t="b">
        <f>D14=SUM(D21:D23)</f>
        <v>1</v>
      </c>
      <c r="E24" s="81" t="b">
        <f t="shared" ref="E24:Q24" si="13">E14=SUM(E21:E23)</f>
        <v>1</v>
      </c>
      <c r="F24" s="81" t="b">
        <f t="shared" si="13"/>
        <v>1</v>
      </c>
      <c r="G24" s="81" t="b">
        <f t="shared" si="13"/>
        <v>1</v>
      </c>
      <c r="H24" s="81" t="b">
        <f t="shared" si="13"/>
        <v>1</v>
      </c>
      <c r="I24" s="81" t="b">
        <f t="shared" si="13"/>
        <v>0</v>
      </c>
      <c r="J24" s="81" t="b">
        <f t="shared" si="13"/>
        <v>0</v>
      </c>
      <c r="K24" s="81" t="b">
        <f t="shared" si="13"/>
        <v>1</v>
      </c>
      <c r="L24" s="81" t="b">
        <f t="shared" si="13"/>
        <v>1</v>
      </c>
      <c r="M24" s="81" t="b">
        <f t="shared" si="13"/>
        <v>1</v>
      </c>
      <c r="N24" s="81" t="b">
        <f t="shared" si="13"/>
        <v>1</v>
      </c>
      <c r="O24" s="81" t="b">
        <f t="shared" si="13"/>
        <v>1</v>
      </c>
      <c r="P24" s="81" t="b">
        <f t="shared" si="13"/>
        <v>1</v>
      </c>
      <c r="Q24" s="81" t="b">
        <f t="shared" si="13"/>
        <v>1</v>
      </c>
      <c r="R24" s="21"/>
    </row>
    <row r="25" spans="1:33" s="117" customFormat="1" x14ac:dyDescent="0.35">
      <c r="A25" s="149" t="s">
        <v>69</v>
      </c>
      <c r="B25" s="125" t="s">
        <v>70</v>
      </c>
      <c r="C25" s="126"/>
      <c r="D25" s="127">
        <f>D14*T25</f>
        <v>1376.6999999999996</v>
      </c>
      <c r="E25" s="127">
        <f t="shared" ref="E25:Q25" si="14">E14*U25</f>
        <v>1552.5341643688721</v>
      </c>
      <c r="F25" s="127">
        <f t="shared" si="14"/>
        <v>1753.8539463012096</v>
      </c>
      <c r="G25" s="127">
        <f t="shared" si="14"/>
        <v>1984.7276065181629</v>
      </c>
      <c r="H25" s="127">
        <f t="shared" si="14"/>
        <v>2249.930299245038</v>
      </c>
      <c r="I25" s="127">
        <f t="shared" si="14"/>
        <v>2555.077052963914</v>
      </c>
      <c r="J25" s="127">
        <f t="shared" si="14"/>
        <v>2906.7827647294062</v>
      </c>
      <c r="K25" s="127">
        <f t="shared" si="14"/>
        <v>3312.8551232601958</v>
      </c>
      <c r="L25" s="127">
        <f t="shared" si="14"/>
        <v>3782.52776973757</v>
      </c>
      <c r="M25" s="127">
        <f t="shared" si="14"/>
        <v>4326.7427515595546</v>
      </c>
      <c r="N25" s="127">
        <f t="shared" si="14"/>
        <v>4958.4935187723058</v>
      </c>
      <c r="O25" s="127">
        <f t="shared" si="14"/>
        <v>5693.2424787597392</v>
      </c>
      <c r="P25" s="127">
        <f t="shared" si="14"/>
        <v>6549.4306214645912</v>
      </c>
      <c r="Q25" s="127">
        <f t="shared" si="14"/>
        <v>7549.1011619510709</v>
      </c>
      <c r="R25" s="131">
        <f>RATE(9,,-H25,Q25)</f>
        <v>0.14396837907390148</v>
      </c>
      <c r="S25" s="125" t="s">
        <v>70</v>
      </c>
      <c r="T25" s="136">
        <v>0.29999999999999993</v>
      </c>
      <c r="U25" s="136">
        <v>0.30241800054412588</v>
      </c>
      <c r="V25" s="136">
        <v>0.30485549017702313</v>
      </c>
      <c r="W25" s="136">
        <v>0.30731262598078252</v>
      </c>
      <c r="X25" s="136">
        <v>0.30978956630357685</v>
      </c>
      <c r="Y25" s="136">
        <v>0.31228647076986549</v>
      </c>
      <c r="Z25" s="136">
        <v>0.31480350029068122</v>
      </c>
      <c r="AA25" s="136">
        <v>0.31734081707399991</v>
      </c>
      <c r="AB25" s="136">
        <v>0.31989858463519422</v>
      </c>
      <c r="AC25" s="136">
        <v>0.32247696780757096</v>
      </c>
      <c r="AD25" s="136">
        <v>0.32507613275299363</v>
      </c>
      <c r="AE25" s="136">
        <v>0.32769624697259059</v>
      </c>
      <c r="AF25" s="136">
        <v>0.33033747931754981</v>
      </c>
      <c r="AG25" s="136">
        <v>0.33299999999999985</v>
      </c>
    </row>
    <row r="26" spans="1:33" s="117" customFormat="1" x14ac:dyDescent="0.35">
      <c r="A26" s="149"/>
      <c r="B26" s="125" t="s">
        <v>71</v>
      </c>
      <c r="C26" s="126"/>
      <c r="D26" s="127">
        <f>D14*T26</f>
        <v>917.80000000000018</v>
      </c>
      <c r="E26" s="127">
        <f t="shared" ref="E26:Q26" si="15">E14*U26</f>
        <v>1034.3025049891419</v>
      </c>
      <c r="F26" s="127">
        <f t="shared" si="15"/>
        <v>1167.6091902879273</v>
      </c>
      <c r="G26" s="127">
        <f t="shared" si="15"/>
        <v>1320.3913198520208</v>
      </c>
      <c r="H26" s="127">
        <f t="shared" si="15"/>
        <v>1495.7826248346068</v>
      </c>
      <c r="I26" s="127">
        <f t="shared" si="15"/>
        <v>1697.466027234733</v>
      </c>
      <c r="J26" s="127">
        <f t="shared" si="15"/>
        <v>1929.7779320407574</v>
      </c>
      <c r="K26" s="127">
        <f t="shared" si="15"/>
        <v>2197.8339257054854</v>
      </c>
      <c r="L26" s="127">
        <f t="shared" si="15"/>
        <v>2507.6806211693706</v>
      </c>
      <c r="M26" s="127">
        <f t="shared" si="15"/>
        <v>2866.4795199064461</v>
      </c>
      <c r="N26" s="127">
        <f t="shared" si="15"/>
        <v>3282.7301812617175</v>
      </c>
      <c r="O26" s="127">
        <f t="shared" si="15"/>
        <v>3766.5417781656733</v>
      </c>
      <c r="P26" s="127">
        <f t="shared" si="15"/>
        <v>4329.9643789658694</v>
      </c>
      <c r="Q26" s="127">
        <f t="shared" si="15"/>
        <v>4987.3941610487591</v>
      </c>
      <c r="R26" s="131">
        <f>RATE(9,,-H26,Q26)</f>
        <v>0.14317229268719109</v>
      </c>
      <c r="S26" s="125" t="s">
        <v>71</v>
      </c>
      <c r="T26" s="135">
        <v>0.20000000000000004</v>
      </c>
      <c r="U26" s="135">
        <v>0.20147169878464574</v>
      </c>
      <c r="V26" s="135">
        <v>0.20295422705585509</v>
      </c>
      <c r="W26" s="135">
        <v>0.20444766450233912</v>
      </c>
      <c r="X26" s="135">
        <v>0.20595209139919785</v>
      </c>
      <c r="Y26" s="135">
        <v>0.20746758861223505</v>
      </c>
      <c r="Z26" s="135">
        <v>0.20899423760230507</v>
      </c>
      <c r="AA26" s="135">
        <v>0.21053212042969136</v>
      </c>
      <c r="AB26" s="135">
        <v>0.21208131975851768</v>
      </c>
      <c r="AC26" s="135">
        <v>0.21364191886119097</v>
      </c>
      <c r="AD26" s="135">
        <v>0.21521400162287799</v>
      </c>
      <c r="AE26" s="135">
        <v>0.21679765254601358</v>
      </c>
      <c r="AF26" s="135">
        <v>0.21839295675484363</v>
      </c>
      <c r="AG26" s="135">
        <v>0.22000000000000006</v>
      </c>
    </row>
    <row r="27" spans="1:33" s="117" customFormat="1" x14ac:dyDescent="0.35">
      <c r="A27" s="149"/>
      <c r="B27" s="125" t="s">
        <v>72</v>
      </c>
      <c r="C27" s="126"/>
      <c r="D27" s="127">
        <f>D14*T27</f>
        <v>688.35</v>
      </c>
      <c r="E27" s="127">
        <f t="shared" ref="E27:Q27" si="16">E14*U27</f>
        <v>775.72687874185624</v>
      </c>
      <c r="F27" s="127">
        <f t="shared" si="16"/>
        <v>875.70689271594529</v>
      </c>
      <c r="G27" s="127">
        <f t="shared" si="16"/>
        <v>990.29348988901552</v>
      </c>
      <c r="H27" s="127">
        <f t="shared" si="16"/>
        <v>1121.836968625955</v>
      </c>
      <c r="I27" s="127">
        <f t="shared" si="16"/>
        <v>1273.0995204260496</v>
      </c>
      <c r="J27" s="127">
        <f t="shared" si="16"/>
        <v>1447.3334490305679</v>
      </c>
      <c r="K27" s="127">
        <f t="shared" si="16"/>
        <v>1648.3754442791139</v>
      </c>
      <c r="L27" s="127">
        <f t="shared" si="16"/>
        <v>1880.7604658770276</v>
      </c>
      <c r="M27" s="127">
        <f t="shared" si="16"/>
        <v>2149.8596399298344</v>
      </c>
      <c r="N27" s="127">
        <f t="shared" si="16"/>
        <v>2462.0476359462873</v>
      </c>
      <c r="O27" s="127">
        <f t="shared" si="16"/>
        <v>2824.9063336242543</v>
      </c>
      <c r="P27" s="127">
        <f t="shared" si="16"/>
        <v>3247.4732842244016</v>
      </c>
      <c r="Q27" s="127">
        <f t="shared" si="16"/>
        <v>3740.5456207865686</v>
      </c>
      <c r="R27" s="131">
        <f>RATE(9,,-H27,Q27)</f>
        <v>0.14317229268719109</v>
      </c>
      <c r="S27" s="125" t="s">
        <v>72</v>
      </c>
      <c r="T27" s="135">
        <v>0.15</v>
      </c>
      <c r="U27" s="135">
        <v>0.15110377408848427</v>
      </c>
      <c r="V27" s="135">
        <v>0.15221567029189129</v>
      </c>
      <c r="W27" s="135">
        <v>0.15333574837675432</v>
      </c>
      <c r="X27" s="135">
        <v>0.15446406854939837</v>
      </c>
      <c r="Y27" s="135">
        <v>0.15560069145917627</v>
      </c>
      <c r="Z27" s="135">
        <v>0.15674567820172877</v>
      </c>
      <c r="AA27" s="135">
        <v>0.15789909032226851</v>
      </c>
      <c r="AB27" s="135">
        <v>0.15906098981888822</v>
      </c>
      <c r="AC27" s="135">
        <v>0.16023143914589322</v>
      </c>
      <c r="AD27" s="135">
        <v>0.16141050121715844</v>
      </c>
      <c r="AE27" s="135">
        <v>0.16259823940951015</v>
      </c>
      <c r="AF27" s="135">
        <v>0.1637947175661327</v>
      </c>
      <c r="AG27" s="135">
        <v>0.16500000000000001</v>
      </c>
    </row>
    <row r="28" spans="1:33" s="117" customFormat="1" x14ac:dyDescent="0.35">
      <c r="A28" s="149"/>
      <c r="B28" s="125" t="s">
        <v>73</v>
      </c>
      <c r="C28" s="126"/>
      <c r="D28" s="127">
        <f>D14*T28</f>
        <v>321.23</v>
      </c>
      <c r="E28" s="127">
        <f t="shared" ref="E28:Q28" si="17">E14*U28</f>
        <v>361.27377032424192</v>
      </c>
      <c r="F28" s="127">
        <f t="shared" si="17"/>
        <v>407.01195923426519</v>
      </c>
      <c r="G28" s="127">
        <f t="shared" si="17"/>
        <v>459.33880571597655</v>
      </c>
      <c r="H28" s="127">
        <f t="shared" si="17"/>
        <v>519.30173189145546</v>
      </c>
      <c r="I28" s="127">
        <f t="shared" si="17"/>
        <v>588.12980460252265</v>
      </c>
      <c r="J28" s="127">
        <f t="shared" si="17"/>
        <v>667.26791682663088</v>
      </c>
      <c r="K28" s="127">
        <f t="shared" si="17"/>
        <v>758.41792980487116</v>
      </c>
      <c r="L28" s="127">
        <f t="shared" si="17"/>
        <v>863.58830677655908</v>
      </c>
      <c r="M28" s="127">
        <f t="shared" si="17"/>
        <v>985.15413208167149</v>
      </c>
      <c r="N28" s="127">
        <f t="shared" si="17"/>
        <v>1125.9298647309072</v>
      </c>
      <c r="O28" s="127">
        <f t="shared" si="17"/>
        <v>1289.2577486227492</v>
      </c>
      <c r="P28" s="127">
        <f t="shared" si="17"/>
        <v>1479.1155250621507</v>
      </c>
      <c r="Q28" s="127">
        <f t="shared" si="17"/>
        <v>1700.2480094484376</v>
      </c>
      <c r="R28" s="131">
        <f>RATE(9,,-H28,Q28)</f>
        <v>0.14086038608389856</v>
      </c>
      <c r="S28" s="125" t="s">
        <v>73</v>
      </c>
      <c r="T28" s="135">
        <v>7.0000000000000007E-2</v>
      </c>
      <c r="U28" s="135">
        <v>7.0372487625680713E-2</v>
      </c>
      <c r="V28" s="135">
        <v>7.0746957351808359E-2</v>
      </c>
      <c r="W28" s="135">
        <v>7.1123419725638515E-2</v>
      </c>
      <c r="X28" s="135">
        <v>7.1501885350551325E-2</v>
      </c>
      <c r="Y28" s="135">
        <v>7.1882364886350206E-2</v>
      </c>
      <c r="Z28" s="135">
        <v>7.2264869049562072E-2</v>
      </c>
      <c r="AA28" s="135">
        <v>7.2649408613739211E-2</v>
      </c>
      <c r="AB28" s="135">
        <v>7.3035994409762647E-2</v>
      </c>
      <c r="AC28" s="135">
        <v>7.3424637326147249E-2</v>
      </c>
      <c r="AD28" s="135">
        <v>7.3815348309348452E-2</v>
      </c>
      <c r="AE28" s="135">
        <v>7.4208138364070517E-2</v>
      </c>
      <c r="AF28" s="135">
        <v>7.4603018553576511E-2</v>
      </c>
      <c r="AG28" s="135">
        <v>7.4999999999999886E-2</v>
      </c>
    </row>
    <row r="29" spans="1:33" s="117" customFormat="1" x14ac:dyDescent="0.35">
      <c r="A29" s="149"/>
      <c r="B29" s="125" t="s">
        <v>74</v>
      </c>
      <c r="C29" s="126"/>
      <c r="D29" s="127">
        <f>D14*T29</f>
        <v>1284.92</v>
      </c>
      <c r="E29" s="127">
        <f t="shared" ref="E29:Q29" si="18">E14*U29</f>
        <v>1409.898641655888</v>
      </c>
      <c r="F29" s="127">
        <f t="shared" si="18"/>
        <v>1548.8846374964303</v>
      </c>
      <c r="G29" s="127">
        <f t="shared" si="18"/>
        <v>1703.5828610581573</v>
      </c>
      <c r="H29" s="127">
        <f t="shared" si="18"/>
        <v>1875.9181519687227</v>
      </c>
      <c r="I29" s="127">
        <f t="shared" si="18"/>
        <v>2068.0647607089159</v>
      </c>
      <c r="J29" s="127">
        <f t="shared" si="18"/>
        <v>2282.4797553491208</v>
      </c>
      <c r="K29" s="127">
        <f t="shared" si="18"/>
        <v>2521.9408878434897</v>
      </c>
      <c r="L29" s="127">
        <f t="shared" si="18"/>
        <v>2789.5894610676733</v>
      </c>
      <c r="M29" s="127">
        <f t="shared" si="18"/>
        <v>3088.9787764702428</v>
      </c>
      <c r="N29" s="127">
        <f t="shared" si="18"/>
        <v>3424.1287708864684</v>
      </c>
      <c r="O29" s="127">
        <f t="shared" si="18"/>
        <v>3799.587462218492</v>
      </c>
      <c r="P29" s="127">
        <f t="shared" si="18"/>
        <v>4220.4998063570047</v>
      </c>
      <c r="Q29" s="127">
        <f t="shared" si="18"/>
        <v>4692.6845060776986</v>
      </c>
      <c r="R29" s="131">
        <f>RATE(9,,-H29,Q29)</f>
        <v>0.10724894356765174</v>
      </c>
      <c r="S29" s="125" t="s">
        <v>74</v>
      </c>
      <c r="T29" s="135">
        <f>1-SUM(T25:T28)</f>
        <v>0.28000000000000003</v>
      </c>
      <c r="U29" s="135">
        <f t="shared" ref="U29:AG29" si="19">1-SUM(U25:U28)</f>
        <v>0.2746340389570634</v>
      </c>
      <c r="V29" s="135">
        <f t="shared" si="19"/>
        <v>0.26922765512342217</v>
      </c>
      <c r="W29" s="135">
        <f t="shared" si="19"/>
        <v>0.26378054141448548</v>
      </c>
      <c r="X29" s="135">
        <f t="shared" si="19"/>
        <v>0.25829238839727564</v>
      </c>
      <c r="Y29" s="135">
        <f t="shared" si="19"/>
        <v>0.25276288427237303</v>
      </c>
      <c r="Z29" s="135">
        <f t="shared" si="19"/>
        <v>0.24719171485572278</v>
      </c>
      <c r="AA29" s="135">
        <f t="shared" si="19"/>
        <v>0.24157856356030094</v>
      </c>
      <c r="AB29" s="135">
        <f t="shared" si="19"/>
        <v>0.23592311137763733</v>
      </c>
      <c r="AC29" s="135">
        <f t="shared" si="19"/>
        <v>0.2302250368591976</v>
      </c>
      <c r="AD29" s="135">
        <f t="shared" si="19"/>
        <v>0.22448401609762159</v>
      </c>
      <c r="AE29" s="135">
        <f t="shared" si="19"/>
        <v>0.21869972270781524</v>
      </c>
      <c r="AF29" s="135">
        <f t="shared" si="19"/>
        <v>0.21287182780789726</v>
      </c>
      <c r="AG29" s="135">
        <f t="shared" si="19"/>
        <v>0.20700000000000018</v>
      </c>
    </row>
    <row r="30" spans="1:33" ht="15" thickBot="1" x14ac:dyDescent="0.4">
      <c r="A30" s="2"/>
      <c r="D30" s="81" t="b">
        <f>D14=SUM(D25:D29)</f>
        <v>1</v>
      </c>
      <c r="E30" s="81" t="b">
        <f t="shared" ref="E30:Q30" si="20">E14=SUM(E25:E29)</f>
        <v>1</v>
      </c>
      <c r="F30" s="81" t="b">
        <f t="shared" si="20"/>
        <v>1</v>
      </c>
      <c r="G30" s="81" t="b">
        <f t="shared" si="20"/>
        <v>1</v>
      </c>
      <c r="H30" s="81" t="b">
        <f t="shared" si="20"/>
        <v>1</v>
      </c>
      <c r="I30" s="81" t="b">
        <f t="shared" si="20"/>
        <v>1</v>
      </c>
      <c r="J30" s="81" t="b">
        <f t="shared" si="20"/>
        <v>1</v>
      </c>
      <c r="K30" s="81" t="b">
        <f t="shared" si="20"/>
        <v>1</v>
      </c>
      <c r="L30" s="81" t="b">
        <f t="shared" si="20"/>
        <v>1</v>
      </c>
      <c r="M30" s="81" t="b">
        <f t="shared" si="20"/>
        <v>0</v>
      </c>
      <c r="N30" s="81" t="b">
        <f t="shared" si="20"/>
        <v>1</v>
      </c>
      <c r="O30" s="81" t="b">
        <f t="shared" si="20"/>
        <v>1</v>
      </c>
      <c r="P30" s="81" t="b">
        <f t="shared" si="20"/>
        <v>1</v>
      </c>
      <c r="Q30" s="81" t="b">
        <f t="shared" si="20"/>
        <v>1</v>
      </c>
      <c r="R30" s="21"/>
    </row>
    <row r="31" spans="1:33" s="117" customFormat="1" x14ac:dyDescent="0.35">
      <c r="A31" s="149" t="s">
        <v>75</v>
      </c>
      <c r="B31" s="128" t="s">
        <v>76</v>
      </c>
      <c r="C31" s="129"/>
      <c r="D31" s="130">
        <f>D14*T31</f>
        <v>1147.25</v>
      </c>
      <c r="E31" s="130">
        <f t="shared" ref="E31:Q31" si="21">E14*U31</f>
        <v>1270.8753996323669</v>
      </c>
      <c r="F31" s="130">
        <f t="shared" si="21"/>
        <v>1410.2570676415892</v>
      </c>
      <c r="G31" s="130">
        <f t="shared" si="21"/>
        <v>1567.648981023952</v>
      </c>
      <c r="H31" s="130">
        <f t="shared" si="21"/>
        <v>1745.6614910765927</v>
      </c>
      <c r="I31" s="130">
        <f t="shared" si="21"/>
        <v>1947.3231294171355</v>
      </c>
      <c r="J31" s="130">
        <f t="shared" si="21"/>
        <v>2176.1541231009046</v>
      </c>
      <c r="K31" s="130">
        <f t="shared" si="21"/>
        <v>2436.2540336029115</v>
      </c>
      <c r="L31" s="130">
        <f t="shared" si="21"/>
        <v>2732.4064746152285</v>
      </c>
      <c r="M31" s="130">
        <f t="shared" si="21"/>
        <v>3070.2045343825625</v>
      </c>
      <c r="N31" s="130">
        <f t="shared" si="21"/>
        <v>3456.2013636520783</v>
      </c>
      <c r="O31" s="130">
        <f t="shared" si="21"/>
        <v>3898.0914337344088</v>
      </c>
      <c r="P31" s="130">
        <f t="shared" si="21"/>
        <v>4404.929276479098</v>
      </c>
      <c r="Q31" s="130">
        <f t="shared" si="21"/>
        <v>4987.3941610487554</v>
      </c>
      <c r="R31" s="131">
        <f t="shared" ref="R31:R37" si="22">RATE(9,,-H31,Q31)</f>
        <v>0.12371731659509154</v>
      </c>
      <c r="S31" s="128" t="s">
        <v>76</v>
      </c>
      <c r="T31" s="136">
        <v>0.25</v>
      </c>
      <c r="U31" s="136">
        <v>0.2475537132245817</v>
      </c>
      <c r="V31" s="136">
        <v>0.24513136372511374</v>
      </c>
      <c r="W31" s="136">
        <v>0.24273271727182974</v>
      </c>
      <c r="X31" s="136">
        <v>0.24035754192693604</v>
      </c>
      <c r="Y31" s="136">
        <v>0.23800560802218437</v>
      </c>
      <c r="Z31" s="136">
        <v>0.23567668813666415</v>
      </c>
      <c r="AA31" s="136">
        <v>0.23337055707481172</v>
      </c>
      <c r="AB31" s="136">
        <v>0.23108699184463527</v>
      </c>
      <c r="AC31" s="136">
        <v>0.22882577163615236</v>
      </c>
      <c r="AD31" s="136">
        <v>0.22658667780003872</v>
      </c>
      <c r="AE31" s="136">
        <v>0.22436949382648591</v>
      </c>
      <c r="AF31" s="136">
        <v>0.22217400532426579</v>
      </c>
      <c r="AG31" s="136">
        <v>0.21999999999999989</v>
      </c>
    </row>
    <row r="32" spans="1:33" s="117" customFormat="1" x14ac:dyDescent="0.35">
      <c r="A32" s="149"/>
      <c r="B32" s="128" t="s">
        <v>77</v>
      </c>
      <c r="C32" s="129"/>
      <c r="D32" s="130">
        <f>D14*T32</f>
        <v>917.80000000000007</v>
      </c>
      <c r="E32" s="130">
        <f t="shared" ref="E32:Q32" si="23">E14*U32</f>
        <v>1032.4750354679866</v>
      </c>
      <c r="F32" s="130">
        <f t="shared" si="23"/>
        <v>1163.4868273252159</v>
      </c>
      <c r="G32" s="130">
        <f t="shared" si="23"/>
        <v>1313.4048318584064</v>
      </c>
      <c r="H32" s="130">
        <f t="shared" si="23"/>
        <v>1485.2392447060029</v>
      </c>
      <c r="I32" s="130">
        <f t="shared" si="23"/>
        <v>1682.522986318115</v>
      </c>
      <c r="J32" s="130">
        <f t="shared" si="23"/>
        <v>1909.4101804195022</v>
      </c>
      <c r="K32" s="130">
        <f t="shared" si="23"/>
        <v>2170.7947066498209</v>
      </c>
      <c r="L32" s="130">
        <f t="shared" si="23"/>
        <v>2472.4532461718877</v>
      </c>
      <c r="M32" s="130">
        <f t="shared" si="23"/>
        <v>2821.2182872058002</v>
      </c>
      <c r="N32" s="130">
        <f t="shared" si="23"/>
        <v>3225.1878729006921</v>
      </c>
      <c r="O32" s="130">
        <f t="shared" si="23"/>
        <v>3693.9805297796606</v>
      </c>
      <c r="P32" s="130">
        <f t="shared" si="23"/>
        <v>4239.0459056402906</v>
      </c>
      <c r="Q32" s="130">
        <f t="shared" si="23"/>
        <v>4874.044293752203</v>
      </c>
      <c r="R32" s="131">
        <f t="shared" si="22"/>
        <v>0.14115246530377307</v>
      </c>
      <c r="S32" s="128" t="s">
        <v>77</v>
      </c>
      <c r="T32" s="135">
        <v>0.2</v>
      </c>
      <c r="U32" s="135">
        <v>0.20111572614885656</v>
      </c>
      <c r="V32" s="135">
        <v>0.20223767652190933</v>
      </c>
      <c r="W32" s="135">
        <v>0.20336588584180673</v>
      </c>
      <c r="X32" s="135">
        <v>0.20450038902490211</v>
      </c>
      <c r="Y32" s="135">
        <v>0.20564122118233419</v>
      </c>
      <c r="Z32" s="135">
        <v>0.20678841762111386</v>
      </c>
      <c r="AA32" s="135">
        <v>0.20794201384521654</v>
      </c>
      <c r="AB32" s="135">
        <v>0.20910204555668152</v>
      </c>
      <c r="AC32" s="135">
        <v>0.21026854865671646</v>
      </c>
      <c r="AD32" s="135">
        <v>0.21144155924680855</v>
      </c>
      <c r="AE32" s="135">
        <v>0.21262111362984182</v>
      </c>
      <c r="AF32" s="135">
        <v>0.21380724831122089</v>
      </c>
      <c r="AG32" s="135">
        <v>0.21500000000000033</v>
      </c>
    </row>
    <row r="33" spans="1:33" s="117" customFormat="1" x14ac:dyDescent="0.35">
      <c r="A33" s="149"/>
      <c r="B33" s="128" t="s">
        <v>78</v>
      </c>
      <c r="C33" s="129"/>
      <c r="D33" s="132">
        <f>D14*T33</f>
        <v>826.0200000000001</v>
      </c>
      <c r="E33" s="132">
        <f t="shared" ref="E33:Q33" si="24">E14*U33</f>
        <v>924.85825667790721</v>
      </c>
      <c r="F33" s="132">
        <f t="shared" si="24"/>
        <v>1037.3139021524898</v>
      </c>
      <c r="G33" s="132">
        <f t="shared" si="24"/>
        <v>1165.468249025058</v>
      </c>
      <c r="H33" s="132">
        <f t="shared" si="24"/>
        <v>1311.7508735240742</v>
      </c>
      <c r="I33" s="132">
        <f t="shared" si="24"/>
        <v>1479.0030215772158</v>
      </c>
      <c r="J33" s="132">
        <f t="shared" si="24"/>
        <v>1670.5535359450585</v>
      </c>
      <c r="K33" s="132">
        <f t="shared" si="24"/>
        <v>1890.3099800078483</v>
      </c>
      <c r="L33" s="132">
        <f t="shared" si="24"/>
        <v>2142.8682509779642</v>
      </c>
      <c r="M33" s="132">
        <f t="shared" si="24"/>
        <v>2433.6447457562422</v>
      </c>
      <c r="N33" s="132">
        <f t="shared" si="24"/>
        <v>2769.0361072168494</v>
      </c>
      <c r="O33" s="132">
        <f t="shared" si="24"/>
        <v>3156.6127899074904</v>
      </c>
      <c r="P33" s="132">
        <f t="shared" si="24"/>
        <v>3605.3542097137165</v>
      </c>
      <c r="Q33" s="132">
        <f t="shared" si="24"/>
        <v>4125.9351695948753</v>
      </c>
      <c r="R33" s="131">
        <f t="shared" si="22"/>
        <v>0.13578670821470054</v>
      </c>
      <c r="S33" s="128" t="s">
        <v>78</v>
      </c>
      <c r="T33" s="135">
        <v>0.18000000000000002</v>
      </c>
      <c r="U33" s="135">
        <v>0.18015306277331314</v>
      </c>
      <c r="V33" s="135">
        <v>0.18030625570336284</v>
      </c>
      <c r="W33" s="135">
        <v>0.18045957890082762</v>
      </c>
      <c r="X33" s="135">
        <v>0.18061303247648028</v>
      </c>
      <c r="Y33" s="135">
        <v>0.18076661654118778</v>
      </c>
      <c r="Z33" s="135">
        <v>0.18092033120591131</v>
      </c>
      <c r="AA33" s="135">
        <v>0.18107417658170627</v>
      </c>
      <c r="AB33" s="135">
        <v>0.1812281527797229</v>
      </c>
      <c r="AC33" s="135">
        <v>0.1813822599112056</v>
      </c>
      <c r="AD33" s="135">
        <v>0.18153649808749345</v>
      </c>
      <c r="AE33" s="135">
        <v>0.18169086742002025</v>
      </c>
      <c r="AF33" s="135">
        <v>0.18184536802031454</v>
      </c>
      <c r="AG33" s="135">
        <v>0.18199999999999975</v>
      </c>
    </row>
    <row r="34" spans="1:33" s="117" customFormat="1" x14ac:dyDescent="0.35">
      <c r="A34" s="149"/>
      <c r="B34" s="128" t="s">
        <v>79</v>
      </c>
      <c r="C34" s="129"/>
      <c r="D34" s="132">
        <f>D14*T34</f>
        <v>550.67999999999995</v>
      </c>
      <c r="E34" s="132">
        <f t="shared" ref="E34:Q34" si="25">E14*U34</f>
        <v>617.21956893758897</v>
      </c>
      <c r="F34" s="132">
        <f t="shared" si="25"/>
        <v>692.99559667537619</v>
      </c>
      <c r="G34" s="132">
        <f t="shared" si="25"/>
        <v>779.42887554692675</v>
      </c>
      <c r="H34" s="132">
        <f t="shared" si="25"/>
        <v>878.17925681717361</v>
      </c>
      <c r="I34" s="132">
        <f t="shared" si="25"/>
        <v>991.18938327995988</v>
      </c>
      <c r="J34" s="132">
        <f t="shared" si="25"/>
        <v>1120.7370935498805</v>
      </c>
      <c r="K34" s="132">
        <f t="shared" si="25"/>
        <v>1269.4983576615525</v>
      </c>
      <c r="L34" s="132">
        <f t="shared" si="25"/>
        <v>1440.623033868264</v>
      </c>
      <c r="M34" s="132">
        <f t="shared" si="25"/>
        <v>1637.8262739498266</v>
      </c>
      <c r="N34" s="132">
        <f t="shared" si="25"/>
        <v>1865.4990775252918</v>
      </c>
      <c r="O34" s="132">
        <f t="shared" si="25"/>
        <v>2128.8423416354162</v>
      </c>
      <c r="P34" s="132">
        <f t="shared" si="25"/>
        <v>2434.0298177132536</v>
      </c>
      <c r="Q34" s="132">
        <f t="shared" si="25"/>
        <v>2788.4067354954354</v>
      </c>
      <c r="R34" s="131">
        <f t="shared" si="22"/>
        <v>0.1369792788036944</v>
      </c>
      <c r="S34" s="128" t="s">
        <v>79</v>
      </c>
      <c r="T34" s="135">
        <v>0.11999999999999998</v>
      </c>
      <c r="U34" s="135">
        <v>0.1202281484161041</v>
      </c>
      <c r="V34" s="135">
        <v>0.12045673059637299</v>
      </c>
      <c r="W34" s="135">
        <v>0.12068574736549501</v>
      </c>
      <c r="X34" s="135">
        <v>0.12091519954972652</v>
      </c>
      <c r="Y34" s="135">
        <v>0.1211450879768947</v>
      </c>
      <c r="Z34" s="135">
        <v>0.12137541347640074</v>
      </c>
      <c r="AA34" s="135">
        <v>0.12160617687922258</v>
      </c>
      <c r="AB34" s="135">
        <v>0.12183737901791819</v>
      </c>
      <c r="AC34" s="135">
        <v>0.12206902072662833</v>
      </c>
      <c r="AD34" s="135">
        <v>0.1223011028410797</v>
      </c>
      <c r="AE34" s="135">
        <v>0.12253362619858783</v>
      </c>
      <c r="AF34" s="135">
        <v>0.12276659163806038</v>
      </c>
      <c r="AG34" s="135">
        <v>0.12299999999999972</v>
      </c>
    </row>
    <row r="35" spans="1:33" s="117" customFormat="1" x14ac:dyDescent="0.35">
      <c r="A35" s="149"/>
      <c r="B35" s="128" t="s">
        <v>80</v>
      </c>
      <c r="C35" s="129"/>
      <c r="D35" s="132">
        <f>D14*T35</f>
        <v>458.89999999999992</v>
      </c>
      <c r="E35" s="132">
        <f t="shared" ref="E35:Q35" si="26">E14*U35</f>
        <v>515.30395322307231</v>
      </c>
      <c r="F35" s="132">
        <f t="shared" si="26"/>
        <v>579.64126525220922</v>
      </c>
      <c r="G35" s="132">
        <f t="shared" si="26"/>
        <v>653.14611074099662</v>
      </c>
      <c r="H35" s="132">
        <f t="shared" si="26"/>
        <v>737.26235973261373</v>
      </c>
      <c r="I35" s="132">
        <f t="shared" si="26"/>
        <v>833.68226417097594</v>
      </c>
      <c r="J35" s="132">
        <f t="shared" si="26"/>
        <v>944.39287164086807</v>
      </c>
      <c r="K35" s="132">
        <f t="shared" si="26"/>
        <v>1071.7318338618502</v>
      </c>
      <c r="L35" s="132">
        <f t="shared" si="26"/>
        <v>1218.4546654032179</v>
      </c>
      <c r="M35" s="132">
        <f t="shared" si="26"/>
        <v>1387.8159930898353</v>
      </c>
      <c r="N35" s="132">
        <f t="shared" si="26"/>
        <v>1583.6679446768824</v>
      </c>
      <c r="O35" s="132">
        <f t="shared" si="26"/>
        <v>1810.5795901076206</v>
      </c>
      <c r="P35" s="132">
        <f t="shared" si="26"/>
        <v>2073.9823133202344</v>
      </c>
      <c r="Q35" s="132">
        <f t="shared" si="26"/>
        <v>2380.3472132278166</v>
      </c>
      <c r="R35" s="131">
        <f t="shared" si="22"/>
        <v>0.13908880389045783</v>
      </c>
      <c r="S35" s="128" t="s">
        <v>80</v>
      </c>
      <c r="T35" s="135">
        <v>9.9999999999999978E-2</v>
      </c>
      <c r="U35" s="135">
        <v>0.10037601412111624</v>
      </c>
      <c r="V35" s="135">
        <v>0.10075344210842527</v>
      </c>
      <c r="W35" s="135">
        <v>0.10113228927826363</v>
      </c>
      <c r="X35" s="135">
        <v>0.10151256096695804</v>
      </c>
      <c r="Y35" s="135">
        <v>0.10189426253090056</v>
      </c>
      <c r="Z35" s="135">
        <v>0.102277399346624</v>
      </c>
      <c r="AA35" s="135">
        <v>0.10266197681087777</v>
      </c>
      <c r="AB35" s="135">
        <v>0.10304800034070376</v>
      </c>
      <c r="AC35" s="135">
        <v>0.10343547537351272</v>
      </c>
      <c r="AD35" s="135">
        <v>0.10382440736716086</v>
      </c>
      <c r="AE35" s="135">
        <v>0.10421480180002665</v>
      </c>
      <c r="AF35" s="135">
        <v>0.10460666417108806</v>
      </c>
      <c r="AG35" s="135">
        <v>0.10500000000000002</v>
      </c>
    </row>
    <row r="36" spans="1:33" s="117" customFormat="1" x14ac:dyDescent="0.35">
      <c r="A36" s="149"/>
      <c r="B36" s="128" t="s">
        <v>81</v>
      </c>
      <c r="C36" s="129"/>
      <c r="D36" s="132">
        <f>D14*T36</f>
        <v>596.57000000000028</v>
      </c>
      <c r="E36" s="132">
        <f t="shared" ref="E36:Q36" si="27">E14*U36</f>
        <v>668.94328626678555</v>
      </c>
      <c r="F36" s="132">
        <f t="shared" si="27"/>
        <v>751.39377669426347</v>
      </c>
      <c r="G36" s="132">
        <f t="shared" si="27"/>
        <v>845.47567274640176</v>
      </c>
      <c r="H36" s="132">
        <f t="shared" si="27"/>
        <v>953.00527746769717</v>
      </c>
      <c r="I36" s="132">
        <f t="shared" si="27"/>
        <v>1076.1090378914757</v>
      </c>
      <c r="J36" s="132">
        <f t="shared" si="27"/>
        <v>1217.2811299009545</v>
      </c>
      <c r="K36" s="132">
        <f t="shared" si="27"/>
        <v>1379.4526348801505</v>
      </c>
      <c r="L36" s="132">
        <f t="shared" si="27"/>
        <v>1566.074832270225</v>
      </c>
      <c r="M36" s="132">
        <f t="shared" si="27"/>
        <v>1781.2197252761407</v>
      </c>
      <c r="N36" s="132">
        <f t="shared" si="27"/>
        <v>2029.7016601044907</v>
      </c>
      <c r="O36" s="132">
        <f t="shared" si="27"/>
        <v>2317.2248329722211</v>
      </c>
      <c r="P36" s="132">
        <f t="shared" si="27"/>
        <v>2650.5626562515663</v>
      </c>
      <c r="Q36" s="132">
        <f t="shared" si="27"/>
        <v>3037.776443547883</v>
      </c>
      <c r="R36" s="131">
        <f t="shared" si="22"/>
        <v>0.13747027444743293</v>
      </c>
      <c r="S36" s="128" t="s">
        <v>81</v>
      </c>
      <c r="T36" s="133">
        <v>0.13000000000000006</v>
      </c>
      <c r="U36" s="133">
        <v>0.13030340700583309</v>
      </c>
      <c r="V36" s="133">
        <v>0.13060752213329063</v>
      </c>
      <c r="W36" s="133">
        <v>0.13091234703505783</v>
      </c>
      <c r="X36" s="133">
        <v>0.13121788336767692</v>
      </c>
      <c r="Y36" s="133">
        <v>0.13152413279155642</v>
      </c>
      <c r="Z36" s="133">
        <v>0.13183109697098006</v>
      </c>
      <c r="AA36" s="133">
        <v>0.13213877757411582</v>
      </c>
      <c r="AB36" s="133">
        <v>0.13244717627302502</v>
      </c>
      <c r="AC36" s="133">
        <v>0.13275629474367151</v>
      </c>
      <c r="AD36" s="133">
        <v>0.13306613466593045</v>
      </c>
      <c r="AE36" s="133">
        <v>0.13337669772359789</v>
      </c>
      <c r="AF36" s="133">
        <v>0.13368798560439951</v>
      </c>
      <c r="AG36" s="133">
        <v>0.13400000000000015</v>
      </c>
    </row>
    <row r="37" spans="1:33" s="117" customFormat="1" x14ac:dyDescent="0.35">
      <c r="A37" s="149"/>
      <c r="B37" s="128" t="s">
        <v>82</v>
      </c>
      <c r="C37" s="129"/>
      <c r="D37" s="132">
        <f>D14*T37</f>
        <v>91.780000000000086</v>
      </c>
      <c r="E37" s="132">
        <f t="shared" ref="E37:Q37" si="28">E14*U37</f>
        <v>104.06045987429299</v>
      </c>
      <c r="F37" s="132">
        <f t="shared" si="28"/>
        <v>117.97819029463361</v>
      </c>
      <c r="G37" s="132">
        <f t="shared" si="28"/>
        <v>133.76136209159176</v>
      </c>
      <c r="H37" s="132">
        <f t="shared" si="28"/>
        <v>151.67127324162314</v>
      </c>
      <c r="I37" s="132">
        <f t="shared" si="28"/>
        <v>172.0073432812564</v>
      </c>
      <c r="J37" s="132">
        <f t="shared" si="28"/>
        <v>195.11288341931714</v>
      </c>
      <c r="K37" s="132">
        <f t="shared" si="28"/>
        <v>221.38176422902171</v>
      </c>
      <c r="L37" s="132">
        <f t="shared" si="28"/>
        <v>251.26612132141312</v>
      </c>
      <c r="M37" s="132">
        <f t="shared" si="28"/>
        <v>285.28526028734291</v>
      </c>
      <c r="N37" s="132">
        <f t="shared" si="28"/>
        <v>324.03594552140152</v>
      </c>
      <c r="O37" s="132">
        <f t="shared" si="28"/>
        <v>368.20428325408949</v>
      </c>
      <c r="P37" s="132">
        <f t="shared" si="28"/>
        <v>418.57943695585789</v>
      </c>
      <c r="Q37" s="132">
        <f t="shared" si="28"/>
        <v>476.0694426455662</v>
      </c>
      <c r="R37" s="131">
        <f t="shared" si="22"/>
        <v>0.13552403318462569</v>
      </c>
      <c r="S37" s="128" t="s">
        <v>82</v>
      </c>
      <c r="T37" s="133">
        <f>1-SUM(T31:T36)</f>
        <v>2.0000000000000018E-2</v>
      </c>
      <c r="U37" s="133">
        <f t="shared" ref="U37:AG37" si="29">1-SUM(U31:U36)</f>
        <v>2.0269928310195251E-2</v>
      </c>
      <c r="V37" s="133">
        <f t="shared" si="29"/>
        <v>2.0507009211525151E-2</v>
      </c>
      <c r="W37" s="133">
        <f t="shared" si="29"/>
        <v>2.0711434306719401E-2</v>
      </c>
      <c r="X37" s="133">
        <f t="shared" si="29"/>
        <v>2.088339268732009E-2</v>
      </c>
      <c r="Y37" s="133">
        <f t="shared" si="29"/>
        <v>2.1023070954941936E-2</v>
      </c>
      <c r="Z37" s="133">
        <f t="shared" si="29"/>
        <v>2.1130653242306008E-2</v>
      </c>
      <c r="AA37" s="133">
        <f t="shared" si="29"/>
        <v>2.1206321234049197E-2</v>
      </c>
      <c r="AB37" s="133">
        <f t="shared" si="29"/>
        <v>2.1250254187313411E-2</v>
      </c>
      <c r="AC37" s="133">
        <f t="shared" si="29"/>
        <v>2.1262628952113172E-2</v>
      </c>
      <c r="AD37" s="133">
        <f t="shared" si="29"/>
        <v>2.1243619991488383E-2</v>
      </c>
      <c r="AE37" s="133">
        <f t="shared" si="29"/>
        <v>2.1193399401439716E-2</v>
      </c>
      <c r="AF37" s="133">
        <f t="shared" si="29"/>
        <v>2.1112136930650727E-2</v>
      </c>
      <c r="AG37" s="133">
        <f t="shared" si="29"/>
        <v>2.100000000000013E-2</v>
      </c>
    </row>
    <row r="38" spans="1:33" x14ac:dyDescent="0.35">
      <c r="D38" t="b">
        <f>D14=SUM(D31:D37)</f>
        <v>1</v>
      </c>
      <c r="E38" t="b">
        <f t="shared" ref="E38:Q38" si="30">E14=SUM(E31:E37)</f>
        <v>1</v>
      </c>
      <c r="F38" t="b">
        <f t="shared" si="30"/>
        <v>1</v>
      </c>
      <c r="G38" t="b">
        <f t="shared" si="30"/>
        <v>1</v>
      </c>
      <c r="H38" t="b">
        <f t="shared" si="30"/>
        <v>1</v>
      </c>
      <c r="I38" t="b">
        <f t="shared" si="30"/>
        <v>1</v>
      </c>
      <c r="J38" t="b">
        <f t="shared" si="30"/>
        <v>0</v>
      </c>
      <c r="K38" t="b">
        <f t="shared" si="30"/>
        <v>1</v>
      </c>
      <c r="L38" t="b">
        <f t="shared" si="30"/>
        <v>1</v>
      </c>
      <c r="M38" t="b">
        <f t="shared" si="30"/>
        <v>1</v>
      </c>
      <c r="N38" t="b">
        <f t="shared" si="30"/>
        <v>1</v>
      </c>
      <c r="O38" t="b">
        <f t="shared" si="30"/>
        <v>1</v>
      </c>
      <c r="P38" t="b">
        <f t="shared" si="30"/>
        <v>1</v>
      </c>
      <c r="Q38" t="b">
        <f t="shared" si="30"/>
        <v>1</v>
      </c>
    </row>
  </sheetData>
  <mergeCells count="5">
    <mergeCell ref="A2:R2"/>
    <mergeCell ref="A15:A19"/>
    <mergeCell ref="A21:A23"/>
    <mergeCell ref="A25:A29"/>
    <mergeCell ref="A31:A3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A545-A611-4E17-B471-E6E72544F5AD}">
  <dimension ref="A2:S49"/>
  <sheetViews>
    <sheetView showGridLines="0" zoomScale="71" zoomScaleNormal="71" workbookViewId="0">
      <selection activeCell="A2" sqref="A2:R2"/>
    </sheetView>
  </sheetViews>
  <sheetFormatPr defaultRowHeight="14.5" x14ac:dyDescent="0.35"/>
  <cols>
    <col min="1" max="1" width="17.1796875" customWidth="1"/>
    <col min="2" max="2" width="27.81640625" customWidth="1"/>
    <col min="17" max="17" width="9.54296875" customWidth="1"/>
    <col min="18" max="18" width="33.54296875" customWidth="1"/>
  </cols>
  <sheetData>
    <row r="2" spans="1:19" ht="25" x14ac:dyDescent="0.5">
      <c r="A2" s="146" t="s">
        <v>113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</row>
    <row r="3" spans="1:19" s="139" customFormat="1" ht="25" x14ac:dyDescent="0.5">
      <c r="A3" s="140">
        <v>5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</row>
    <row r="4" spans="1:19" s="139" customFormat="1" ht="25" x14ac:dyDescent="0.5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</row>
    <row r="5" spans="1:19" s="139" customFormat="1" ht="25" x14ac:dyDescent="0.5">
      <c r="A5" s="138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41" t="s">
        <v>115</v>
      </c>
      <c r="S5" s="142" cm="1">
        <f t="array" ref="S5">_xlfn.IFS($A$3=1,Global!R14,$A$3=2,'North America'!R14,$A$3=3,APAC!R14,$A$3=4,Europe!R14,$A$3=5,'Latin America'!R14,$A$3=6,MEA!R14)</f>
        <v>0.13436227060967615</v>
      </c>
    </row>
    <row r="6" spans="1:19" s="139" customFormat="1" ht="25" x14ac:dyDescent="0.5">
      <c r="A6" s="138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</row>
    <row r="7" spans="1:19" ht="25" x14ac:dyDescent="0.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</row>
    <row r="8" spans="1:19" ht="25" x14ac:dyDescent="0.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</row>
    <row r="9" spans="1:19" ht="25" x14ac:dyDescent="0.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</row>
    <row r="10" spans="1:19" ht="25" x14ac:dyDescent="0.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</row>
    <row r="11" spans="1:19" ht="25" x14ac:dyDescent="0.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</row>
    <row r="12" spans="1:19" ht="25" x14ac:dyDescent="0.5">
      <c r="A12" s="96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</row>
    <row r="13" spans="1:19" ht="25" x14ac:dyDescent="0.5">
      <c r="A13" s="96"/>
      <c r="B13" s="96"/>
      <c r="C13" s="97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</row>
    <row r="14" spans="1:19" ht="25" x14ac:dyDescent="0.5">
      <c r="A14" s="96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</row>
    <row r="15" spans="1:19" ht="25" x14ac:dyDescent="0.5">
      <c r="A15" s="96"/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</row>
    <row r="16" spans="1:19" ht="25" x14ac:dyDescent="0.5">
      <c r="A16" s="96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</row>
    <row r="17" spans="1:18" ht="25" x14ac:dyDescent="0.5">
      <c r="A17" s="96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</row>
    <row r="18" spans="1:18" ht="25" x14ac:dyDescent="0.5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</row>
    <row r="19" spans="1:18" ht="25" x14ac:dyDescent="0.5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</row>
    <row r="20" spans="1:18" ht="25" x14ac:dyDescent="0.5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</row>
    <row r="21" spans="1:18" ht="25" x14ac:dyDescent="0.5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</row>
    <row r="22" spans="1:18" ht="25" x14ac:dyDescent="0.5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</row>
    <row r="23" spans="1:18" ht="25" x14ac:dyDescent="0.5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</row>
    <row r="24" spans="1:18" ht="25.5" thickBot="1" x14ac:dyDescent="0.55000000000000004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</row>
    <row r="25" spans="1:18" ht="15.5" x14ac:dyDescent="0.35">
      <c r="A25" s="42"/>
      <c r="B25" s="43"/>
      <c r="C25" s="93"/>
      <c r="D25" s="91">
        <v>2023</v>
      </c>
      <c r="E25" s="65">
        <v>2024</v>
      </c>
      <c r="F25" s="65">
        <v>2025</v>
      </c>
      <c r="G25" s="65">
        <v>2026</v>
      </c>
      <c r="H25" s="65">
        <v>2027</v>
      </c>
      <c r="I25" s="65">
        <v>2028</v>
      </c>
      <c r="J25" s="65">
        <v>2029</v>
      </c>
      <c r="K25" s="65">
        <v>2030</v>
      </c>
      <c r="L25" s="65">
        <v>2031</v>
      </c>
      <c r="M25" s="65">
        <v>2032</v>
      </c>
      <c r="N25" s="65">
        <v>2033</v>
      </c>
      <c r="O25" s="65">
        <v>2034</v>
      </c>
      <c r="P25" s="65">
        <v>2035</v>
      </c>
      <c r="Q25" s="65">
        <v>2036</v>
      </c>
      <c r="R25" s="66" t="s">
        <v>84</v>
      </c>
    </row>
    <row r="26" spans="1:18" ht="15" thickBot="1" x14ac:dyDescent="0.4">
      <c r="A26" s="1"/>
      <c r="C26" s="21"/>
      <c r="D26" s="92" cm="1">
        <f t="array" ref="D26">_xlfn.IFS($A$3=1,Global!D14,$A$3=2,'North America'!D14,$A$3=3,APAC!D14,$A$3=4,Europe!D14,$A$3=5,'Latin America'!D14,$A$3=6,MEA!D14)</f>
        <v>977.45699999999988</v>
      </c>
      <c r="E26" s="92" cm="1">
        <f t="array" ref="E26">_xlfn.IFS($A$3=1,Global!E14,$A$3=2,'North America'!E14,$A$3=3,APAC!E14,$A$3=4,Europe!E14,$A$3=5,'Latin America'!E14,$A$3=6,MEA!E14)</f>
        <v>1097.2402252500001</v>
      </c>
      <c r="F26" s="92" cm="1">
        <f t="array" ref="F26">_xlfn.IFS($A$3=1,Global!F14,$A$3=2,'North America'!F14,$A$3=3,APAC!F14,$A$3=4,Europe!F14,$A$3=5,'Latin America'!F14,$A$3=6,MEA!F14)</f>
        <v>1233.1111116189686</v>
      </c>
      <c r="G26" s="92" cm="1">
        <f t="array" ref="G26">_xlfn.IFS($A$3=1,Global!G14,$A$3=2,'North America'!G14,$A$3=3,APAC!G14,$A$3=4,Europe!G14,$A$3=5,'Latin America'!G14,$A$3=6,MEA!G14)</f>
        <v>1387.436791557981</v>
      </c>
      <c r="H26" s="92" cm="1">
        <f t="array" ref="H26">_xlfn.IFS($A$3=1,Global!H14,$A$3=2,'North America'!H14,$A$3=3,APAC!H14,$A$3=4,Europe!H14,$A$3=5,'Latin America'!H14,$A$3=6,MEA!H14)</f>
        <v>1562.9683404044595</v>
      </c>
      <c r="I26" s="92" cm="1">
        <f t="array" ref="I26">_xlfn.IFS($A$3=1,Global!I14,$A$3=2,'North America'!I14,$A$3=3,APAC!I14,$A$3=4,Europe!I14,$A$3=5,'Latin America'!I14,$A$3=6,MEA!I14)</f>
        <v>1762.9100506389991</v>
      </c>
      <c r="J26" s="92" cm="1">
        <f t="array" ref="J26">_xlfn.IFS($A$3=1,Global!J14,$A$3=2,'North America'!J14,$A$3=3,APAC!J14,$A$3=4,Europe!J14,$A$3=5,'Latin America'!J14,$A$3=6,MEA!J14)</f>
        <v>1991.0027203077198</v>
      </c>
      <c r="K26" s="92" cm="1">
        <f t="array" ref="K26">_xlfn.IFS($A$3=1,Global!K14,$A$3=2,'North America'!K14,$A$3=3,APAC!K14,$A$3=4,Europe!K14,$A$3=5,'Latin America'!K14,$A$3=6,MEA!K14)</f>
        <v>2251.6241418517857</v>
      </c>
      <c r="L26" s="92" cm="1">
        <f t="array" ref="L26">_xlfn.IFS($A$3=1,Global!L14,$A$3=2,'North America'!L14,$A$3=3,APAC!L14,$A$3=4,Europe!L14,$A$3=5,'Latin America'!L14,$A$3=6,MEA!L14)</f>
        <v>2549.9107873398543</v>
      </c>
      <c r="M26" s="92" cm="1">
        <f t="array" ref="M26">_xlfn.IFS($A$3=1,Global!M14,$A$3=2,'North America'!M14,$A$3=3,APAC!M14,$A$3=4,Europe!M14,$A$3=5,'Latin America'!M14,$A$3=6,MEA!M14)</f>
        <v>2891.905723199608</v>
      </c>
      <c r="N26" s="92" cm="1">
        <f t="array" ref="N26">_xlfn.IFS($A$3=1,Global!N14,$A$3=2,'North America'!N14,$A$3=3,APAC!N14,$A$3=4,Europe!N14,$A$3=5,'Latin America'!N14,$A$3=6,MEA!N14)</f>
        <v>3284.7391215077914</v>
      </c>
      <c r="O26" s="92" cm="1">
        <f t="array" ref="O26">_xlfn.IFS($A$3=1,Global!O14,$A$3=2,'North America'!O14,$A$3=3,APAC!O14,$A$3=4,Europe!O14,$A$3=5,'Latin America'!O14,$A$3=6,MEA!O14)</f>
        <v>3736.8494580854644</v>
      </c>
      <c r="P26" s="92" cm="1">
        <f t="array" ref="P26">_xlfn.IFS($A$3=1,Global!P14,$A$3=2,'North America'!P14,$A$3=3,APAC!P14,$A$3=4,Europe!P14,$A$3=5,'Latin America'!P14,$A$3=6,MEA!P14)</f>
        <v>4258.2557232441295</v>
      </c>
      <c r="Q26" s="92" cm="1">
        <f t="array" ref="Q26">_xlfn.IFS($A$3=1,Global!Q14,$A$3=2,'North America'!Q14,$A$3=3,APAC!Q14,$A$3=4,Europe!Q14,$A$3=5,'Latin America'!Q14,$A$3=6,MEA!Q14)</f>
        <v>4860.8938839784078</v>
      </c>
      <c r="R26" s="131">
        <f t="shared" ref="R26:R31" si="0">RATE(9,,-H26,Q26)</f>
        <v>0.13436227060967615</v>
      </c>
    </row>
    <row r="27" spans="1:18" s="121" customFormat="1" x14ac:dyDescent="0.35">
      <c r="A27" s="147" t="s">
        <v>59</v>
      </c>
      <c r="B27" s="118" t="s">
        <v>60</v>
      </c>
      <c r="C27" s="119"/>
      <c r="D27" s="120" cm="1">
        <f t="array" ref="D27">_xlfn.IFS($A$3=1,Global!D15,$A$3=2,'North America'!D15,$A$3=3,APAC!D15,$A$3=4,Europe!D15,$A$3=5,'Latin America'!D15,$A$3=6,MEA!D15)</f>
        <v>293.2371</v>
      </c>
      <c r="E27" s="120" cm="1">
        <f t="array" ref="E27">_xlfn.IFS($A$3=1,Global!E15,$A$3=2,'North America'!E15,$A$3=3,APAC!E15,$A$3=4,Europe!E15,$A$3=5,'Latin America'!E15,$A$3=6,MEA!E15)</f>
        <v>333.09853942559204</v>
      </c>
      <c r="F27" s="120" cm="1">
        <f t="array" ref="F27">_xlfn.IFS($A$3=1,Global!F15,$A$3=2,'North America'!F15,$A$3=3,APAC!F15,$A$3=4,Europe!F15,$A$3=5,'Latin America'!F15,$A$3=6,MEA!F15)</f>
        <v>378.81134050528777</v>
      </c>
      <c r="G27" s="120" cm="1">
        <f t="array" ref="G27">_xlfn.IFS($A$3=1,Global!G15,$A$3=2,'North America'!G15,$A$3=3,APAC!G15,$A$3=4,Europe!G15,$A$3=5,'Latin America'!G15,$A$3=6,MEA!G15)</f>
        <v>431.30423313347666</v>
      </c>
      <c r="H27" s="120" cm="1">
        <f t="array" ref="H27">_xlfn.IFS($A$3=1,Global!H15,$A$3=2,'North America'!H15,$A$3=3,APAC!H15,$A$3=4,Europe!H15,$A$3=5,'Latin America'!H15,$A$3=6,MEA!H15)</f>
        <v>491.66630702916802</v>
      </c>
      <c r="I27" s="120" cm="1">
        <f t="array" ref="I27">_xlfn.IFS($A$3=1,Global!I15,$A$3=2,'North America'!I15,$A$3=3,APAC!I15,$A$3=4,Europe!I15,$A$3=5,'Latin America'!I15,$A$3=6,MEA!I15)</f>
        <v>561.17740145181438</v>
      </c>
      <c r="J27" s="120" cm="1">
        <f t="array" ref="J27">_xlfn.IFS($A$3=1,Global!J15,$A$3=2,'North America'!J15,$A$3=3,APAC!J15,$A$3=4,Europe!J15,$A$3=5,'Latin America'!J15,$A$3=6,MEA!J15)</f>
        <v>641.34487172578793</v>
      </c>
      <c r="K27" s="120" cm="1">
        <f t="array" ref="K27">_xlfn.IFS($A$3=1,Global!K15,$A$3=2,'North America'!K15,$A$3=3,APAC!K15,$A$3=4,Europe!K15,$A$3=5,'Latin America'!K15,$A$3=6,MEA!K15)</f>
        <v>733.94822171851467</v>
      </c>
      <c r="L27" s="120" cm="1">
        <f t="array" ref="L27">_xlfn.IFS($A$3=1,Global!L15,$A$3=2,'North America'!L15,$A$3=3,APAC!L15,$A$3=4,Europe!L15,$A$3=5,'Latin America'!L15,$A$3=6,MEA!L15)</f>
        <v>841.09347788860077</v>
      </c>
      <c r="M27" s="120" cm="1">
        <f t="array" ref="M27">_xlfn.IFS($A$3=1,Global!M15,$A$3=2,'North America'!M15,$A$3=3,APAC!M15,$A$3=4,Europe!M15,$A$3=5,'Latin America'!M15,$A$3=6,MEA!M15)</f>
        <v>965.27967757482838</v>
      </c>
      <c r="N27" s="120" cm="1">
        <f t="array" ref="N27">_xlfn.IFS($A$3=1,Global!N15,$A$3=2,'North America'!N15,$A$3=3,APAC!N15,$A$3=4,Europe!N15,$A$3=5,'Latin America'!N15,$A$3=6,MEA!N15)</f>
        <v>1109.4804863093793</v>
      </c>
      <c r="O27" s="120" cm="1">
        <f t="array" ref="O27">_xlfn.IFS($A$3=1,Global!O15,$A$3=2,'North America'!O15,$A$3=3,APAC!O15,$A$3=4,Europe!O15,$A$3=5,'Latin America'!O15,$A$3=6,MEA!O15)</f>
        <v>1277.2447921488751</v>
      </c>
      <c r="P27" s="120" cm="1">
        <f t="array" ref="P27">_xlfn.IFS($A$3=1,Global!P15,$A$3=2,'North America'!P15,$A$3=3,APAC!P15,$A$3=4,Europe!P15,$A$3=5,'Latin America'!P15,$A$3=6,MEA!P15)</f>
        <v>1472.8212110601605</v>
      </c>
      <c r="Q27" s="120" cm="1">
        <f t="array" ref="Q27">_xlfn.IFS($A$3=1,Global!Q15,$A$3=2,'North America'!Q15,$A$3=3,APAC!Q15,$A$3=4,Europe!Q15,$A$3=5,'Latin America'!Q15,$A$3=6,MEA!Q15)</f>
        <v>1701.3128593924412</v>
      </c>
      <c r="R27" s="131">
        <f t="shared" si="0"/>
        <v>0.14789331398468517</v>
      </c>
    </row>
    <row r="28" spans="1:18" s="117" customFormat="1" x14ac:dyDescent="0.35">
      <c r="A28" s="148"/>
      <c r="B28" s="113" t="s">
        <v>61</v>
      </c>
      <c r="C28" s="114"/>
      <c r="D28" s="115" cm="1">
        <f t="array" ref="D28">_xlfn.IFS($A$3=1,Global!D16,$A$3=2,'North America'!D16,$A$3=3,APAC!D16,$A$3=4,Europe!D16,$A$3=5,'Latin America'!D16,$A$3=6,MEA!D16)</f>
        <v>195.4914</v>
      </c>
      <c r="E28" s="115" cm="1">
        <f t="array" ref="E28">_xlfn.IFS($A$3=1,Global!E16,$A$3=2,'North America'!E16,$A$3=3,APAC!E16,$A$3=4,Europe!E16,$A$3=5,'Latin America'!E16,$A$3=6,MEA!E16)</f>
        <v>220.27320068790161</v>
      </c>
      <c r="F28" s="115" cm="1">
        <f t="array" ref="F28">_xlfn.IFS($A$3=1,Global!F16,$A$3=2,'North America'!F16,$A$3=3,APAC!F16,$A$3=4,Europe!F16,$A$3=5,'Latin America'!F16,$A$3=6,MEA!F16)</f>
        <v>248.48037799551543</v>
      </c>
      <c r="G28" s="115" cm="1">
        <f t="array" ref="G28">_xlfn.IFS($A$3=1,Global!G16,$A$3=2,'North America'!G16,$A$3=3,APAC!G16,$A$3=4,Europe!G16,$A$3=5,'Latin America'!G16,$A$3=6,MEA!G16)</f>
        <v>280.6293179182955</v>
      </c>
      <c r="H28" s="115" cm="1">
        <f t="array" ref="H28">_xlfn.IFS($A$3=1,Global!H16,$A$3=2,'North America'!H16,$A$3=3,APAC!H16,$A$3=4,Europe!H16,$A$3=5,'Latin America'!H16,$A$3=6,MEA!H16)</f>
        <v>317.32183788946594</v>
      </c>
      <c r="I28" s="115" cm="1">
        <f t="array" ref="I28">_xlfn.IFS($A$3=1,Global!I16,$A$3=2,'North America'!I16,$A$3=3,APAC!I16,$A$3=4,Europe!I16,$A$3=5,'Latin America'!I16,$A$3=6,MEA!I16)</f>
        <v>359.26083903634685</v>
      </c>
      <c r="J28" s="115" cm="1">
        <f t="array" ref="J28">_xlfn.IFS($A$3=1,Global!J16,$A$3=2,'North America'!J16,$A$3=3,APAC!J16,$A$3=4,Europe!J16,$A$3=5,'Latin America'!J16,$A$3=6,MEA!J16)</f>
        <v>407.26916065025489</v>
      </c>
      <c r="K28" s="115" cm="1">
        <f t="array" ref="K28">_xlfn.IFS($A$3=1,Global!K16,$A$3=2,'North America'!K16,$A$3=3,APAC!K16,$A$3=4,Europe!K16,$A$3=5,'Latin America'!K16,$A$3=6,MEA!K16)</f>
        <v>462.31237087520128</v>
      </c>
      <c r="L28" s="115" cm="1">
        <f t="array" ref="L28">_xlfn.IFS($A$3=1,Global!L16,$A$3=2,'North America'!L16,$A$3=3,APAC!L16,$A$3=4,Europe!L16,$A$3=5,'Latin America'!L16,$A$3=6,MEA!L16)</f>
        <v>525.52641536512317</v>
      </c>
      <c r="M28" s="115" cm="1">
        <f t="array" ref="M28">_xlfn.IFS($A$3=1,Global!M16,$A$3=2,'North America'!M16,$A$3=3,APAC!M16,$A$3=4,Europe!M16,$A$3=5,'Latin America'!M16,$A$3=6,MEA!M16)</f>
        <v>598.25128642906736</v>
      </c>
      <c r="N28" s="115" cm="1">
        <f t="array" ref="N28">_xlfn.IFS($A$3=1,Global!N16,$A$3=2,'North America'!N16,$A$3=3,APAC!N16,$A$3=4,Europe!N16,$A$3=5,'Latin America'!N16,$A$3=6,MEA!N16)</f>
        <v>682.07218529255033</v>
      </c>
      <c r="O28" s="115" cm="1">
        <f t="array" ref="O28">_xlfn.IFS($A$3=1,Global!O16,$A$3=2,'North America'!O16,$A$3=3,APAC!O16,$A$3=4,Europe!O16,$A$3=5,'Latin America'!O16,$A$3=6,MEA!O16)</f>
        <v>778.8700512618276</v>
      </c>
      <c r="P28" s="115" cm="1">
        <f t="array" ref="P28">_xlfn.IFS($A$3=1,Global!P16,$A$3=2,'North America'!P16,$A$3=3,APAC!P16,$A$3=4,Europe!P16,$A$3=5,'Latin America'!P16,$A$3=6,MEA!P16)</f>
        <v>890.88385279202498</v>
      </c>
      <c r="Q28" s="115" cm="1">
        <f t="array" ref="Q28">_xlfn.IFS($A$3=1,Global!Q16,$A$3=2,'North America'!Q16,$A$3=3,APAC!Q16,$A$3=4,Europe!Q16,$A$3=5,'Latin America'!Q16,$A$3=6,MEA!Q16)</f>
        <v>1020.7877156354662</v>
      </c>
      <c r="R28" s="131">
        <f t="shared" si="0"/>
        <v>0.13862763292880681</v>
      </c>
    </row>
    <row r="29" spans="1:18" s="117" customFormat="1" x14ac:dyDescent="0.35">
      <c r="A29" s="148"/>
      <c r="B29" s="113" t="s">
        <v>62</v>
      </c>
      <c r="C29" s="114"/>
      <c r="D29" s="115" cm="1">
        <f t="array" ref="D29">_xlfn.IFS($A$3=1,Global!D17,$A$3=2,'North America'!D17,$A$3=3,APAC!D17,$A$3=4,Europe!D17,$A$3=5,'Latin America'!D17,$A$3=6,MEA!D17)</f>
        <v>97.745700000000056</v>
      </c>
      <c r="E29" s="115" cm="1">
        <f t="array" ref="E29">_xlfn.IFS($A$3=1,Global!E17,$A$3=2,'North America'!E17,$A$3=3,APAC!E17,$A$3=4,Europe!E17,$A$3=5,'Latin America'!E17,$A$3=6,MEA!E17)</f>
        <v>111.27371448777841</v>
      </c>
      <c r="F29" s="115" cm="1">
        <f t="array" ref="F29">_xlfn.IFS($A$3=1,Global!F17,$A$3=2,'North America'!F17,$A$3=3,APAC!F17,$A$3=4,Europe!F17,$A$3=5,'Latin America'!F17,$A$3=6,MEA!F17)</f>
        <v>126.81888817032446</v>
      </c>
      <c r="G29" s="115" cm="1">
        <f t="array" ref="G29">_xlfn.IFS($A$3=1,Global!G17,$A$3=2,'North America'!G17,$A$3=3,APAC!G17,$A$3=4,Europe!G17,$A$3=5,'Latin America'!G17,$A$3=6,MEA!G17)</f>
        <v>144.70575450517183</v>
      </c>
      <c r="H29" s="115" cm="1">
        <f t="array" ref="H29">_xlfn.IFS($A$3=1,Global!H17,$A$3=2,'North America'!H17,$A$3=3,APAC!H17,$A$3=4,Europe!H17,$A$3=5,'Latin America'!H17,$A$3=6,MEA!H17)</f>
        <v>165.31552525673266</v>
      </c>
      <c r="I29" s="115" cm="1">
        <f t="array" ref="I29">_xlfn.IFS($A$3=1,Global!I17,$A$3=2,'North America'!I17,$A$3=3,APAC!I17,$A$3=4,Europe!I17,$A$3=5,'Latin America'!I17,$A$3=6,MEA!I17)</f>
        <v>189.09693045978642</v>
      </c>
      <c r="J29" s="115" cm="1">
        <f t="array" ref="J29">_xlfn.IFS($A$3=1,Global!J17,$A$3=2,'North America'!J17,$A$3=3,APAC!J17,$A$3=4,Europe!J17,$A$3=5,'Latin America'!J17,$A$3=6,MEA!J17)</f>
        <v>216.57934896132164</v>
      </c>
      <c r="K29" s="115" cm="1">
        <f t="array" ref="K29">_xlfn.IFS($A$3=1,Global!K17,$A$3=2,'North America'!K17,$A$3=3,APAC!K17,$A$3=4,Europe!K17,$A$3=5,'Latin America'!K17,$A$3=6,MEA!K17)</f>
        <v>248.38876724140772</v>
      </c>
      <c r="L29" s="115" cm="1">
        <f t="array" ref="L29">_xlfn.IFS($A$3=1,Global!L17,$A$3=2,'North America'!L17,$A$3=3,APAC!L17,$A$3=4,Europe!L17,$A$3=5,'Latin America'!L17,$A$3=6,MEA!L17)</f>
        <v>285.26724432622393</v>
      </c>
      <c r="M29" s="115" cm="1">
        <f t="array" ref="M29">_xlfn.IFS($A$3=1,Global!M17,$A$3=2,'North America'!M17,$A$3=3,APAC!M17,$A$3=4,Europe!M17,$A$3=5,'Latin America'!M17,$A$3=6,MEA!M17)</f>
        <v>328.09674095226273</v>
      </c>
      <c r="N29" s="115" cm="1">
        <f t="array" ref="N29">_xlfn.IFS($A$3=1,Global!N17,$A$3=2,'North America'!N17,$A$3=3,APAC!N17,$A$3=4,Europe!N17,$A$3=5,'Latin America'!N17,$A$3=6,MEA!N17)</f>
        <v>377.92840430711755</v>
      </c>
      <c r="O29" s="115" cm="1">
        <f t="array" ref="O29">_xlfn.IFS($A$3=1,Global!O17,$A$3=2,'North America'!O17,$A$3=3,APAC!O17,$A$3=4,Europe!O17,$A$3=5,'Latin America'!O17,$A$3=6,MEA!O17)</f>
        <v>436.01870248448716</v>
      </c>
      <c r="P29" s="115" cm="1">
        <f t="array" ref="P29">_xlfn.IFS($A$3=1,Global!P17,$A$3=2,'North America'!P17,$A$3=3,APAC!P17,$A$3=4,Europe!P17,$A$3=5,'Latin America'!P17,$A$3=6,MEA!P17)</f>
        <v>503.87419783215836</v>
      </c>
      <c r="Q29" s="115" cm="1">
        <f t="array" ref="Q29">_xlfn.IFS($A$3=1,Global!Q17,$A$3=2,'North America'!Q17,$A$3=3,APAC!Q17,$A$3=4,Europe!Q17,$A$3=5,'Latin America'!Q17,$A$3=6,MEA!Q17)</f>
        <v>583.30726607740928</v>
      </c>
      <c r="R29" s="131">
        <f t="shared" si="0"/>
        <v>0.15038348504641891</v>
      </c>
    </row>
    <row r="30" spans="1:18" s="117" customFormat="1" x14ac:dyDescent="0.35">
      <c r="A30" s="148"/>
      <c r="B30" s="113" t="s">
        <v>63</v>
      </c>
      <c r="C30" s="114"/>
      <c r="D30" s="115" cm="1">
        <f t="array" ref="D30">_xlfn.IFS($A$3=1,Global!D18,$A$3=2,'North America'!D18,$A$3=3,APAC!D18,$A$3=4,Europe!D18,$A$3=5,'Latin America'!D18,$A$3=6,MEA!D18)</f>
        <v>68.421989999999994</v>
      </c>
      <c r="E30" s="115" cm="1">
        <f t="array" ref="E30">_xlfn.IFS($A$3=1,Global!E18,$A$3=2,'North America'!E18,$A$3=3,APAC!E18,$A$3=4,Europe!E18,$A$3=5,'Latin America'!E18,$A$3=6,MEA!E18)</f>
        <v>77.215524173804752</v>
      </c>
      <c r="F30" s="115" cm="1">
        <f t="array" ref="F30">_xlfn.IFS($A$3=1,Global!F18,$A$3=2,'North America'!F18,$A$3=3,APAC!F18,$A$3=4,Europe!F18,$A$3=5,'Latin America'!F18,$A$3=6,MEA!F18)</f>
        <v>87.238859223748165</v>
      </c>
      <c r="G30" s="115" cm="1">
        <f t="array" ref="G30">_xlfn.IFS($A$3=1,Global!G18,$A$3=2,'North America'!G18,$A$3=3,APAC!G18,$A$3=4,Europe!G18,$A$3=5,'Latin America'!G18,$A$3=6,MEA!G18)</f>
        <v>98.679249268771514</v>
      </c>
      <c r="H30" s="115" cm="1">
        <f t="array" ref="H30">_xlfn.IFS($A$3=1,Global!H18,$A$3=2,'North America'!H18,$A$3=3,APAC!H18,$A$3=4,Europe!H18,$A$3=5,'Latin America'!H18,$A$3=6,MEA!H18)</f>
        <v>111.75518308214114</v>
      </c>
      <c r="I30" s="115" cm="1">
        <f t="array" ref="I30">_xlfn.IFS($A$3=1,Global!I18,$A$3=2,'North America'!I18,$A$3=3,APAC!I18,$A$3=4,Europe!I18,$A$3=5,'Latin America'!I18,$A$3=6,MEA!I18)</f>
        <v>126.72214352184665</v>
      </c>
      <c r="J30" s="115" cm="1">
        <f t="array" ref="J30">_xlfn.IFS($A$3=1,Global!J18,$A$3=2,'North America'!J18,$A$3=3,APAC!J18,$A$3=4,Europe!J18,$A$3=5,'Latin America'!J18,$A$3=6,MEA!J18)</f>
        <v>143.87955086035922</v>
      </c>
      <c r="K30" s="115" cm="1">
        <f t="array" ref="K30">_xlfn.IFS($A$3=1,Global!K18,$A$3=2,'North America'!K18,$A$3=3,APAC!K18,$A$3=4,Europe!K18,$A$3=5,'Latin America'!K18,$A$3=6,MEA!K18)</f>
        <v>163.57916232595028</v>
      </c>
      <c r="L30" s="115" cm="1">
        <f t="array" ref="L30">_xlfn.IFS($A$3=1,Global!L18,$A$3=2,'North America'!L18,$A$3=3,APAC!L18,$A$3=4,Europe!L18,$A$3=5,'Latin America'!L18,$A$3=6,MEA!L18)</f>
        <v>186.23527000954707</v>
      </c>
      <c r="M30" s="115" cm="1">
        <f t="array" ref="M30">_xlfn.IFS($A$3=1,Global!M18,$A$3=2,'North America'!M18,$A$3=3,APAC!M18,$A$3=4,Europe!M18,$A$3=5,'Latin America'!M18,$A$3=6,MEA!M18)</f>
        <v>212.3371289073408</v>
      </c>
      <c r="N30" s="115" cm="1">
        <f t="array" ref="N30">_xlfn.IFS($A$3=1,Global!N18,$A$3=2,'North America'!N18,$A$3=3,APAC!N18,$A$3=4,Europe!N18,$A$3=5,'Latin America'!N18,$A$3=6,MEA!N18)</f>
        <v>242.46416235944088</v>
      </c>
      <c r="O30" s="115" cm="1">
        <f t="array" ref="O30">_xlfn.IFS($A$3=1,Global!O18,$A$3=2,'North America'!O18,$A$3=3,APAC!O18,$A$3=4,Europe!O18,$A$3=5,'Latin America'!O18,$A$3=6,MEA!O18)</f>
        <v>277.30464163130807</v>
      </c>
      <c r="P30" s="115" cm="1">
        <f t="array" ref="P30">_xlfn.IFS($A$3=1,Global!P18,$A$3=2,'North America'!P18,$A$3=3,APAC!P18,$A$3=4,Europe!P18,$A$3=5,'Latin America'!P18,$A$3=6,MEA!P18)</f>
        <v>317.67873072705515</v>
      </c>
      <c r="Q30" s="115" cm="1">
        <f t="array" ref="Q30">_xlfn.IFS($A$3=1,Global!Q18,$A$3=2,'North America'!Q18,$A$3=3,APAC!Q18,$A$3=4,Europe!Q18,$A$3=5,'Latin America'!Q18,$A$3=6,MEA!Q18)</f>
        <v>364.56704129838005</v>
      </c>
      <c r="R30" s="131">
        <f t="shared" si="0"/>
        <v>0.14039849787282932</v>
      </c>
    </row>
    <row r="31" spans="1:18" s="117" customFormat="1" x14ac:dyDescent="0.35">
      <c r="A31" s="148"/>
      <c r="B31" s="113" t="s">
        <v>64</v>
      </c>
      <c r="C31" s="114"/>
      <c r="D31" s="115" cm="1">
        <f t="array" ref="D31">_xlfn.IFS($A$3=1,Global!D19,$A$3=2,'North America'!D19,$A$3=3,APAC!D19,$A$3=4,Europe!D19,$A$3=5,'Latin America'!D19,$A$3=6,MEA!D19)</f>
        <v>322.56080999999983</v>
      </c>
      <c r="E31" s="115" cm="1">
        <f t="array" ref="E31">_xlfn.IFS($A$3=1,Global!E19,$A$3=2,'North America'!E19,$A$3=3,APAC!E19,$A$3=4,Europe!E19,$A$3=5,'Latin America'!E19,$A$3=6,MEA!E19)</f>
        <v>355.37924647492332</v>
      </c>
      <c r="F31" s="115" cm="1">
        <f t="array" ref="F31">_xlfn.IFS($A$3=1,Global!F19,$A$3=2,'North America'!F19,$A$3=3,APAC!F19,$A$3=4,Europe!F19,$A$3=5,'Latin America'!F19,$A$3=6,MEA!F19)</f>
        <v>391.76164572409289</v>
      </c>
      <c r="G31" s="115" cm="1">
        <f t="array" ref="G31">_xlfn.IFS($A$3=1,Global!G19,$A$3=2,'North America'!G19,$A$3=3,APAC!G19,$A$3=4,Europe!G19,$A$3=5,'Latin America'!G19,$A$3=6,MEA!G19)</f>
        <v>432.11823673226542</v>
      </c>
      <c r="H31" s="115" cm="1">
        <f t="array" ref="H31">_xlfn.IFS($A$3=1,Global!H19,$A$3=2,'North America'!H19,$A$3=3,APAC!H19,$A$3=4,Europe!H19,$A$3=5,'Latin America'!H19,$A$3=6,MEA!H19)</f>
        <v>476.90948714695168</v>
      </c>
      <c r="I31" s="115" cm="1">
        <f t="array" ref="I31">_xlfn.IFS($A$3=1,Global!I19,$A$3=2,'North America'!I19,$A$3=3,APAC!I19,$A$3=4,Europe!I19,$A$3=5,'Latin America'!I19,$A$3=6,MEA!I19)</f>
        <v>526.65273616920456</v>
      </c>
      <c r="J31" s="115" cm="1">
        <f t="array" ref="J31">_xlfn.IFS($A$3=1,Global!J19,$A$3=2,'North America'!J19,$A$3=3,APAC!J19,$A$3=4,Europe!J19,$A$3=5,'Latin America'!J19,$A$3=6,MEA!J19)</f>
        <v>581.92978810999603</v>
      </c>
      <c r="K31" s="115" cm="1">
        <f t="array" ref="K31">_xlfn.IFS($A$3=1,Global!K19,$A$3=2,'North America'!K19,$A$3=3,APAC!K19,$A$3=4,Europe!K19,$A$3=5,'Latin America'!K19,$A$3=6,MEA!K19)</f>
        <v>643.39561969071156</v>
      </c>
      <c r="L31" s="115" cm="1">
        <f t="array" ref="L31">_xlfn.IFS($A$3=1,Global!L19,$A$3=2,'North America'!L19,$A$3=3,APAC!L19,$A$3=4,Europe!L19,$A$3=5,'Latin America'!L19,$A$3=6,MEA!L19)</f>
        <v>711.78837975035947</v>
      </c>
      <c r="M31" s="115" cm="1">
        <f t="array" ref="M31">_xlfn.IFS($A$3=1,Global!M19,$A$3=2,'North America'!M19,$A$3=3,APAC!M19,$A$3=4,Europe!M19,$A$3=5,'Latin America'!M19,$A$3=6,MEA!M19)</f>
        <v>787.94088933610874</v>
      </c>
      <c r="N31" s="115" cm="1">
        <f t="array" ref="N31">_xlfn.IFS($A$3=1,Global!N19,$A$3=2,'North America'!N19,$A$3=3,APAC!N19,$A$3=4,Europe!N19,$A$3=5,'Latin America'!N19,$A$3=6,MEA!N19)</f>
        <v>872.79388323930391</v>
      </c>
      <c r="O31" s="115" cm="1">
        <f t="array" ref="O31">_xlfn.IFS($A$3=1,Global!O19,$A$3=2,'North America'!O19,$A$3=3,APAC!O19,$A$3=4,Europe!O19,$A$3=5,'Latin America'!O19,$A$3=6,MEA!O19)</f>
        <v>967.41127055896686</v>
      </c>
      <c r="P31" s="115" cm="1">
        <f t="array" ref="P31">_xlfn.IFS($A$3=1,Global!P19,$A$3=2,'North America'!P19,$A$3=3,APAC!P19,$A$3=4,Europe!P19,$A$3=5,'Latin America'!P19,$A$3=6,MEA!P19)</f>
        <v>1072.9977308327302</v>
      </c>
      <c r="Q31" s="115" cm="1">
        <f t="array" ref="Q31">_xlfn.IFS($A$3=1,Global!Q19,$A$3=2,'North America'!Q19,$A$3=3,APAC!Q19,$A$3=4,Europe!Q19,$A$3=5,'Latin America'!Q19,$A$3=6,MEA!Q19)</f>
        <v>1190.919001574711</v>
      </c>
      <c r="R31" s="131">
        <f t="shared" si="0"/>
        <v>0.10703332812385387</v>
      </c>
    </row>
    <row r="32" spans="1:18" x14ac:dyDescent="0.35">
      <c r="A32" s="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21"/>
    </row>
    <row r="33" spans="1:18" s="117" customFormat="1" x14ac:dyDescent="0.35">
      <c r="A33" s="149" t="s">
        <v>65</v>
      </c>
      <c r="B33" s="122" t="s">
        <v>66</v>
      </c>
      <c r="C33" s="123"/>
      <c r="D33" s="124" cm="1">
        <f t="array" ref="D33">_xlfn.IFS($A$3=1,Global!D21,$A$3=2,'North America'!D21,$A$3=3,APAC!D21,$A$3=4,Europe!D21,$A$3=5,'Latin America'!D21,$A$3=6,MEA!D21)</f>
        <v>684.21989999999983</v>
      </c>
      <c r="E33" s="124" cm="1">
        <f t="array" ref="E33">_xlfn.IFS($A$3=1,Global!E21,$A$3=2,'North America'!E21,$A$3=3,APAC!E21,$A$3=4,Europe!E21,$A$3=5,'Latin America'!E21,$A$3=6,MEA!E21)</f>
        <v>768.15256076925004</v>
      </c>
      <c r="F33" s="124" cm="1">
        <f t="array" ref="F33">_xlfn.IFS($A$3=1,Global!F21,$A$3=2,'North America'!F21,$A$3=3,APAC!F21,$A$3=4,Europe!F21,$A$3=5,'Latin America'!F21,$A$3=6,MEA!F21)</f>
        <v>863.36748753506549</v>
      </c>
      <c r="G33" s="124" cm="1">
        <f t="array" ref="G33">_xlfn.IFS($A$3=1,Global!G21,$A$3=2,'North America'!G21,$A$3=3,APAC!G21,$A$3=4,Europe!G21,$A$3=5,'Latin America'!G21,$A$3=6,MEA!G21)</f>
        <v>971.5259318117154</v>
      </c>
      <c r="H33" s="124" cm="1">
        <f t="array" ref="H33">_xlfn.IFS($A$3=1,Global!H21,$A$3=2,'North America'!H21,$A$3=3,APAC!H21,$A$3=4,Europe!H21,$A$3=5,'Latin America'!H21,$A$3=6,MEA!H21)</f>
        <v>1094.5587516186306</v>
      </c>
      <c r="I33" s="124" cm="1">
        <f t="array" ref="I33">_xlfn.IFS($A$3=1,Global!I21,$A$3=2,'North America'!I21,$A$3=3,APAC!I21,$A$3=4,Europe!I21,$A$3=5,'Latin America'!I21,$A$3=6,MEA!I21)</f>
        <v>1234.7150777744682</v>
      </c>
      <c r="J33" s="124" cm="1">
        <f t="array" ref="J33">_xlfn.IFS($A$3=1,Global!J21,$A$3=2,'North America'!J21,$A$3=3,APAC!J21,$A$3=4,Europe!J21,$A$3=5,'Latin America'!J21,$A$3=6,MEA!J21)</f>
        <v>1394.6208285478533</v>
      </c>
      <c r="K33" s="124" cm="1">
        <f t="array" ref="K33">_xlfn.IFS($A$3=1,Global!K21,$A$3=2,'North America'!K21,$A$3=3,APAC!K21,$A$3=4,Europe!K21,$A$3=5,'Latin America'!K21,$A$3=6,MEA!K21)</f>
        <v>1577.3493122957084</v>
      </c>
      <c r="L33" s="124" cm="1">
        <f t="array" ref="L33">_xlfn.IFS($A$3=1,Global!L21,$A$3=2,'North America'!L21,$A$3=3,APAC!L21,$A$3=4,Europe!L21,$A$3=5,'Latin America'!L21,$A$3=6,MEA!L21)</f>
        <v>1786.5067270070301</v>
      </c>
      <c r="M33" s="124" cm="1">
        <f t="array" ref="M33">_xlfn.IFS($A$3=1,Global!M21,$A$3=2,'North America'!M21,$A$3=3,APAC!M21,$A$3=4,Europe!M21,$A$3=5,'Latin America'!M21,$A$3=6,MEA!M21)</f>
        <v>2026.3360948173251</v>
      </c>
      <c r="N33" s="124" cm="1">
        <f t="array" ref="N33">_xlfn.IFS($A$3=1,Global!N21,$A$3=2,'North America'!N21,$A$3=3,APAC!N21,$A$3=4,Europe!N21,$A$3=5,'Latin America'!N21,$A$3=6,MEA!N21)</f>
        <v>2301.8441074566135</v>
      </c>
      <c r="O33" s="124" cm="1">
        <f t="array" ref="O33">_xlfn.IFS($A$3=1,Global!O21,$A$3=2,'North America'!O21,$A$3=3,APAC!O21,$A$3=4,Europe!O21,$A$3=5,'Latin America'!O21,$A$3=6,MEA!O21)</f>
        <v>2618.9565702012819</v>
      </c>
      <c r="P33" s="124" cm="1">
        <f t="array" ref="P33">_xlfn.IFS($A$3=1,Global!P21,$A$3=2,'North America'!P21,$A$3=3,APAC!P21,$A$3=4,Europe!P21,$A$3=5,'Latin America'!P21,$A$3=6,MEA!P21)</f>
        <v>2984.7097038615775</v>
      </c>
      <c r="Q33" s="124" cm="1">
        <f t="array" ref="Q33">_xlfn.IFS($A$3=1,Global!Q21,$A$3=2,'North America'!Q21,$A$3=3,APAC!Q21,$A$3=4,Europe!Q21,$A$3=5,'Latin America'!Q21,$A$3=6,MEA!Q21)</f>
        <v>3407.4866126688635</v>
      </c>
      <c r="R33" s="131">
        <f>RATE(9,,-H33,Q33)</f>
        <v>0.13448681632348877</v>
      </c>
    </row>
    <row r="34" spans="1:18" s="117" customFormat="1" x14ac:dyDescent="0.35">
      <c r="A34" s="149"/>
      <c r="B34" s="122" t="s">
        <v>67</v>
      </c>
      <c r="C34" s="123"/>
      <c r="D34" s="124" cm="1">
        <f t="array" ref="D34">_xlfn.IFS($A$3=1,Global!D22,$A$3=2,'North America'!D22,$A$3=3,APAC!D22,$A$3=4,Europe!D22,$A$3=5,'Latin America'!D22,$A$3=6,MEA!D22)</f>
        <v>195.4914</v>
      </c>
      <c r="E34" s="124" cm="1">
        <f t="array" ref="E34">_xlfn.IFS($A$3=1,Global!E22,$A$3=2,'North America'!E22,$A$3=3,APAC!E22,$A$3=4,Europe!E22,$A$3=5,'Latin America'!E22,$A$3=6,MEA!E22)</f>
        <v>219.53244814425</v>
      </c>
      <c r="F34" s="124" cm="1">
        <f t="array" ref="F34">_xlfn.IFS($A$3=1,Global!F22,$A$3=2,'North America'!F22,$A$3=3,APAC!F22,$A$3=4,Europe!F22,$A$3=5,'Latin America'!F22,$A$3=6,MEA!F22)</f>
        <v>246.81193172558125</v>
      </c>
      <c r="G34" s="124" cm="1">
        <f t="array" ref="G34">_xlfn.IFS($A$3=1,Global!G22,$A$3=2,'North America'!G22,$A$3=3,APAC!G22,$A$3=4,Europe!G22,$A$3=5,'Latin America'!G22,$A$3=6,MEA!G22)</f>
        <v>277.80753603272495</v>
      </c>
      <c r="H34" s="124" cm="1">
        <f t="array" ref="H34">_xlfn.IFS($A$3=1,Global!H22,$A$3=2,'North America'!H22,$A$3=3,APAC!H22,$A$3=4,Europe!H22,$A$3=5,'Latin America'!H22,$A$3=6,MEA!H22)</f>
        <v>313.07458141640092</v>
      </c>
      <c r="I34" s="124" cm="1">
        <f t="array" ref="I34">_xlfn.IFS($A$3=1,Global!I22,$A$3=2,'North America'!I22,$A$3=3,APAC!I22,$A$3=4,Europe!I22,$A$3=5,'Latin America'!I22,$A$3=6,MEA!I22)</f>
        <v>353.26005245496867</v>
      </c>
      <c r="J34" s="124" cm="1">
        <f t="array" ref="J34">_xlfn.IFS($A$3=1,Global!J22,$A$3=2,'North America'!J22,$A$3=3,APAC!J22,$A$3=4,Europe!J22,$A$3=5,'Latin America'!J22,$A$3=6,MEA!J22)</f>
        <v>399.11946839399366</v>
      </c>
      <c r="K34" s="124" cm="1">
        <f t="array" ref="K34">_xlfn.IFS($A$3=1,Global!K22,$A$3=2,'North America'!K22,$A$3=3,APAC!K22,$A$3=4,Europe!K22,$A$3=5,'Latin America'!K22,$A$3=6,MEA!K22)</f>
        <v>451.53724136981583</v>
      </c>
      <c r="L34" s="124" cm="1">
        <f t="array" ref="L34">_xlfn.IFS($A$3=1,Global!L22,$A$3=2,'North America'!L22,$A$3=3,APAC!L22,$A$3=4,Europe!L22,$A$3=5,'Latin America'!L22,$A$3=6,MEA!L22)</f>
        <v>511.55133333710307</v>
      </c>
      <c r="M34" s="124" cm="1">
        <f t="array" ref="M34">_xlfn.IFS($A$3=1,Global!M22,$A$3=2,'North America'!M22,$A$3=3,APAC!M22,$A$3=4,Europe!M22,$A$3=5,'Latin America'!M22,$A$3=6,MEA!M22)</f>
        <v>580.38323321752137</v>
      </c>
      <c r="N34" s="124" cm="1">
        <f t="array" ref="N34">_xlfn.IFS($A$3=1,Global!N22,$A$3=2,'North America'!N22,$A$3=3,APAC!N22,$A$3=4,Europe!N22,$A$3=5,'Latin America'!N22,$A$3=6,MEA!N22)</f>
        <v>659.47454670271816</v>
      </c>
      <c r="O34" s="124" cm="1">
        <f t="array" ref="O34">_xlfn.IFS($A$3=1,Global!O22,$A$3=2,'North America'!O22,$A$3=3,APAC!O22,$A$3=4,Europe!O22,$A$3=5,'Latin America'!O22,$A$3=6,MEA!O22)</f>
        <v>750.53184115854981</v>
      </c>
      <c r="P34" s="124" cm="1">
        <f t="array" ref="P34">_xlfn.IFS($A$3=1,Global!P22,$A$3=2,'North America'!P22,$A$3=3,APAC!P22,$A$3=4,Europe!P22,$A$3=5,'Latin America'!P22,$A$3=6,MEA!P22)</f>
        <v>855.58184223951275</v>
      </c>
      <c r="Q34" s="124" cm="1">
        <f t="array" ref="Q34">_xlfn.IFS($A$3=1,Global!Q22,$A$3=2,'North America'!Q22,$A$3=3,APAC!Q22,$A$3=4,Europe!Q22,$A$3=5,'Latin America'!Q22,$A$3=6,MEA!Q22)</f>
        <v>977.03967067966005</v>
      </c>
      <c r="R34" s="131">
        <f>RATE(9,,-H34,Q34)</f>
        <v>0.13479722589413279</v>
      </c>
    </row>
    <row r="35" spans="1:18" s="117" customFormat="1" x14ac:dyDescent="0.35">
      <c r="A35" s="149"/>
      <c r="B35" s="122" t="s">
        <v>68</v>
      </c>
      <c r="C35" s="123"/>
      <c r="D35" s="124" cm="1">
        <f t="array" ref="D35">_xlfn.IFS($A$3=1,Global!D23,$A$3=2,'North America'!D23,$A$3=3,APAC!D23,$A$3=4,Europe!D23,$A$3=5,'Latin America'!D23,$A$3=6,MEA!D23)</f>
        <v>97.74570000000007</v>
      </c>
      <c r="E35" s="124" cm="1">
        <f t="array" ref="E35">_xlfn.IFS($A$3=1,Global!E23,$A$3=2,'North America'!E23,$A$3=3,APAC!E23,$A$3=4,Europe!E23,$A$3=5,'Latin America'!E23,$A$3=6,MEA!E23)</f>
        <v>109.5552163365001</v>
      </c>
      <c r="F35" s="124" cm="1">
        <f t="array" ref="F35">_xlfn.IFS($A$3=1,Global!F23,$A$3=2,'North America'!F23,$A$3=3,APAC!F23,$A$3=4,Europe!F23,$A$3=5,'Latin America'!F23,$A$3=6,MEA!F23)</f>
        <v>122.93169235832185</v>
      </c>
      <c r="G35" s="124" cm="1">
        <f t="array" ref="G35">_xlfn.IFS($A$3=1,Global!G23,$A$3=2,'North America'!G23,$A$3=3,APAC!G23,$A$3=4,Europe!G23,$A$3=5,'Latin America'!G23,$A$3=6,MEA!G23)</f>
        <v>138.10332371354062</v>
      </c>
      <c r="H35" s="124" cm="1">
        <f t="array" ref="H35">_xlfn.IFS($A$3=1,Global!H23,$A$3=2,'North America'!H23,$A$3=3,APAC!H23,$A$3=4,Europe!H23,$A$3=5,'Latin America'!H23,$A$3=6,MEA!H23)</f>
        <v>155.33500736942784</v>
      </c>
      <c r="I35" s="124" cm="1">
        <f t="array" ref="I35">_xlfn.IFS($A$3=1,Global!I23,$A$3=2,'North America'!I23,$A$3=3,APAC!I23,$A$3=4,Europe!I23,$A$3=5,'Latin America'!I23,$A$3=6,MEA!I23)</f>
        <v>174.93492040956224</v>
      </c>
      <c r="J35" s="124" cm="1">
        <f t="array" ref="J35">_xlfn.IFS($A$3=1,Global!J23,$A$3=2,'North America'!J23,$A$3=3,APAC!J23,$A$3=4,Europe!J23,$A$3=5,'Latin America'!J23,$A$3=6,MEA!J23)</f>
        <v>197.26242336587273</v>
      </c>
      <c r="K35" s="124" cm="1">
        <f t="array" ref="K35">_xlfn.IFS($A$3=1,Global!K23,$A$3=2,'North America'!K23,$A$3=3,APAC!K23,$A$3=4,Europe!K23,$A$3=5,'Latin America'!K23,$A$3=6,MEA!K23)</f>
        <v>222.73758818626143</v>
      </c>
      <c r="L35" s="124" cm="1">
        <f t="array" ref="L35">_xlfn.IFS($A$3=1,Global!L23,$A$3=2,'North America'!L23,$A$3=3,APAC!L23,$A$3=4,Europe!L23,$A$3=5,'Latin America'!L23,$A$3=6,MEA!L23)</f>
        <v>251.85272699572116</v>
      </c>
      <c r="M35" s="124" cm="1">
        <f t="array" ref="M35">_xlfn.IFS($A$3=1,Global!M23,$A$3=2,'North America'!M23,$A$3=3,APAC!M23,$A$3=4,Europe!M23,$A$3=5,'Latin America'!M23,$A$3=6,MEA!M23)</f>
        <v>285.18639516476145</v>
      </c>
      <c r="N35" s="124" cm="1">
        <f t="array" ref="N35">_xlfn.IFS($A$3=1,Global!N23,$A$3=2,'North America'!N23,$A$3=3,APAC!N23,$A$3=4,Europe!N23,$A$3=5,'Latin America'!N23,$A$3=6,MEA!N23)</f>
        <v>323.42046734845957</v>
      </c>
      <c r="O35" s="124" cm="1">
        <f t="array" ref="O35">_xlfn.IFS($A$3=1,Global!O23,$A$3=2,'North America'!O23,$A$3=3,APAC!O23,$A$3=4,Europe!O23,$A$3=5,'Latin America'!O23,$A$3=6,MEA!O23)</f>
        <v>367.36104672563306</v>
      </c>
      <c r="P35" s="124" cm="1">
        <f t="array" ref="P35">_xlfn.IFS($A$3=1,Global!P23,$A$3=2,'North America'!P23,$A$3=3,APAC!P23,$A$3=4,Europe!P23,$A$3=5,'Latin America'!P23,$A$3=6,MEA!P23)</f>
        <v>417.96417714303959</v>
      </c>
      <c r="Q35" s="124" cm="1">
        <f t="array" ref="Q35">_xlfn.IFS($A$3=1,Global!Q23,$A$3=2,'North America'!Q23,$A$3=3,APAC!Q23,$A$3=4,Europe!Q23,$A$3=5,'Latin America'!Q23,$A$3=6,MEA!Q23)</f>
        <v>476.36760062988441</v>
      </c>
      <c r="R35" s="131">
        <f>RATE(9,,-H35,Q35)</f>
        <v>0.13259532258279538</v>
      </c>
    </row>
    <row r="36" spans="1:18" x14ac:dyDescent="0.35">
      <c r="A36" s="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21"/>
    </row>
    <row r="37" spans="1:18" s="117" customFormat="1" x14ac:dyDescent="0.35">
      <c r="A37" s="149" t="s">
        <v>69</v>
      </c>
      <c r="B37" s="125" t="s">
        <v>70</v>
      </c>
      <c r="C37" s="126"/>
      <c r="D37" s="127" cm="1">
        <f t="array" ref="D37">_xlfn.IFS($A$3=1,Global!D25,$A$3=2,'North America'!D25,$A$3=3,APAC!D25,$A$3=4,Europe!D25,$A$3=5,'Latin America'!D25,$A$3=6,MEA!D25)</f>
        <v>293.23709999999988</v>
      </c>
      <c r="E37" s="127" cm="1">
        <f t="array" ref="E37">_xlfn.IFS($A$3=1,Global!E25,$A$3=2,'North America'!E25,$A$3=3,APAC!E25,$A$3=4,Europe!E25,$A$3=5,'Latin America'!E25,$A$3=6,MEA!E25)</f>
        <v>331.82519503669135</v>
      </c>
      <c r="F37" s="127" cm="1">
        <f t="array" ref="F37">_xlfn.IFS($A$3=1,Global!F25,$A$3=2,'North America'!F25,$A$3=3,APAC!F25,$A$3=4,Europe!F25,$A$3=5,'Latin America'!F25,$A$3=6,MEA!F25)</f>
        <v>375.92069237533457</v>
      </c>
      <c r="G37" s="127" cm="1">
        <f t="array" ref="G37">_xlfn.IFS($A$3=1,Global!G25,$A$3=2,'North America'!G25,$A$3=3,APAC!G25,$A$3=4,Europe!G25,$A$3=5,'Latin America'!G25,$A$3=6,MEA!G25)</f>
        <v>426.37684379603473</v>
      </c>
      <c r="H37" s="127" cm="1">
        <f t="array" ref="H37">_xlfn.IFS($A$3=1,Global!H25,$A$3=2,'North America'!H25,$A$3=3,APAC!H25,$A$3=4,Europe!H25,$A$3=5,'Latin America'!H25,$A$3=6,MEA!H25)</f>
        <v>484.19128432011877</v>
      </c>
      <c r="I37" s="127" cm="1">
        <f t="array" ref="I37">_xlfn.IFS($A$3=1,Global!I25,$A$3=2,'North America'!I25,$A$3=3,APAC!I25,$A$3=4,Europe!I25,$A$3=5,'Latin America'!I25,$A$3=6,MEA!I25)</f>
        <v>550.53295799877787</v>
      </c>
      <c r="J37" s="127" cm="1">
        <f t="array" ref="J37">_xlfn.IFS($A$3=1,Global!J25,$A$3=2,'North America'!J25,$A$3=3,APAC!J25,$A$3=4,Europe!J25,$A$3=5,'Latin America'!J25,$A$3=6,MEA!J25)</f>
        <v>626.77462544113837</v>
      </c>
      <c r="K37" s="127" cm="1">
        <f t="array" ref="K37">_xlfn.IFS($A$3=1,Global!K25,$A$3=2,'North America'!K25,$A$3=3,APAC!K25,$A$3=4,Europe!K25,$A$3=5,'Latin America'!K25,$A$3=6,MEA!K25)</f>
        <v>714.5322449187895</v>
      </c>
      <c r="L37" s="127" cm="1">
        <f t="array" ref="L37">_xlfn.IFS($A$3=1,Global!L25,$A$3=2,'North America'!L25,$A$3=3,APAC!L25,$A$3=4,Europe!L25,$A$3=5,'Latin America'!L25,$A$3=6,MEA!L25)</f>
        <v>815.71285181603309</v>
      </c>
      <c r="M37" s="127" cm="1">
        <f t="array" ref="M37">_xlfn.IFS($A$3=1,Global!M25,$A$3=2,'North America'!M25,$A$3=3,APAC!M25,$A$3=4,Europe!M25,$A$3=5,'Latin America'!M25,$A$3=6,MEA!M25)</f>
        <v>932.57298880277017</v>
      </c>
      <c r="N37" s="127" cm="1">
        <f t="array" ref="N37">_xlfn.IFS($A$3=1,Global!N25,$A$3=2,'North America'!N25,$A$3=3,APAC!N25,$A$3=4,Europe!N25,$A$3=5,'Latin America'!N25,$A$3=6,MEA!N25)</f>
        <v>1067.7902907222185</v>
      </c>
      <c r="O37" s="127" cm="1">
        <f t="array" ref="O37">_xlfn.IFS($A$3=1,Global!O25,$A$3=2,'North America'!O25,$A$3=3,APAC!O25,$A$3=4,Europe!O25,$A$3=5,'Latin America'!O25,$A$3=6,MEA!O25)</f>
        <v>1224.5515429161658</v>
      </c>
      <c r="P37" s="127" cm="1">
        <f t="array" ref="P37">_xlfn.IFS($A$3=1,Global!P25,$A$3=2,'North America'!P25,$A$3=3,APAC!P25,$A$3=4,Europe!P25,$A$3=5,'Latin America'!P25,$A$3=6,MEA!P25)</f>
        <v>1406.6614619059958</v>
      </c>
      <c r="Q37" s="127" cm="1">
        <f t="array" ref="Q37">_xlfn.IFS($A$3=1,Global!Q25,$A$3=2,'North America'!Q25,$A$3=3,APAC!Q25,$A$3=4,Europe!Q25,$A$3=5,'Latin America'!Q25,$A$3=6,MEA!Q25)</f>
        <v>1618.677663364809</v>
      </c>
      <c r="R37" s="131">
        <f>RATE(9,,-H37,Q37)</f>
        <v>0.1435052325690791</v>
      </c>
    </row>
    <row r="38" spans="1:18" s="117" customFormat="1" x14ac:dyDescent="0.35">
      <c r="A38" s="149"/>
      <c r="B38" s="125" t="s">
        <v>71</v>
      </c>
      <c r="C38" s="126"/>
      <c r="D38" s="127" cm="1">
        <f t="array" ref="D38">_xlfn.IFS($A$3=1,Global!D26,$A$3=2,'North America'!D26,$A$3=3,APAC!D26,$A$3=4,Europe!D26,$A$3=5,'Latin America'!D26,$A$3=6,MEA!D26)</f>
        <v>195.49140000000003</v>
      </c>
      <c r="E38" s="127" cm="1">
        <f t="array" ref="E38">_xlfn.IFS($A$3=1,Global!E26,$A$3=2,'North America'!E26,$A$3=3,APAC!E26,$A$3=4,Europe!E26,$A$3=5,'Latin America'!E26,$A$3=6,MEA!E26)</f>
        <v>221.06285215596486</v>
      </c>
      <c r="F38" s="127" cm="1">
        <f t="array" ref="F38">_xlfn.IFS($A$3=1,Global!F26,$A$3=2,'North America'!F26,$A$3=3,APAC!F26,$A$3=4,Europe!F26,$A$3=5,'Latin America'!F26,$A$3=6,MEA!F26)</f>
        <v>250.26511253261401</v>
      </c>
      <c r="G38" s="127" cm="1">
        <f t="array" ref="G38">_xlfn.IFS($A$3=1,Global!G26,$A$3=2,'North America'!G26,$A$3=3,APAC!G26,$A$3=4,Europe!G26,$A$3=5,'Latin America'!G26,$A$3=6,MEA!G26)</f>
        <v>283.65821167864789</v>
      </c>
      <c r="H38" s="127" cm="1">
        <f t="array" ref="H38">_xlfn.IFS($A$3=1,Global!H26,$A$3=2,'North America'!H26,$A$3=3,APAC!H26,$A$3=4,Europe!H26,$A$3=5,'Latin America'!H26,$A$3=6,MEA!H26)</f>
        <v>321.89659849703179</v>
      </c>
      <c r="I38" s="127" cm="1">
        <f t="array" ref="I38">_xlfn.IFS($A$3=1,Global!I26,$A$3=2,'North America'!I26,$A$3=3,APAC!I26,$A$3=4,Europe!I26,$A$3=5,'Latin America'!I26,$A$3=6,MEA!I26)</f>
        <v>365.74669714634632</v>
      </c>
      <c r="J38" s="127" cm="1">
        <f t="array" ref="J38">_xlfn.IFS($A$3=1,Global!J26,$A$3=2,'North America'!J26,$A$3=3,APAC!J26,$A$3=4,Europe!J26,$A$3=5,'Latin America'!J26,$A$3=6,MEA!J26)</f>
        <v>416.10809559482732</v>
      </c>
      <c r="K38" s="127" cm="1">
        <f t="array" ref="K38">_xlfn.IFS($A$3=1,Global!K26,$A$3=2,'North America'!K26,$A$3=3,APAC!K26,$A$3=4,Europe!K26,$A$3=5,'Latin America'!K26,$A$3=6,MEA!K26)</f>
        <v>474.0392049947406</v>
      </c>
      <c r="L38" s="127" cm="1">
        <f t="array" ref="L38">_xlfn.IFS($A$3=1,Global!L26,$A$3=2,'North America'!L26,$A$3=3,APAC!L26,$A$3=4,Europe!L26,$A$3=5,'Latin America'!L26,$A$3=6,MEA!L26)</f>
        <v>540.78844504551728</v>
      </c>
      <c r="M38" s="127" cm="1">
        <f t="array" ref="M38">_xlfn.IFS($A$3=1,Global!M26,$A$3=2,'North America'!M26,$A$3=3,APAC!M26,$A$3=4,Europe!M26,$A$3=5,'Latin America'!M26,$A$3=6,MEA!M26)</f>
        <v>617.8322878700244</v>
      </c>
      <c r="N38" s="127" cm="1">
        <f t="array" ref="N38">_xlfn.IFS($A$3=1,Global!N26,$A$3=2,'North America'!N26,$A$3=3,APAC!N26,$A$3=4,Europe!N26,$A$3=5,'Latin America'!N26,$A$3=6,MEA!N26)</f>
        <v>706.92185062690862</v>
      </c>
      <c r="O38" s="127" cm="1">
        <f t="array" ref="O38">_xlfn.IFS($A$3=1,Global!O26,$A$3=2,'North America'!O26,$A$3=3,APAC!O26,$A$3=4,Europe!O26,$A$3=5,'Latin America'!O26,$A$3=6,MEA!O26)</f>
        <v>810.14019043077167</v>
      </c>
      <c r="P38" s="127" cm="1">
        <f t="array" ref="P38">_xlfn.IFS($A$3=1,Global!P26,$A$3=2,'North America'!P26,$A$3=3,APAC!P26,$A$3=4,Europe!P26,$A$3=5,'Latin America'!P26,$A$3=6,MEA!P26)</f>
        <v>929.97305801752054</v>
      </c>
      <c r="Q38" s="127" cm="1">
        <f t="array" ref="Q38">_xlfn.IFS($A$3=1,Global!Q26,$A$3=2,'North America'!Q26,$A$3=3,APAC!Q26,$A$3=4,Europe!Q26,$A$3=5,'Latin America'!Q26,$A$3=6,MEA!Q26)</f>
        <v>1069.39665447525</v>
      </c>
      <c r="R38" s="131">
        <f>RATE(9,,-H38,Q38)</f>
        <v>0.14270946848553234</v>
      </c>
    </row>
    <row r="39" spans="1:18" s="117" customFormat="1" x14ac:dyDescent="0.35">
      <c r="A39" s="149"/>
      <c r="B39" s="125" t="s">
        <v>72</v>
      </c>
      <c r="C39" s="126"/>
      <c r="D39" s="127" cm="1">
        <f t="array" ref="D39">_xlfn.IFS($A$3=1,Global!D27,$A$3=2,'North America'!D27,$A$3=3,APAC!D27,$A$3=4,Europe!D27,$A$3=5,'Latin America'!D27,$A$3=6,MEA!D27)</f>
        <v>146.61854999999997</v>
      </c>
      <c r="E39" s="127" cm="1">
        <f t="array" ref="E39">_xlfn.IFS($A$3=1,Global!E27,$A$3=2,'North America'!E27,$A$3=3,APAC!E27,$A$3=4,Europe!E27,$A$3=5,'Latin America'!E27,$A$3=6,MEA!E27)</f>
        <v>165.7971391169736</v>
      </c>
      <c r="F39" s="127" cm="1">
        <f t="array" ref="F39">_xlfn.IFS($A$3=1,Global!F27,$A$3=2,'North America'!F27,$A$3=3,APAC!F27,$A$3=4,Europe!F27,$A$3=5,'Latin America'!F27,$A$3=6,MEA!F27)</f>
        <v>187.69883439946048</v>
      </c>
      <c r="G39" s="127" cm="1">
        <f t="array" ref="G39">_xlfn.IFS($A$3=1,Global!G27,$A$3=2,'North America'!G27,$A$3=3,APAC!G27,$A$3=4,Europe!G27,$A$3=5,'Latin America'!G27,$A$3=6,MEA!G27)</f>
        <v>212.7436587589859</v>
      </c>
      <c r="H39" s="127" cm="1">
        <f t="array" ref="H39">_xlfn.IFS($A$3=1,Global!H27,$A$3=2,'North America'!H27,$A$3=3,APAC!H27,$A$3=4,Europe!H27,$A$3=5,'Latin America'!H27,$A$3=6,MEA!H27)</f>
        <v>241.42244887277383</v>
      </c>
      <c r="I39" s="127" cm="1">
        <f t="array" ref="I39">_xlfn.IFS($A$3=1,Global!I27,$A$3=2,'North America'!I27,$A$3=3,APAC!I27,$A$3=4,Europe!I27,$A$3=5,'Latin America'!I27,$A$3=6,MEA!I27)</f>
        <v>274.31002285975973</v>
      </c>
      <c r="J39" s="127" cm="1">
        <f t="array" ref="J39">_xlfn.IFS($A$3=1,Global!J27,$A$3=2,'North America'!J27,$A$3=3,APAC!J27,$A$3=4,Europe!J27,$A$3=5,'Latin America'!J27,$A$3=6,MEA!J27)</f>
        <v>312.08107169612043</v>
      </c>
      <c r="K39" s="127" cm="1">
        <f t="array" ref="K39">_xlfn.IFS($A$3=1,Global!K27,$A$3=2,'North America'!K27,$A$3=3,APAC!K27,$A$3=4,Europe!K27,$A$3=5,'Latin America'!K27,$A$3=6,MEA!K27)</f>
        <v>355.52940374605544</v>
      </c>
      <c r="L39" s="127" cm="1">
        <f t="array" ref="L39">_xlfn.IFS($A$3=1,Global!L27,$A$3=2,'North America'!L27,$A$3=3,APAC!L27,$A$3=4,Europe!L27,$A$3=5,'Latin America'!L27,$A$3=6,MEA!L27)</f>
        <v>405.59133378413782</v>
      </c>
      <c r="M39" s="127" cm="1">
        <f t="array" ref="M39">_xlfn.IFS($A$3=1,Global!M27,$A$3=2,'North America'!M27,$A$3=3,APAC!M27,$A$3=4,Europe!M27,$A$3=5,'Latin America'!M27,$A$3=6,MEA!M27)</f>
        <v>463.3742159025183</v>
      </c>
      <c r="N39" s="127" cm="1">
        <f t="array" ref="N39">_xlfn.IFS($A$3=1,Global!N27,$A$3=2,'North America'!N27,$A$3=3,APAC!N27,$A$3=4,Europe!N27,$A$3=5,'Latin America'!N27,$A$3=6,MEA!N27)</f>
        <v>530.19138797018127</v>
      </c>
      <c r="O39" s="127" cm="1">
        <f t="array" ref="O39">_xlfn.IFS($A$3=1,Global!O27,$A$3=2,'North America'!O27,$A$3=3,APAC!O27,$A$3=4,Europe!O27,$A$3=5,'Latin America'!O27,$A$3=6,MEA!O27)</f>
        <v>607.60514282307861</v>
      </c>
      <c r="P39" s="127" cm="1">
        <f t="array" ref="P39">_xlfn.IFS($A$3=1,Global!P27,$A$3=2,'North America'!P27,$A$3=3,APAC!P27,$A$3=4,Europe!P27,$A$3=5,'Latin America'!P27,$A$3=6,MEA!P27)</f>
        <v>697.47979351314029</v>
      </c>
      <c r="Q39" s="127" cm="1">
        <f t="array" ref="Q39">_xlfn.IFS($A$3=1,Global!Q27,$A$3=2,'North America'!Q27,$A$3=3,APAC!Q27,$A$3=4,Europe!Q27,$A$3=5,'Latin America'!Q27,$A$3=6,MEA!Q27)</f>
        <v>802.04749085643732</v>
      </c>
      <c r="R39" s="131">
        <f>RATE(9,,-H39,Q39)</f>
        <v>0.14270946848553229</v>
      </c>
    </row>
    <row r="40" spans="1:18" s="117" customFormat="1" x14ac:dyDescent="0.35">
      <c r="A40" s="149"/>
      <c r="B40" s="125" t="s">
        <v>73</v>
      </c>
      <c r="C40" s="126"/>
      <c r="D40" s="127" cm="1">
        <f t="array" ref="D40">_xlfn.IFS($A$3=1,Global!D28,$A$3=2,'North America'!D28,$A$3=3,APAC!D28,$A$3=4,Europe!D28,$A$3=5,'Latin America'!D28,$A$3=6,MEA!D28)</f>
        <v>68.421989999999994</v>
      </c>
      <c r="E40" s="127" cm="1">
        <f t="array" ref="E40">_xlfn.IFS($A$3=1,Global!E28,$A$3=2,'North America'!E28,$A$3=3,APAC!E28,$A$3=4,Europe!E28,$A$3=5,'Latin America'!E28,$A$3=6,MEA!E28)</f>
        <v>77.215524173804752</v>
      </c>
      <c r="F40" s="127" cm="1">
        <f t="array" ref="F40">_xlfn.IFS($A$3=1,Global!F28,$A$3=2,'North America'!F28,$A$3=3,APAC!F28,$A$3=4,Europe!F28,$A$3=5,'Latin America'!F28,$A$3=6,MEA!F28)</f>
        <v>87.238859223748165</v>
      </c>
      <c r="G40" s="127" cm="1">
        <f t="array" ref="G40">_xlfn.IFS($A$3=1,Global!G28,$A$3=2,'North America'!G28,$A$3=3,APAC!G28,$A$3=4,Europe!G28,$A$3=5,'Latin America'!G28,$A$3=6,MEA!G28)</f>
        <v>98.679249268771514</v>
      </c>
      <c r="H40" s="127" cm="1">
        <f t="array" ref="H40">_xlfn.IFS($A$3=1,Global!H28,$A$3=2,'North America'!H28,$A$3=3,APAC!H28,$A$3=4,Europe!H28,$A$3=5,'Latin America'!H28,$A$3=6,MEA!H28)</f>
        <v>111.75518308214114</v>
      </c>
      <c r="I40" s="127" cm="1">
        <f t="array" ref="I40">_xlfn.IFS($A$3=1,Global!I28,$A$3=2,'North America'!I28,$A$3=3,APAC!I28,$A$3=4,Europe!I28,$A$3=5,'Latin America'!I28,$A$3=6,MEA!I28)</f>
        <v>126.72214352184665</v>
      </c>
      <c r="J40" s="127" cm="1">
        <f t="array" ref="J40">_xlfn.IFS($A$3=1,Global!J28,$A$3=2,'North America'!J28,$A$3=3,APAC!J28,$A$3=4,Europe!J28,$A$3=5,'Latin America'!J28,$A$3=6,MEA!J28)</f>
        <v>143.87955086035922</v>
      </c>
      <c r="K40" s="127" cm="1">
        <f t="array" ref="K40">_xlfn.IFS($A$3=1,Global!K28,$A$3=2,'North America'!K28,$A$3=3,APAC!K28,$A$3=4,Europe!K28,$A$3=5,'Latin America'!K28,$A$3=6,MEA!K28)</f>
        <v>163.57916232595028</v>
      </c>
      <c r="L40" s="127" cm="1">
        <f t="array" ref="L40">_xlfn.IFS($A$3=1,Global!L28,$A$3=2,'North America'!L28,$A$3=3,APAC!L28,$A$3=4,Europe!L28,$A$3=5,'Latin America'!L28,$A$3=6,MEA!L28)</f>
        <v>186.23527000954707</v>
      </c>
      <c r="M40" s="127" cm="1">
        <f t="array" ref="M40">_xlfn.IFS($A$3=1,Global!M28,$A$3=2,'North America'!M28,$A$3=3,APAC!M28,$A$3=4,Europe!M28,$A$3=5,'Latin America'!M28,$A$3=6,MEA!M28)</f>
        <v>212.3371289073408</v>
      </c>
      <c r="N40" s="127" cm="1">
        <f t="array" ref="N40">_xlfn.IFS($A$3=1,Global!N28,$A$3=2,'North America'!N28,$A$3=3,APAC!N28,$A$3=4,Europe!N28,$A$3=5,'Latin America'!N28,$A$3=6,MEA!N28)</f>
        <v>242.46416235944088</v>
      </c>
      <c r="O40" s="127" cm="1">
        <f t="array" ref="O40">_xlfn.IFS($A$3=1,Global!O28,$A$3=2,'North America'!O28,$A$3=3,APAC!O28,$A$3=4,Europe!O28,$A$3=5,'Latin America'!O28,$A$3=6,MEA!O28)</f>
        <v>277.30464163130807</v>
      </c>
      <c r="P40" s="127" cm="1">
        <f t="array" ref="P40">_xlfn.IFS($A$3=1,Global!P28,$A$3=2,'North America'!P28,$A$3=3,APAC!P28,$A$3=4,Europe!P28,$A$3=5,'Latin America'!P28,$A$3=6,MEA!P28)</f>
        <v>317.67873072705515</v>
      </c>
      <c r="Q40" s="127" cm="1">
        <f t="array" ref="Q40">_xlfn.IFS($A$3=1,Global!Q28,$A$3=2,'North America'!Q28,$A$3=3,APAC!Q28,$A$3=4,Europe!Q28,$A$3=5,'Latin America'!Q28,$A$3=6,MEA!Q28)</f>
        <v>364.56704129838005</v>
      </c>
      <c r="R40" s="131">
        <f>RATE(9,,-H40,Q40)</f>
        <v>0.14039849787282932</v>
      </c>
    </row>
    <row r="41" spans="1:18" s="117" customFormat="1" x14ac:dyDescent="0.35">
      <c r="A41" s="149"/>
      <c r="B41" s="125" t="s">
        <v>74</v>
      </c>
      <c r="C41" s="126"/>
      <c r="D41" s="127" cm="1">
        <f t="array" ref="D41">_xlfn.IFS($A$3=1,Global!D29,$A$3=2,'North America'!D29,$A$3=3,APAC!D29,$A$3=4,Europe!D29,$A$3=5,'Latin America'!D29,$A$3=6,MEA!D29)</f>
        <v>273.68795999999998</v>
      </c>
      <c r="E41" s="127" cm="1">
        <f t="array" ref="E41">_xlfn.IFS($A$3=1,Global!E29,$A$3=2,'North America'!E29,$A$3=3,APAC!E29,$A$3=4,Europe!E29,$A$3=5,'Latin America'!E29,$A$3=6,MEA!E29)</f>
        <v>301.33951476656557</v>
      </c>
      <c r="F41" s="127" cm="1">
        <f t="array" ref="F41">_xlfn.IFS($A$3=1,Global!F29,$A$3=2,'North America'!F29,$A$3=3,APAC!F29,$A$3=4,Europe!F29,$A$3=5,'Latin America'!F29,$A$3=6,MEA!F29)</f>
        <v>331.98761308781144</v>
      </c>
      <c r="G41" s="127" cm="1">
        <f t="array" ref="G41">_xlfn.IFS($A$3=1,Global!G29,$A$3=2,'North America'!G29,$A$3=3,APAC!G29,$A$3=4,Europe!G29,$A$3=5,'Latin America'!G29,$A$3=6,MEA!G29)</f>
        <v>365.97882805554087</v>
      </c>
      <c r="H41" s="127" cm="1">
        <f t="array" ref="H41">_xlfn.IFS($A$3=1,Global!H29,$A$3=2,'North America'!H29,$A$3=3,APAC!H29,$A$3=4,Europe!H29,$A$3=5,'Latin America'!H29,$A$3=6,MEA!H29)</f>
        <v>403.70282563239397</v>
      </c>
      <c r="I41" s="127" cm="1">
        <f t="array" ref="I41">_xlfn.IFS($A$3=1,Global!I29,$A$3=2,'North America'!I29,$A$3=3,APAC!I29,$A$3=4,Europe!I29,$A$3=5,'Latin America'!I29,$A$3=6,MEA!I29)</f>
        <v>445.5982291122686</v>
      </c>
      <c r="J41" s="127" cm="1">
        <f t="array" ref="J41">_xlfn.IFS($A$3=1,Global!J29,$A$3=2,'North America'!J29,$A$3=3,APAC!J29,$A$3=4,Europe!J29,$A$3=5,'Latin America'!J29,$A$3=6,MEA!J29)</f>
        <v>492.15937671527422</v>
      </c>
      <c r="K41" s="127" cm="1">
        <f t="array" ref="K41">_xlfn.IFS($A$3=1,Global!K29,$A$3=2,'North America'!K29,$A$3=3,APAC!K29,$A$3=4,Europe!K29,$A$3=5,'Latin America'!K29,$A$3=6,MEA!K29)</f>
        <v>543.94412586624969</v>
      </c>
      <c r="L41" s="127" cm="1">
        <f t="array" ref="L41">_xlfn.IFS($A$3=1,Global!L29,$A$3=2,'North America'!L29,$A$3=3,APAC!L29,$A$3=4,Europe!L29,$A$3=5,'Latin America'!L29,$A$3=6,MEA!L29)</f>
        <v>601.58288668461933</v>
      </c>
      <c r="M41" s="127" cm="1">
        <f t="array" ref="M41">_xlfn.IFS($A$3=1,Global!M29,$A$3=2,'North America'!M29,$A$3=3,APAC!M29,$A$3=4,Europe!M29,$A$3=5,'Latin America'!M29,$A$3=6,MEA!M29)</f>
        <v>665.78910171695429</v>
      </c>
      <c r="N41" s="127" cm="1">
        <f t="array" ref="N41">_xlfn.IFS($A$3=1,Global!N29,$A$3=2,'North America'!N29,$A$3=3,APAC!N29,$A$3=4,Europe!N29,$A$3=5,'Latin America'!N29,$A$3=6,MEA!N29)</f>
        <v>737.37142982904243</v>
      </c>
      <c r="O41" s="127" cm="1">
        <f t="array" ref="O41">_xlfn.IFS($A$3=1,Global!O29,$A$3=2,'North America'!O29,$A$3=3,APAC!O29,$A$3=4,Europe!O29,$A$3=5,'Latin America'!O29,$A$3=6,MEA!O29)</f>
        <v>817.24794028414067</v>
      </c>
      <c r="P41" s="127" cm="1">
        <f t="array" ref="P41">_xlfn.IFS($A$3=1,Global!P29,$A$3=2,'North America'!P29,$A$3=3,APAC!P29,$A$3=4,Europe!P29,$A$3=5,'Latin America'!P29,$A$3=6,MEA!P29)</f>
        <v>906.46267908041739</v>
      </c>
      <c r="Q41" s="127" cm="1">
        <f t="array" ref="Q41">_xlfn.IFS($A$3=1,Global!Q29,$A$3=2,'North America'!Q29,$A$3=3,APAC!Q29,$A$3=4,Europe!Q29,$A$3=5,'Latin America'!Q29,$A$3=6,MEA!Q29)</f>
        <v>1006.2050339835313</v>
      </c>
      <c r="R41" s="131">
        <f>RATE(9,,-H41,Q41)</f>
        <v>0.10680066327632741</v>
      </c>
    </row>
    <row r="42" spans="1:18" x14ac:dyDescent="0.35">
      <c r="A42" s="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21"/>
    </row>
    <row r="43" spans="1:18" s="117" customFormat="1" x14ac:dyDescent="0.35">
      <c r="A43" s="149" t="s">
        <v>75</v>
      </c>
      <c r="B43" s="128" t="s">
        <v>76</v>
      </c>
      <c r="C43" s="129"/>
      <c r="D43" s="130" cm="1">
        <f t="array" ref="D43">_xlfn.IFS($A$3=1,Global!D31,$A$3=2,'North America'!D31,$A$3=3,APAC!D31,$A$3=4,Europe!D31,$A$3=5,'Latin America'!D31,$A$3=6,MEA!D31)</f>
        <v>244.36424999999997</v>
      </c>
      <c r="E43" s="130" cm="1">
        <f t="array" ref="E43">_xlfn.IFS($A$3=1,Global!E31,$A$3=2,'North America'!E31,$A$3=3,APAC!E31,$A$3=4,Europe!E31,$A$3=5,'Latin America'!E31,$A$3=6,MEA!E31)</f>
        <v>271.62589206001394</v>
      </c>
      <c r="F43" s="130" cm="1">
        <f t="array" ref="F43">_xlfn.IFS($A$3=1,Global!F31,$A$3=2,'North America'!F31,$A$3=3,APAC!F31,$A$3=4,Europe!F31,$A$3=5,'Latin America'!F31,$A$3=6,MEA!F31)</f>
        <v>302.27420841574872</v>
      </c>
      <c r="G43" s="130" cm="1">
        <f t="array" ref="G43">_xlfn.IFS($A$3=1,Global!G31,$A$3=2,'North America'!G31,$A$3=3,APAC!G31,$A$3=4,Europe!G31,$A$3=5,'Latin America'!G31,$A$3=6,MEA!G31)</f>
        <v>336.77630245777794</v>
      </c>
      <c r="H43" s="130" cm="1">
        <f t="array" ref="H43">_xlfn.IFS($A$3=1,Global!H31,$A$3=2,'North America'!H31,$A$3=3,APAC!H31,$A$3=4,Europe!H31,$A$3=5,'Latin America'!H31,$A$3=6,MEA!H31)</f>
        <v>375.67122840923849</v>
      </c>
      <c r="I43" s="130" cm="1">
        <f t="array" ref="I43">_xlfn.IFS($A$3=1,Global!I31,$A$3=2,'North America'!I31,$A$3=3,APAC!I31,$A$3=4,Europe!I31,$A$3=5,'Latin America'!I31,$A$3=6,MEA!I31)</f>
        <v>419.58247849075485</v>
      </c>
      <c r="J43" s="130" cm="1">
        <f t="array" ref="J43">_xlfn.IFS($A$3=1,Global!J31,$A$3=2,'North America'!J31,$A$3=3,APAC!J31,$A$3=4,Europe!J31,$A$3=5,'Latin America'!J31,$A$3=6,MEA!J31)</f>
        <v>469.23292719321245</v>
      </c>
      <c r="K43" s="130" cm="1">
        <f t="array" ref="K43">_xlfn.IFS($A$3=1,Global!K31,$A$3=2,'North America'!K31,$A$3=3,APAC!K31,$A$3=4,Europe!K31,$A$3=5,'Latin America'!K31,$A$3=6,MEA!K31)</f>
        <v>525.46278030704616</v>
      </c>
      <c r="L43" s="130" cm="1">
        <f t="array" ref="L43">_xlfn.IFS($A$3=1,Global!L31,$A$3=2,'North America'!L31,$A$3=3,APAC!L31,$A$3=4,Europe!L31,$A$3=5,'Latin America'!L31,$A$3=6,MEA!L31)</f>
        <v>589.25121331855246</v>
      </c>
      <c r="M43" s="130" cm="1">
        <f t="array" ref="M43">_xlfn.IFS($A$3=1,Global!M31,$A$3=2,'North America'!M31,$A$3=3,APAC!M31,$A$3=4,Europe!M31,$A$3=5,'Latin America'!M31,$A$3=6,MEA!M31)</f>
        <v>661.74255861015558</v>
      </c>
      <c r="N43" s="130" cm="1">
        <f t="array" ref="N43">_xlfn.IFS($A$3=1,Global!N31,$A$3=2,'North America'!N31,$A$3=3,APAC!N31,$A$3=4,Europe!N31,$A$3=5,'Latin America'!N31,$A$3=6,MEA!N31)</f>
        <v>744.2781249822682</v>
      </c>
      <c r="O43" s="130" cm="1">
        <f t="array" ref="O43">_xlfn.IFS($A$3=1,Global!O31,$A$3=2,'North America'!O31,$A$3=3,APAC!O31,$A$3=4,Europe!O31,$A$3=5,'Latin America'!O31,$A$3=6,MEA!O31)</f>
        <v>838.43502141641386</v>
      </c>
      <c r="P43" s="130" cm="1">
        <f t="array" ref="P43">_xlfn.IFS($A$3=1,Global!P31,$A$3=2,'North America'!P31,$A$3=3,APAC!P31,$A$3=4,Europe!P31,$A$3=5,'Latin America'!P31,$A$3=6,MEA!P31)</f>
        <v>946.07372972812652</v>
      </c>
      <c r="Q43" s="130" cm="1">
        <f t="array" ref="Q43">_xlfn.IFS($A$3=1,Global!Q31,$A$3=2,'North America'!Q31,$A$3=3,APAC!Q31,$A$3=4,Europe!Q31,$A$3=5,'Latin America'!Q31,$A$3=6,MEA!Q31)</f>
        <v>1069.3966544752491</v>
      </c>
      <c r="R43" s="131">
        <f t="shared" ref="R43:R49" si="1">RATE(9,,-H43,Q43)</f>
        <v>0.12326236892598832</v>
      </c>
    </row>
    <row r="44" spans="1:18" s="117" customFormat="1" x14ac:dyDescent="0.35">
      <c r="A44" s="149"/>
      <c r="B44" s="128" t="s">
        <v>77</v>
      </c>
      <c r="C44" s="129"/>
      <c r="D44" s="130" cm="1">
        <f t="array" ref="D44">_xlfn.IFS($A$3=1,Global!D32,$A$3=2,'North America'!D32,$A$3=3,APAC!D32,$A$3=4,Europe!D32,$A$3=5,'Latin America'!D32,$A$3=6,MEA!D32)</f>
        <v>195.4914</v>
      </c>
      <c r="E44" s="130" cm="1">
        <f t="array" ref="E44">_xlfn.IFS($A$3=1,Global!E32,$A$3=2,'North America'!E32,$A$3=3,APAC!E32,$A$3=4,Europe!E32,$A$3=5,'Latin America'!E32,$A$3=6,MEA!E32)</f>
        <v>220.67226466088871</v>
      </c>
      <c r="F44" s="130" cm="1">
        <f t="array" ref="F44">_xlfn.IFS($A$3=1,Global!F32,$A$3=2,'North America'!F32,$A$3=3,APAC!F32,$A$3=4,Europe!F32,$A$3=5,'Latin America'!F32,$A$3=6,MEA!F32)</f>
        <v>249.38152610716901</v>
      </c>
      <c r="G44" s="130" cm="1">
        <f t="array" ref="G44">_xlfn.IFS($A$3=1,Global!G32,$A$3=2,'North America'!G32,$A$3=3,APAC!G32,$A$3=4,Europe!G32,$A$3=5,'Latin America'!G32,$A$3=6,MEA!G32)</f>
        <v>282.15731216470294</v>
      </c>
      <c r="H44" s="130" cm="1">
        <f t="array" ref="H44">_xlfn.IFS($A$3=1,Global!H32,$A$3=2,'North America'!H32,$A$3=3,APAC!H32,$A$3=4,Europe!H32,$A$3=5,'Latin America'!H32,$A$3=6,MEA!H32)</f>
        <v>319.62763364631758</v>
      </c>
      <c r="I44" s="130" cm="1">
        <f t="array" ref="I44">_xlfn.IFS($A$3=1,Global!I32,$A$3=2,'North America'!I32,$A$3=3,APAC!I32,$A$3=4,Europe!I32,$A$3=5,'Latin America'!I32,$A$3=6,MEA!I32)</f>
        <v>362.5269756480144</v>
      </c>
      <c r="J44" s="130" cm="1">
        <f t="array" ref="J44">_xlfn.IFS($A$3=1,Global!J32,$A$3=2,'North America'!J32,$A$3=3,APAC!J32,$A$3=4,Europe!J32,$A$3=5,'Latin America'!J32,$A$3=6,MEA!J32)</f>
        <v>411.71630201176652</v>
      </c>
      <c r="K44" s="130" cm="1">
        <f t="array" ref="K44">_xlfn.IFS($A$3=1,Global!K32,$A$3=2,'North America'!K32,$A$3=3,APAC!K32,$A$3=4,Europe!K32,$A$3=5,'Latin America'!K32,$A$3=6,MEA!K32)</f>
        <v>468.20725847916782</v>
      </c>
      <c r="L44" s="130" cm="1">
        <f t="array" ref="L44">_xlfn.IFS($A$3=1,Global!L32,$A$3=2,'North America'!L32,$A$3=3,APAC!L32,$A$3=4,Europe!L32,$A$3=5,'Latin America'!L32,$A$3=6,MEA!L32)</f>
        <v>533.19156161981186</v>
      </c>
      <c r="M44" s="130" cm="1">
        <f t="array" ref="M44">_xlfn.IFS($A$3=1,Global!M32,$A$3=2,'North America'!M32,$A$3=3,APAC!M32,$A$3=4,Europe!M32,$A$3=5,'Latin America'!M32,$A$3=6,MEA!M32)</f>
        <v>608.07681926923362</v>
      </c>
      <c r="N44" s="130" cm="1">
        <f t="array" ref="N44">_xlfn.IFS($A$3=1,Global!N32,$A$3=2,'North America'!N32,$A$3=3,APAC!N32,$A$3=4,Europe!N32,$A$3=5,'Latin America'!N32,$A$3=6,MEA!N32)</f>
        <v>694.53036157059955</v>
      </c>
      <c r="O44" s="130" cm="1">
        <f t="array" ref="O44">_xlfn.IFS($A$3=1,Global!O32,$A$3=2,'North America'!O32,$A$3=3,APAC!O32,$A$3=4,Europe!O32,$A$3=5,'Latin America'!O32,$A$3=6,MEA!O32)</f>
        <v>794.53309324520239</v>
      </c>
      <c r="P44" s="130" cm="1">
        <f t="array" ref="P44">_xlfn.IFS($A$3=1,Global!P32,$A$3=2,'North America'!P32,$A$3=3,APAC!P32,$A$3=4,Europe!P32,$A$3=5,'Latin America'!P32,$A$3=6,MEA!P32)</f>
        <v>910.44593879233514</v>
      </c>
      <c r="Q44" s="130" cm="1">
        <f t="array" ref="Q44">_xlfn.IFS($A$3=1,Global!Q32,$A$3=2,'North America'!Q32,$A$3=3,APAC!Q32,$A$3=4,Europe!Q32,$A$3=5,'Latin America'!Q32,$A$3=6,MEA!Q32)</f>
        <v>1045.0921850553593</v>
      </c>
      <c r="R44" s="131">
        <f t="shared" si="1"/>
        <v>0.14069045884097228</v>
      </c>
    </row>
    <row r="45" spans="1:18" s="117" customFormat="1" x14ac:dyDescent="0.35">
      <c r="A45" s="149"/>
      <c r="B45" s="128" t="s">
        <v>78</v>
      </c>
      <c r="C45" s="129"/>
      <c r="D45" s="132" cm="1">
        <f t="array" ref="D45">_xlfn.IFS($A$3=1,Global!D33,$A$3=2,'North America'!D33,$A$3=3,APAC!D33,$A$3=4,Europe!D33,$A$3=5,'Latin America'!D33,$A$3=6,MEA!D33)</f>
        <v>175.94226</v>
      </c>
      <c r="E45" s="132" cm="1">
        <f t="array" ref="E45">_xlfn.IFS($A$3=1,Global!E33,$A$3=2,'North America'!E33,$A$3=3,APAC!E33,$A$3=4,Europe!E33,$A$3=5,'Latin America'!E33,$A$3=6,MEA!E33)</f>
        <v>197.67118717686751</v>
      </c>
      <c r="F45" s="132" cm="1">
        <f t="array" ref="F45">_xlfn.IFS($A$3=1,Global!F33,$A$3=2,'North America'!F33,$A$3=3,APAC!F33,$A$3=4,Europe!F33,$A$3=5,'Latin America'!F33,$A$3=6,MEA!F33)</f>
        <v>222.33764740222776</v>
      </c>
      <c r="G45" s="132" cm="1">
        <f t="array" ref="G45">_xlfn.IFS($A$3=1,Global!G33,$A$3=2,'North America'!G33,$A$3=3,APAC!G33,$A$3=4,Europe!G33,$A$3=5,'Latin America'!G33,$A$3=6,MEA!G33)</f>
        <v>250.37625915606858</v>
      </c>
      <c r="H45" s="132" cm="1">
        <f t="array" ref="H45">_xlfn.IFS($A$3=1,Global!H33,$A$3=2,'North America'!H33,$A$3=3,APAC!H33,$A$3=4,Europe!H33,$A$3=5,'Latin America'!H33,$A$3=6,MEA!H33)</f>
        <v>282.29245162518112</v>
      </c>
      <c r="I45" s="132" cm="1">
        <f t="array" ref="I45">_xlfn.IFS($A$3=1,Global!I33,$A$3=2,'North America'!I33,$A$3=3,APAC!I33,$A$3=4,Europe!I33,$A$3=5,'Latin America'!I33,$A$3=6,MEA!I33)</f>
        <v>318.6752851204659</v>
      </c>
      <c r="J45" s="132" cm="1">
        <f t="array" ref="J45">_xlfn.IFS($A$3=1,Global!J33,$A$3=2,'North America'!J33,$A$3=3,APAC!J33,$A$3=4,Europe!J33,$A$3=5,'Latin America'!J33,$A$3=6,MEA!J33)</f>
        <v>360.21287158994306</v>
      </c>
      <c r="K45" s="132" cm="1">
        <f t="array" ref="K45">_xlfn.IFS($A$3=1,Global!K33,$A$3=2,'North America'!K33,$A$3=3,APAC!K33,$A$3=4,Europe!K33,$A$3=5,'Latin America'!K33,$A$3=6,MEA!K33)</f>
        <v>407.71098745730308</v>
      </c>
      <c r="L45" s="132" cm="1">
        <f t="array" ref="L45">_xlfn.IFS($A$3=1,Global!L33,$A$3=2,'North America'!L33,$A$3=3,APAC!L33,$A$3=4,Europe!L33,$A$3=5,'Latin America'!L33,$A$3=6,MEA!L33)</f>
        <v>462.11562174269062</v>
      </c>
      <c r="M45" s="132" cm="1">
        <f t="array" ref="M45">_xlfn.IFS($A$3=1,Global!M33,$A$3=2,'North America'!M33,$A$3=3,APAC!M33,$A$3=4,Europe!M33,$A$3=5,'Latin America'!M33,$A$3=6,MEA!M33)</f>
        <v>524.54039552409427</v>
      </c>
      <c r="N45" s="132" cm="1">
        <f t="array" ref="N45">_xlfn.IFS($A$3=1,Global!N33,$A$3=2,'North America'!N33,$A$3=3,APAC!N33,$A$3=4,Europe!N33,$A$3=5,'Latin America'!N33,$A$3=6,MEA!N33)</f>
        <v>596.30003724951405</v>
      </c>
      <c r="O45" s="132" cm="1">
        <f t="array" ref="O45">_xlfn.IFS($A$3=1,Global!O33,$A$3=2,'North America'!O33,$A$3=3,APAC!O33,$A$3=4,Europe!O33,$A$3=5,'Latin America'!O33,$A$3=6,MEA!O33)</f>
        <v>678.95141945758064</v>
      </c>
      <c r="P45" s="132" cm="1">
        <f t="array" ref="P45">_xlfn.IFS($A$3=1,Global!P33,$A$3=2,'North America'!P33,$A$3=3,APAC!P33,$A$3=4,Europe!P33,$A$3=5,'Latin America'!P33,$A$3=6,MEA!P33)</f>
        <v>774.34407911793937</v>
      </c>
      <c r="Q45" s="132" cm="1">
        <f t="array" ref="Q45">_xlfn.IFS($A$3=1,Global!Q33,$A$3=2,'North America'!Q33,$A$3=3,APAC!Q33,$A$3=4,Europe!Q33,$A$3=5,'Latin America'!Q33,$A$3=6,MEA!Q33)</f>
        <v>884.68268688406897</v>
      </c>
      <c r="R45" s="131">
        <f t="shared" si="1"/>
        <v>0.13532687413754679</v>
      </c>
    </row>
    <row r="46" spans="1:18" s="117" customFormat="1" x14ac:dyDescent="0.35">
      <c r="A46" s="149"/>
      <c r="B46" s="128" t="s">
        <v>79</v>
      </c>
      <c r="C46" s="129"/>
      <c r="D46" s="132" cm="1">
        <f t="array" ref="D46">_xlfn.IFS($A$3=1,Global!D34,$A$3=2,'North America'!D34,$A$3=3,APAC!D34,$A$3=4,Europe!D34,$A$3=5,'Latin America'!D34,$A$3=6,MEA!D34)</f>
        <v>117.29483999999997</v>
      </c>
      <c r="E46" s="132" cm="1">
        <f t="array" ref="E46">_xlfn.IFS($A$3=1,Global!E34,$A$3=2,'North America'!E34,$A$3=3,APAC!E34,$A$3=4,Europe!E34,$A$3=5,'Latin America'!E34,$A$3=6,MEA!E34)</f>
        <v>131.91916064947651</v>
      </c>
      <c r="F46" s="132" cm="1">
        <f t="array" ref="F46">_xlfn.IFS($A$3=1,Global!F34,$A$3=2,'North America'!F34,$A$3=3,APAC!F34,$A$3=4,Europe!F34,$A$3=5,'Latin America'!F34,$A$3=6,MEA!F34)</f>
        <v>148.53653296768013</v>
      </c>
      <c r="G46" s="132" cm="1">
        <f t="array" ref="G46">_xlfn.IFS($A$3=1,Global!G34,$A$3=2,'North America'!G34,$A$3=3,APAC!G34,$A$3=4,Europe!G34,$A$3=5,'Latin America'!G34,$A$3=6,MEA!G34)</f>
        <v>167.44384611155945</v>
      </c>
      <c r="H46" s="132" cm="1">
        <f t="array" ref="H46">_xlfn.IFS($A$3=1,Global!H34,$A$3=2,'North America'!H34,$A$3=3,APAC!H34,$A$3=4,Europe!H34,$A$3=5,'Latin America'!H34,$A$3=6,MEA!H34)</f>
        <v>188.98662876991008</v>
      </c>
      <c r="I46" s="132" cm="1">
        <f t="array" ref="I46">_xlfn.IFS($A$3=1,Global!I34,$A$3=2,'North America'!I34,$A$3=3,APAC!I34,$A$3=4,Europe!I34,$A$3=5,'Latin America'!I34,$A$3=6,MEA!I34)</f>
        <v>213.56789318001344</v>
      </c>
      <c r="J46" s="132" cm="1">
        <f t="array" ref="J46">_xlfn.IFS($A$3=1,Global!J34,$A$3=2,'North America'!J34,$A$3=3,APAC!J34,$A$3=4,Europe!J34,$A$3=5,'Latin America'!J34,$A$3=6,MEA!J34)</f>
        <v>241.65877840998814</v>
      </c>
      <c r="K46" s="132" cm="1">
        <f t="array" ref="K46">_xlfn.IFS($A$3=1,Global!K34,$A$3=2,'North America'!K34,$A$3=3,APAC!K34,$A$3=4,Europe!K34,$A$3=5,'Latin America'!K34,$A$3=6,MEA!K34)</f>
        <v>273.81140365955599</v>
      </c>
      <c r="L46" s="132" cm="1">
        <f t="array" ref="L46">_xlfn.IFS($A$3=1,Global!L34,$A$3=2,'North America'!L34,$A$3=3,APAC!L34,$A$3=4,Europe!L34,$A$3=5,'Latin America'!L34,$A$3=6,MEA!L34)</f>
        <v>310.67444705900402</v>
      </c>
      <c r="M46" s="132" cm="1">
        <f t="array" ref="M46">_xlfn.IFS($A$3=1,Global!M34,$A$3=2,'North America'!M34,$A$3=3,APAC!M34,$A$3=4,Europe!M34,$A$3=5,'Latin America'!M34,$A$3=6,MEA!M34)</f>
        <v>353.01209966470805</v>
      </c>
      <c r="N46" s="132" cm="1">
        <f t="array" ref="N46">_xlfn.IFS($A$3=1,Global!N34,$A$3=2,'North America'!N34,$A$3=3,APAC!N34,$A$3=4,Europe!N34,$A$3=5,'Latin America'!N34,$A$3=6,MEA!N34)</f>
        <v>401.72721710564218</v>
      </c>
      <c r="O46" s="132" cm="1">
        <f t="array" ref="O46">_xlfn.IFS($A$3=1,Global!O34,$A$3=2,'North America'!O34,$A$3=3,APAC!O34,$A$3=4,Europe!O34,$A$3=5,'Latin America'!O34,$A$3=6,MEA!O34)</f>
        <v>457.88971465743981</v>
      </c>
      <c r="P46" s="132" cm="1">
        <f t="array" ref="P46">_xlfn.IFS($A$3=1,Global!P34,$A$3=2,'North America'!P34,$A$3=3,APAC!P34,$A$3=4,Europe!P34,$A$3=5,'Latin America'!P34,$A$3=6,MEA!P34)</f>
        <v>522.77154146594546</v>
      </c>
      <c r="Q46" s="132" cm="1">
        <f t="array" ref="Q46">_xlfn.IFS($A$3=1,Global!Q34,$A$3=2,'North America'!Q34,$A$3=3,APAC!Q34,$A$3=4,Europe!Q34,$A$3=5,'Latin America'!Q34,$A$3=6,MEA!Q34)</f>
        <v>597.88994772934279</v>
      </c>
      <c r="R46" s="131">
        <f t="shared" si="1"/>
        <v>0.13651896190307433</v>
      </c>
    </row>
    <row r="47" spans="1:18" s="117" customFormat="1" x14ac:dyDescent="0.35">
      <c r="A47" s="149"/>
      <c r="B47" s="128" t="s">
        <v>80</v>
      </c>
      <c r="C47" s="129"/>
      <c r="D47" s="132" cm="1">
        <f t="array" ref="D47">_xlfn.IFS($A$3=1,Global!D35,$A$3=2,'North America'!D35,$A$3=3,APAC!D35,$A$3=4,Europe!D35,$A$3=5,'Latin America'!D35,$A$3=6,MEA!D35)</f>
        <v>97.745699999999971</v>
      </c>
      <c r="E47" s="132" cm="1">
        <f t="array" ref="E47">_xlfn.IFS($A$3=1,Global!E35,$A$3=2,'North America'!E35,$A$3=3,APAC!E35,$A$3=4,Europe!E35,$A$3=5,'Latin America'!E35,$A$3=6,MEA!E35)</f>
        <v>110.13660034395078</v>
      </c>
      <c r="F47" s="132" cm="1">
        <f t="array" ref="F47">_xlfn.IFS($A$3=1,Global!F35,$A$3=2,'North America'!F35,$A$3=3,APAC!F35,$A$3=4,Europe!F35,$A$3=5,'Latin America'!F35,$A$3=6,MEA!F35)</f>
        <v>124.24018899775768</v>
      </c>
      <c r="G47" s="132" cm="1">
        <f t="array" ref="G47">_xlfn.IFS($A$3=1,Global!G35,$A$3=2,'North America'!G35,$A$3=3,APAC!G35,$A$3=4,Europe!G35,$A$3=5,'Latin America'!G35,$A$3=6,MEA!G35)</f>
        <v>140.31465895914769</v>
      </c>
      <c r="H47" s="132" cm="1">
        <f t="array" ref="H47">_xlfn.IFS($A$3=1,Global!H35,$A$3=2,'North America'!H35,$A$3=3,APAC!H35,$A$3=4,Europe!H35,$A$3=5,'Latin America'!H35,$A$3=6,MEA!H35)</f>
        <v>158.66091894473291</v>
      </c>
      <c r="I47" s="132" cm="1">
        <f t="array" ref="I47">_xlfn.IFS($A$3=1,Global!I35,$A$3=2,'North America'!I35,$A$3=3,APAC!I35,$A$3=4,Europe!I35,$A$3=5,'Latin America'!I35,$A$3=6,MEA!I35)</f>
        <v>179.63041951817337</v>
      </c>
      <c r="J47" s="132" cm="1">
        <f t="array" ref="J47">_xlfn.IFS($A$3=1,Global!J35,$A$3=2,'North America'!J35,$A$3=3,APAC!J35,$A$3=4,Europe!J35,$A$3=5,'Latin America'!J35,$A$3=6,MEA!J35)</f>
        <v>203.63458032512739</v>
      </c>
      <c r="K47" s="132" cm="1">
        <f t="array" ref="K47">_xlfn.IFS($A$3=1,Global!K35,$A$3=2,'North America'!K35,$A$3=3,APAC!K35,$A$3=4,Europe!K35,$A$3=5,'Latin America'!K35,$A$3=6,MEA!K35)</f>
        <v>231.15618543760058</v>
      </c>
      <c r="L47" s="132" cm="1">
        <f t="array" ref="L47">_xlfn.IFS($A$3=1,Global!L35,$A$3=2,'North America'!L35,$A$3=3,APAC!L35,$A$3=4,Europe!L35,$A$3=5,'Latin America'!L35,$A$3=6,MEA!L35)</f>
        <v>262.76320768256147</v>
      </c>
      <c r="M47" s="132" cm="1">
        <f t="array" ref="M47">_xlfn.IFS($A$3=1,Global!M35,$A$3=2,'North America'!M35,$A$3=3,APAC!M35,$A$3=4,Europe!M35,$A$3=5,'Latin America'!M35,$A$3=6,MEA!M35)</f>
        <v>299.12564321453357</v>
      </c>
      <c r="N47" s="132" cm="1">
        <f t="array" ref="N47">_xlfn.IFS($A$3=1,Global!N35,$A$3=2,'North America'!N35,$A$3=3,APAC!N35,$A$3=4,Europe!N35,$A$3=5,'Latin America'!N35,$A$3=6,MEA!N35)</f>
        <v>341.03609264627505</v>
      </c>
      <c r="O47" s="132" cm="1">
        <f t="array" ref="O47">_xlfn.IFS($A$3=1,Global!O35,$A$3=2,'North America'!O35,$A$3=3,APAC!O35,$A$3=4,Europe!O35,$A$3=5,'Latin America'!O35,$A$3=6,MEA!O35)</f>
        <v>389.43502563091369</v>
      </c>
      <c r="P47" s="132" cm="1">
        <f t="array" ref="P47">_xlfn.IFS($A$3=1,Global!P35,$A$3=2,'North America'!P35,$A$3=3,APAC!P35,$A$3=4,Europe!P35,$A$3=5,'Latin America'!P35,$A$3=6,MEA!P35)</f>
        <v>445.44192639601238</v>
      </c>
      <c r="Q47" s="132" cm="1">
        <f t="array" ref="Q47">_xlfn.IFS($A$3=1,Global!Q35,$A$3=2,'North America'!Q35,$A$3=3,APAC!Q35,$A$3=4,Europe!Q35,$A$3=5,'Latin America'!Q35,$A$3=6,MEA!Q35)</f>
        <v>510.39385781773291</v>
      </c>
      <c r="R47" s="131">
        <f t="shared" si="1"/>
        <v>0.13862763292880678</v>
      </c>
    </row>
    <row r="48" spans="1:18" s="117" customFormat="1" x14ac:dyDescent="0.35">
      <c r="A48" s="149"/>
      <c r="B48" s="128" t="s">
        <v>81</v>
      </c>
      <c r="C48" s="129"/>
      <c r="D48" s="132" cm="1">
        <f t="array" ref="D48">_xlfn.IFS($A$3=1,Global!D36,$A$3=2,'North America'!D36,$A$3=3,APAC!D36,$A$3=4,Europe!D36,$A$3=5,'Latin America'!D36,$A$3=6,MEA!D36)</f>
        <v>127.06941000000005</v>
      </c>
      <c r="E48" s="132" cm="1">
        <f t="array" ref="E48">_xlfn.IFS($A$3=1,Global!E36,$A$3=2,'North America'!E36,$A$3=3,APAC!E36,$A$3=4,Europe!E36,$A$3=5,'Latin America'!E36,$A$3=6,MEA!E36)</f>
        <v>142.97413965392275</v>
      </c>
      <c r="F48" s="132" cm="1">
        <f t="array" ref="F48">_xlfn.IFS($A$3=1,Global!F36,$A$3=2,'North America'!F36,$A$3=3,APAC!F36,$A$3=4,Europe!F36,$A$3=5,'Latin America'!F36,$A$3=6,MEA!F36)</f>
        <v>161.05358680358106</v>
      </c>
      <c r="G48" s="132" cm="1">
        <f t="array" ref="G48">_xlfn.IFS($A$3=1,Global!G36,$A$3=2,'North America'!G36,$A$3=3,APAC!G36,$A$3=4,Europe!G36,$A$3=5,'Latin America'!G36,$A$3=6,MEA!G36)</f>
        <v>181.6326067456456</v>
      </c>
      <c r="H48" s="132" cm="1">
        <f t="array" ref="H48">_xlfn.IFS($A$3=1,Global!H36,$A$3=2,'North America'!H36,$A$3=3,APAC!H36,$A$3=4,Europe!H36,$A$3=5,'Latin America'!H36,$A$3=6,MEA!H36)</f>
        <v>205.08939739856393</v>
      </c>
      <c r="I48" s="132" cm="1">
        <f t="array" ref="I48">_xlfn.IFS($A$3=1,Global!I36,$A$3=2,'North America'!I36,$A$3=3,APAC!I36,$A$3=4,Europe!I36,$A$3=5,'Latin America'!I36,$A$3=6,MEA!I36)</f>
        <v>231.86521559981318</v>
      </c>
      <c r="J48" s="132" cm="1">
        <f t="array" ref="J48">_xlfn.IFS($A$3=1,Global!J36,$A$3=2,'North America'!J36,$A$3=3,APAC!J36,$A$3=4,Europe!J36,$A$3=5,'Latin America'!J36,$A$3=6,MEA!J36)</f>
        <v>262.47607269037206</v>
      </c>
      <c r="K48" s="132" cm="1">
        <f t="array" ref="K48">_xlfn.IFS($A$3=1,Global!K36,$A$3=2,'North America'!K36,$A$3=3,APAC!K36,$A$3=4,Europe!K36,$A$3=5,'Latin America'!K36,$A$3=6,MEA!K36)</f>
        <v>297.52686166066252</v>
      </c>
      <c r="L48" s="132" cm="1">
        <f t="array" ref="L48">_xlfn.IFS($A$3=1,Global!L36,$A$3=2,'North America'!L36,$A$3=3,APAC!L36,$A$3=4,Europe!L36,$A$3=5,'Latin America'!L36,$A$3=6,MEA!L36)</f>
        <v>337.72848353128973</v>
      </c>
      <c r="M48" s="132" cm="1">
        <f t="array" ref="M48">_xlfn.IFS($A$3=1,Global!M36,$A$3=2,'North America'!M36,$A$3=3,APAC!M36,$A$3=4,Europe!M36,$A$3=5,'Latin America'!M36,$A$3=6,MEA!M36)</f>
        <v>383.91868855999769</v>
      </c>
      <c r="N48" s="132" cm="1">
        <f t="array" ref="N48">_xlfn.IFS($A$3=1,Global!N36,$A$3=2,'North America'!N36,$A$3=3,APAC!N36,$A$3=4,Europe!N36,$A$3=5,'Latin America'!N36,$A$3=6,MEA!N36)</f>
        <v>437.08753828500585</v>
      </c>
      <c r="O48" s="132" cm="1">
        <f t="array" ref="O48">_xlfn.IFS($A$3=1,Global!O36,$A$3=2,'North America'!O36,$A$3=3,APAC!O36,$A$3=4,Europe!O36,$A$3=5,'Latin America'!O36,$A$3=6,MEA!O36)</f>
        <v>498.40864060965561</v>
      </c>
      <c r="P48" s="132" cm="1">
        <f t="array" ref="P48">_xlfn.IFS($A$3=1,Global!P36,$A$3=2,'North America'!P36,$A$3=3,APAC!P36,$A$3=4,Europe!P36,$A$3=5,'Latin America'!P36,$A$3=6,MEA!P36)</f>
        <v>569.27762982891306</v>
      </c>
      <c r="Q48" s="132" cm="1">
        <f t="array" ref="Q48">_xlfn.IFS($A$3=1,Global!Q36,$A$3=2,'North America'!Q36,$A$3=3,APAC!Q36,$A$3=4,Europe!Q36,$A$3=5,'Latin America'!Q36,$A$3=6,MEA!Q36)</f>
        <v>651.35978045310731</v>
      </c>
      <c r="R48" s="131">
        <f t="shared" si="1"/>
        <v>0.13700975876260174</v>
      </c>
    </row>
    <row r="49" spans="1:18" s="117" customFormat="1" x14ac:dyDescent="0.35">
      <c r="A49" s="149"/>
      <c r="B49" s="128" t="s">
        <v>82</v>
      </c>
      <c r="C49" s="129"/>
      <c r="D49" s="132" cm="1">
        <f t="array" ref="D49">_xlfn.IFS($A$3=1,Global!D37,$A$3=2,'North America'!D37,$A$3=3,APAC!D37,$A$3=4,Europe!D37,$A$3=5,'Latin America'!D37,$A$3=6,MEA!D37)</f>
        <v>19.549140000000016</v>
      </c>
      <c r="E49" s="132" cm="1">
        <f t="array" ref="E49">_xlfn.IFS($A$3=1,Global!E37,$A$3=2,'North America'!E37,$A$3=3,APAC!E37,$A$3=4,Europe!E37,$A$3=5,'Latin America'!E37,$A$3=6,MEA!E37)</f>
        <v>22.240980704879991</v>
      </c>
      <c r="F49" s="132" cm="1">
        <f t="array" ref="F49">_xlfn.IFS($A$3=1,Global!F37,$A$3=2,'North America'!F37,$A$3=3,APAC!F37,$A$3=4,Europe!F37,$A$3=5,'Latin America'!F37,$A$3=6,MEA!F37)</f>
        <v>25.287420924804209</v>
      </c>
      <c r="G49" s="132" cm="1">
        <f t="array" ref="G49">_xlfn.IFS($A$3=1,Global!G37,$A$3=2,'North America'!G37,$A$3=3,APAC!G37,$A$3=4,Europe!G37,$A$3=5,'Latin America'!G37,$A$3=6,MEA!G37)</f>
        <v>28.735805963078661</v>
      </c>
      <c r="H49" s="132" cm="1">
        <f t="array" ref="H49">_xlfn.IFS($A$3=1,Global!H37,$A$3=2,'North America'!H37,$A$3=3,APAC!H37,$A$3=4,Europe!H37,$A$3=5,'Latin America'!H37,$A$3=6,MEA!H37)</f>
        <v>32.64008161051531</v>
      </c>
      <c r="I49" s="132" cm="1">
        <f t="array" ref="I49">_xlfn.IFS($A$3=1,Global!I37,$A$3=2,'North America'!I37,$A$3=3,APAC!I37,$A$3=4,Europe!I37,$A$3=5,'Latin America'!I37,$A$3=6,MEA!I37)</f>
        <v>37.061783081763963</v>
      </c>
      <c r="J49" s="132" cm="1">
        <f t="array" ref="J49">_xlfn.IFS($A$3=1,Global!J37,$A$3=2,'North America'!J37,$A$3=3,APAC!J37,$A$3=4,Europe!J37,$A$3=5,'Latin America'!J37,$A$3=6,MEA!J37)</f>
        <v>42.071188087310404</v>
      </c>
      <c r="K49" s="132" cm="1">
        <f t="array" ref="K49">_xlfn.IFS($A$3=1,Global!K37,$A$3=2,'North America'!K37,$A$3=3,APAC!K37,$A$3=4,Europe!K37,$A$3=5,'Latin America'!K37,$A$3=6,MEA!K37)</f>
        <v>47.748664850449323</v>
      </c>
      <c r="L49" s="132" cm="1">
        <f t="array" ref="L49">_xlfn.IFS($A$3=1,Global!L37,$A$3=2,'North America'!L37,$A$3=3,APAC!L37,$A$3=4,Europe!L37,$A$3=5,'Latin America'!L37,$A$3=6,MEA!L37)</f>
        <v>54.186252385944378</v>
      </c>
      <c r="M49" s="132" cm="1">
        <f t="array" ref="M49">_xlfn.IFS($A$3=1,Global!M37,$A$3=2,'North America'!M37,$A$3=3,APAC!M37,$A$3=4,Europe!M37,$A$3=5,'Latin America'!M37,$A$3=6,MEA!M37)</f>
        <v>61.489518356885768</v>
      </c>
      <c r="N49" s="132" cm="1">
        <f t="array" ref="N49">_xlfn.IFS($A$3=1,Global!N37,$A$3=2,'North America'!N37,$A$3=3,APAC!N37,$A$3=4,Europe!N37,$A$3=5,'Latin America'!N37,$A$3=6,MEA!N37)</f>
        <v>69.7797496684869</v>
      </c>
      <c r="O49" s="132" cm="1">
        <f t="array" ref="O49">_xlfn.IFS($A$3=1,Global!O37,$A$3=2,'North America'!O37,$A$3=3,APAC!O37,$A$3=4,Europe!O37,$A$3=5,'Latin America'!O37,$A$3=6,MEA!O37)</f>
        <v>79.196543068258805</v>
      </c>
      <c r="P49" s="132" cm="1">
        <f t="array" ref="P49">_xlfn.IFS($A$3=1,Global!P37,$A$3=2,'North America'!P37,$A$3=3,APAC!P37,$A$3=4,Europe!P37,$A$3=5,'Latin America'!P37,$A$3=6,MEA!P37)</f>
        <v>89.900877914857205</v>
      </c>
      <c r="Q49" s="132" cm="1">
        <f t="array" ref="Q49">_xlfn.IFS($A$3=1,Global!Q37,$A$3=2,'North America'!Q37,$A$3=3,APAC!Q37,$A$3=4,Europe!Q37,$A$3=5,'Latin America'!Q37,$A$3=6,MEA!Q37)</f>
        <v>102.07877156354719</v>
      </c>
      <c r="R49" s="131">
        <f t="shared" si="1"/>
        <v>0.13506430545394355</v>
      </c>
    </row>
  </sheetData>
  <mergeCells count="5">
    <mergeCell ref="A2:R2"/>
    <mergeCell ref="A27:A31"/>
    <mergeCell ref="A33:A35"/>
    <mergeCell ref="A37:A41"/>
    <mergeCell ref="A43:A49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Option Button 1">
              <controlPr defaultSize="0" autoFill="0" autoLine="0" autoPict="0">
                <anchor moveWithCells="1">
                  <from>
                    <xdr:col>1</xdr:col>
                    <xdr:colOff>266700</xdr:colOff>
                    <xdr:row>3</xdr:row>
                    <xdr:rowOff>107950</xdr:rowOff>
                  </from>
                  <to>
                    <xdr:col>1</xdr:col>
                    <xdr:colOff>1619250</xdr:colOff>
                    <xdr:row>4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5" name="Option Button 6">
              <controlPr defaultSize="0" autoFill="0" autoLine="0" autoPict="0">
                <anchor moveWithCells="1">
                  <from>
                    <xdr:col>1</xdr:col>
                    <xdr:colOff>1860550</xdr:colOff>
                    <xdr:row>3</xdr:row>
                    <xdr:rowOff>107950</xdr:rowOff>
                  </from>
                  <to>
                    <xdr:col>4</xdr:col>
                    <xdr:colOff>50800</xdr:colOff>
                    <xdr:row>4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6" name="Option Button 7">
              <controlPr defaultSize="0" autoFill="0" autoLine="0" autoPict="0">
                <anchor moveWithCells="1">
                  <from>
                    <xdr:col>4</xdr:col>
                    <xdr:colOff>292100</xdr:colOff>
                    <xdr:row>3</xdr:row>
                    <xdr:rowOff>114300</xdr:rowOff>
                  </from>
                  <to>
                    <xdr:col>6</xdr:col>
                    <xdr:colOff>425450</xdr:colOff>
                    <xdr:row>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7" name="Option Button 8">
              <controlPr defaultSize="0" autoFill="0" autoLine="0" autoPict="0">
                <anchor moveWithCells="1">
                  <from>
                    <xdr:col>7</xdr:col>
                    <xdr:colOff>50800</xdr:colOff>
                    <xdr:row>3</xdr:row>
                    <xdr:rowOff>127000</xdr:rowOff>
                  </from>
                  <to>
                    <xdr:col>9</xdr:col>
                    <xdr:colOff>184150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8" name="Option Button 9">
              <controlPr defaultSize="0" autoFill="0" autoLine="0" autoPict="0">
                <anchor moveWithCells="1">
                  <from>
                    <xdr:col>9</xdr:col>
                    <xdr:colOff>400050</xdr:colOff>
                    <xdr:row>3</xdr:row>
                    <xdr:rowOff>133350</xdr:rowOff>
                  </from>
                  <to>
                    <xdr:col>11</xdr:col>
                    <xdr:colOff>533400</xdr:colOff>
                    <xdr:row>4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9" name="Option Button 10">
              <controlPr defaultSize="0" autoFill="0" autoLine="0" autoPict="0">
                <anchor moveWithCells="1">
                  <from>
                    <xdr:col>12</xdr:col>
                    <xdr:colOff>120650</xdr:colOff>
                    <xdr:row>3</xdr:row>
                    <xdr:rowOff>146050</xdr:rowOff>
                  </from>
                  <to>
                    <xdr:col>14</xdr:col>
                    <xdr:colOff>254000</xdr:colOff>
                    <xdr:row>4</xdr:row>
                    <xdr:rowOff>273050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6FE3C-C767-4DB9-BCFF-8BA8D4EDA25D}">
  <dimension ref="A2:AG431"/>
  <sheetViews>
    <sheetView showGridLines="0" topLeftCell="A330" zoomScale="71" zoomScaleNormal="71" workbookViewId="0">
      <selection activeCell="L371" sqref="L371"/>
    </sheetView>
  </sheetViews>
  <sheetFormatPr defaultRowHeight="14.5" x14ac:dyDescent="0.35"/>
  <cols>
    <col min="1" max="1" width="17.1796875" customWidth="1"/>
    <col min="2" max="2" width="27.81640625" customWidth="1"/>
    <col min="17" max="17" width="11.7265625" customWidth="1"/>
    <col min="18" max="18" width="26.453125" customWidth="1"/>
    <col min="19" max="19" width="28.90625" customWidth="1"/>
  </cols>
  <sheetData>
    <row r="2" spans="1:33" ht="25" x14ac:dyDescent="0.5">
      <c r="A2" s="146" t="s">
        <v>85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63"/>
    </row>
    <row r="3" spans="1:33" ht="25" x14ac:dyDescent="0.5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63"/>
    </row>
    <row r="4" spans="1:33" ht="25" x14ac:dyDescent="0.5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63"/>
    </row>
    <row r="5" spans="1:33" ht="25" x14ac:dyDescent="0.5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63"/>
    </row>
    <row r="6" spans="1:33" ht="25" x14ac:dyDescent="0.5">
      <c r="A6" s="96"/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63"/>
    </row>
    <row r="7" spans="1:33" ht="25" x14ac:dyDescent="0.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63"/>
    </row>
    <row r="8" spans="1:33" ht="25" x14ac:dyDescent="0.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63"/>
    </row>
    <row r="9" spans="1:33" ht="25" x14ac:dyDescent="0.5">
      <c r="A9" s="96"/>
      <c r="B9" s="96"/>
      <c r="C9" s="97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63"/>
    </row>
    <row r="10" spans="1:33" ht="25" x14ac:dyDescent="0.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63"/>
    </row>
    <row r="11" spans="1:33" ht="25" x14ac:dyDescent="0.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63"/>
    </row>
    <row r="12" spans="1:33" ht="25.5" thickBot="1" x14ac:dyDescent="0.55000000000000004">
      <c r="A12" s="96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63"/>
    </row>
    <row r="13" spans="1:33" ht="15.5" x14ac:dyDescent="0.35">
      <c r="A13" s="42"/>
      <c r="B13" s="43"/>
      <c r="C13" s="93"/>
      <c r="D13" s="91">
        <v>2023</v>
      </c>
      <c r="E13" s="65">
        <v>2024</v>
      </c>
      <c r="F13" s="65">
        <v>2025</v>
      </c>
      <c r="G13" s="65">
        <v>2026</v>
      </c>
      <c r="H13" s="65">
        <v>2027</v>
      </c>
      <c r="I13" s="65">
        <v>2028</v>
      </c>
      <c r="J13" s="65">
        <v>2029</v>
      </c>
      <c r="K13" s="65">
        <v>2030</v>
      </c>
      <c r="L13" s="65">
        <v>2031</v>
      </c>
      <c r="M13" s="65">
        <v>2032</v>
      </c>
      <c r="N13" s="65">
        <v>2033</v>
      </c>
      <c r="O13" s="65">
        <v>2034</v>
      </c>
      <c r="P13" s="65">
        <v>2035</v>
      </c>
      <c r="Q13" s="65">
        <v>2036</v>
      </c>
      <c r="R13" s="66" t="s">
        <v>84</v>
      </c>
    </row>
    <row r="14" spans="1:33" ht="16" thickBot="1" x14ac:dyDescent="0.4">
      <c r="A14" s="1"/>
      <c r="C14" s="21"/>
      <c r="D14" s="92">
        <f>SUM(D63+D113+D163+D212+D261+D310+D359+D408)</f>
        <v>1170.1949999999997</v>
      </c>
      <c r="E14" s="92">
        <f t="shared" ref="E14:Q14" si="0">SUM(E63+E113+E163+E212+E261+E310+E359+E408)</f>
        <v>1300.5711057299998</v>
      </c>
      <c r="F14" s="92">
        <f t="shared" si="0"/>
        <v>1447.4533796746073</v>
      </c>
      <c r="G14" s="92">
        <f t="shared" si="0"/>
        <v>1613.0827268802921</v>
      </c>
      <c r="H14" s="92">
        <f t="shared" si="0"/>
        <v>1800.0211243761742</v>
      </c>
      <c r="I14" s="92">
        <f t="shared" si="0"/>
        <v>2011.1998369169023</v>
      </c>
      <c r="J14" s="92">
        <f t="shared" si="0"/>
        <v>2249.9752123302078</v>
      </c>
      <c r="K14" s="92">
        <f t="shared" si="0"/>
        <v>2520.1933054142501</v>
      </c>
      <c r="L14" s="92">
        <f t="shared" si="0"/>
        <v>2826.2647955482348</v>
      </c>
      <c r="M14" s="92">
        <f t="shared" si="0"/>
        <v>3173.2519188037131</v>
      </c>
      <c r="N14" s="92">
        <f t="shared" si="0"/>
        <v>3566.9694379394109</v>
      </c>
      <c r="O14" s="92">
        <f t="shared" si="0"/>
        <v>4014.1020323243401</v>
      </c>
      <c r="P14" s="92">
        <f t="shared" si="0"/>
        <v>4522.3409155106829</v>
      </c>
      <c r="Q14" s="92">
        <f t="shared" si="0"/>
        <v>5100.5429940679751</v>
      </c>
      <c r="R14" s="131">
        <f t="shared" ref="R14:R19" si="1">RATE(9,,-H14,Q14)</f>
        <v>0.12269003502722302</v>
      </c>
      <c r="T14" s="65">
        <v>2023</v>
      </c>
      <c r="U14" s="65">
        <v>2024</v>
      </c>
      <c r="V14" s="65">
        <v>2025</v>
      </c>
      <c r="W14" s="65">
        <v>2026</v>
      </c>
      <c r="X14" s="65">
        <v>2027</v>
      </c>
      <c r="Y14" s="65">
        <v>2028</v>
      </c>
      <c r="Z14" s="65">
        <v>2029</v>
      </c>
      <c r="AA14" s="65">
        <v>2030</v>
      </c>
      <c r="AB14" s="65">
        <v>2031</v>
      </c>
      <c r="AC14" s="65">
        <v>2032</v>
      </c>
      <c r="AD14" s="65">
        <v>2033</v>
      </c>
      <c r="AE14" s="65">
        <v>2034</v>
      </c>
      <c r="AF14" s="65">
        <v>2035</v>
      </c>
      <c r="AG14" s="65">
        <v>2036</v>
      </c>
    </row>
    <row r="15" spans="1:33" s="121" customFormat="1" x14ac:dyDescent="0.35">
      <c r="A15" s="147" t="s">
        <v>59</v>
      </c>
      <c r="B15" s="118" t="s">
        <v>60</v>
      </c>
      <c r="C15" s="119"/>
      <c r="D15" s="120">
        <f>D14*T15</f>
        <v>351.05849999999998</v>
      </c>
      <c r="E15" s="120">
        <f>E14*U15</f>
        <v>394.82542270001431</v>
      </c>
      <c r="F15" s="120">
        <f>F14*V15</f>
        <v>444.65721694256825</v>
      </c>
      <c r="G15" s="120">
        <f t="shared" ref="G15:Q15" si="2">G14*W15</f>
        <v>501.44944456656151</v>
      </c>
      <c r="H15" s="120">
        <f t="shared" si="2"/>
        <v>566.23651031057011</v>
      </c>
      <c r="I15" s="120">
        <f t="shared" si="2"/>
        <v>640.21411521945993</v>
      </c>
      <c r="J15" s="120">
        <f t="shared" si="2"/>
        <v>724.76549088546437</v>
      </c>
      <c r="K15" s="120">
        <f t="shared" si="2"/>
        <v>821.49207788048818</v>
      </c>
      <c r="L15" s="120">
        <f t="shared" si="2"/>
        <v>932.24943324456433</v>
      </c>
      <c r="M15" s="120">
        <f t="shared" si="2"/>
        <v>1059.1892966889541</v>
      </c>
      <c r="N15" s="120">
        <f t="shared" si="2"/>
        <v>1204.8089179268247</v>
      </c>
      <c r="O15" s="120">
        <f t="shared" si="2"/>
        <v>1372.0089539189623</v>
      </c>
      <c r="P15" s="120">
        <f t="shared" si="2"/>
        <v>1564.1614916764597</v>
      </c>
      <c r="Q15" s="120">
        <f t="shared" si="2"/>
        <v>1785.1900479237897</v>
      </c>
      <c r="R15" s="131">
        <f t="shared" si="1"/>
        <v>0.13608184816445426</v>
      </c>
      <c r="S15" s="118" t="s">
        <v>60</v>
      </c>
      <c r="T15" s="136">
        <v>0.30000000000000004</v>
      </c>
      <c r="U15" s="136">
        <v>0.30357849790796487</v>
      </c>
      <c r="V15" s="136">
        <v>0.3071996813068541</v>
      </c>
      <c r="W15" s="136">
        <v>0.31086405936313422</v>
      </c>
      <c r="X15" s="136">
        <v>0.31457214731677569</v>
      </c>
      <c r="Y15" s="136">
        <v>0.31832446655369928</v>
      </c>
      <c r="Z15" s="136">
        <v>0.32212154467908749</v>
      </c>
      <c r="AA15" s="136">
        <v>0.32596391559156912</v>
      </c>
      <c r="AB15" s="136">
        <v>0.32985211955829069</v>
      </c>
      <c r="AC15" s="136">
        <v>0.33378670329088106</v>
      </c>
      <c r="AD15" s="136">
        <v>0.33776822002232409</v>
      </c>
      <c r="AE15" s="136">
        <v>0.34179722958474706</v>
      </c>
      <c r="AF15" s="136">
        <v>0.34587429848813767</v>
      </c>
      <c r="AG15" s="136">
        <v>0.3499999999999997</v>
      </c>
    </row>
    <row r="16" spans="1:33" s="117" customFormat="1" x14ac:dyDescent="0.35">
      <c r="A16" s="148"/>
      <c r="B16" s="113" t="s">
        <v>61</v>
      </c>
      <c r="C16" s="114"/>
      <c r="D16" s="115">
        <f>D14*T16</f>
        <v>234.03899999999996</v>
      </c>
      <c r="E16" s="115">
        <f t="shared" ref="E16:Q16" si="3">E14*U16</f>
        <v>261.09228734854054</v>
      </c>
      <c r="F16" s="115">
        <f t="shared" si="3"/>
        <v>291.67182058738018</v>
      </c>
      <c r="G16" s="115">
        <f t="shared" si="3"/>
        <v>326.26949792925615</v>
      </c>
      <c r="H16" s="115">
        <f t="shared" si="3"/>
        <v>365.44950826009762</v>
      </c>
      <c r="I16" s="115">
        <f t="shared" si="3"/>
        <v>409.8594483698306</v>
      </c>
      <c r="J16" s="115">
        <f t="shared" si="3"/>
        <v>460.24322662300369</v>
      </c>
      <c r="K16" s="115">
        <f t="shared" si="3"/>
        <v>517.45605335873438</v>
      </c>
      <c r="L16" s="115">
        <f t="shared" si="3"/>
        <v>582.48187122914726</v>
      </c>
      <c r="M16" s="115">
        <f t="shared" si="3"/>
        <v>656.45364140274717</v>
      </c>
      <c r="N16" s="115">
        <f t="shared" si="3"/>
        <v>740.67697598166865</v>
      </c>
      <c r="O16" s="115">
        <f t="shared" si="3"/>
        <v>836.65769540753081</v>
      </c>
      <c r="P16" s="115">
        <f t="shared" si="3"/>
        <v>946.13399483199407</v>
      </c>
      <c r="Q16" s="115">
        <f t="shared" si="3"/>
        <v>1071.1140287542753</v>
      </c>
      <c r="R16" s="131">
        <f t="shared" si="1"/>
        <v>0.12691150809525939</v>
      </c>
      <c r="S16" s="113" t="s">
        <v>61</v>
      </c>
      <c r="T16" s="135">
        <v>0.2</v>
      </c>
      <c r="U16" s="135">
        <v>0.20075202824223254</v>
      </c>
      <c r="V16" s="135">
        <v>0.20150688421685059</v>
      </c>
      <c r="W16" s="135">
        <v>0.20226457855652732</v>
      </c>
      <c r="X16" s="135">
        <v>0.20302512193391614</v>
      </c>
      <c r="Y16" s="135">
        <v>0.20378852506180117</v>
      </c>
      <c r="Z16" s="135">
        <v>0.20455479869324805</v>
      </c>
      <c r="AA16" s="135">
        <v>0.20532395362175559</v>
      </c>
      <c r="AB16" s="135">
        <v>0.20609600068140757</v>
      </c>
      <c r="AC16" s="135">
        <v>0.20687095074702552</v>
      </c>
      <c r="AD16" s="135">
        <v>0.20764881473432178</v>
      </c>
      <c r="AE16" s="135">
        <v>0.20842960360005336</v>
      </c>
      <c r="AF16" s="135">
        <v>0.20921332834217618</v>
      </c>
      <c r="AG16" s="135">
        <v>0.2100000000000001</v>
      </c>
    </row>
    <row r="17" spans="1:33" s="117" customFormat="1" x14ac:dyDescent="0.35">
      <c r="A17" s="148"/>
      <c r="B17" s="113" t="s">
        <v>62</v>
      </c>
      <c r="C17" s="114"/>
      <c r="D17" s="115">
        <f>D14*T17</f>
        <v>117.01950000000006</v>
      </c>
      <c r="E17" s="115">
        <f t="shared" ref="E17:Q17" si="4">E14*U17</f>
        <v>131.89397778146599</v>
      </c>
      <c r="F17" s="115">
        <f t="shared" si="4"/>
        <v>148.86284500973147</v>
      </c>
      <c r="G17" s="115">
        <f t="shared" si="4"/>
        <v>168.23999081814603</v>
      </c>
      <c r="H17" s="115">
        <f t="shared" si="4"/>
        <v>190.38865340833277</v>
      </c>
      <c r="I17" s="115">
        <f t="shared" si="4"/>
        <v>215.72950676885543</v>
      </c>
      <c r="J17" s="115">
        <f t="shared" si="4"/>
        <v>244.75012600197419</v>
      </c>
      <c r="K17" s="115">
        <f t="shared" si="4"/>
        <v>278.01607591001755</v>
      </c>
      <c r="L17" s="115">
        <f t="shared" si="4"/>
        <v>316.18391277263424</v>
      </c>
      <c r="M17" s="115">
        <f t="shared" si="4"/>
        <v>360.01644328436163</v>
      </c>
      <c r="N17" s="115">
        <f t="shared" si="4"/>
        <v>410.40064919186</v>
      </c>
      <c r="O17" s="115">
        <f t="shared" si="4"/>
        <v>468.36876342112811</v>
      </c>
      <c r="P17" s="115">
        <f t="shared" si="4"/>
        <v>535.12307602571252</v>
      </c>
      <c r="Q17" s="115">
        <f t="shared" si="4"/>
        <v>612.06515928815736</v>
      </c>
      <c r="R17" s="131">
        <f t="shared" si="1"/>
        <v>0.13854639613693737</v>
      </c>
      <c r="S17" s="113" t="s">
        <v>62</v>
      </c>
      <c r="T17" s="135">
        <v>0.10000000000000007</v>
      </c>
      <c r="U17" s="135">
        <v>0.10141235431140461</v>
      </c>
      <c r="V17" s="135">
        <v>0.10284465606981855</v>
      </c>
      <c r="W17" s="135">
        <v>0.10429718700386978</v>
      </c>
      <c r="X17" s="135">
        <v>0.10577023282119258</v>
      </c>
      <c r="Y17" s="135">
        <v>0.1072640832646253</v>
      </c>
      <c r="Z17" s="135">
        <v>0.10877903216920175</v>
      </c>
      <c r="AA17" s="135">
        <v>0.11031537751994758</v>
      </c>
      <c r="AB17" s="135">
        <v>0.11187342151049273</v>
      </c>
      <c r="AC17" s="135">
        <v>0.11345347060251193</v>
      </c>
      <c r="AD17" s="135">
        <v>0.11505583558600457</v>
      </c>
      <c r="AE17" s="135">
        <v>0.11668083164042599</v>
      </c>
      <c r="AF17" s="135">
        <v>0.11832877839668221</v>
      </c>
      <c r="AG17" s="135">
        <v>0.12000000000000006</v>
      </c>
    </row>
    <row r="18" spans="1:33" s="117" customFormat="1" x14ac:dyDescent="0.35">
      <c r="A18" s="148"/>
      <c r="B18" s="113" t="s">
        <v>63</v>
      </c>
      <c r="C18" s="114"/>
      <c r="D18" s="115">
        <f>D14*T18</f>
        <v>81.91364999999999</v>
      </c>
      <c r="E18" s="115">
        <f>E14*U18</f>
        <v>91.524424044302293</v>
      </c>
      <c r="F18" s="115">
        <f t="shared" ref="F18:Q18" si="5">F14*V18</f>
        <v>102.40292252057031</v>
      </c>
      <c r="G18" s="115">
        <f t="shared" si="5"/>
        <v>114.72795983608452</v>
      </c>
      <c r="H18" s="115">
        <f t="shared" si="5"/>
        <v>128.7049040637157</v>
      </c>
      <c r="I18" s="115">
        <f t="shared" si="5"/>
        <v>144.5698005366288</v>
      </c>
      <c r="J18" s="115">
        <f t="shared" si="5"/>
        <v>162.59416408380309</v>
      </c>
      <c r="K18" s="115">
        <f t="shared" si="5"/>
        <v>183.0905532306499</v>
      </c>
      <c r="L18" s="115">
        <f t="shared" si="5"/>
        <v>206.41905980816986</v>
      </c>
      <c r="M18" s="115">
        <f t="shared" si="5"/>
        <v>232.9948712826635</v>
      </c>
      <c r="N18" s="115">
        <f t="shared" si="5"/>
        <v>263.29709147029848</v>
      </c>
      <c r="O18" s="115">
        <f t="shared" si="5"/>
        <v>297.87903902222132</v>
      </c>
      <c r="P18" s="115">
        <f t="shared" si="5"/>
        <v>337.38028322544164</v>
      </c>
      <c r="Q18" s="115">
        <f t="shared" si="5"/>
        <v>382.54072455509754</v>
      </c>
      <c r="R18" s="131">
        <f t="shared" si="1"/>
        <v>0.12866415139175785</v>
      </c>
      <c r="S18" s="113" t="s">
        <v>63</v>
      </c>
      <c r="T18" s="135">
        <v>7.0000000000000007E-2</v>
      </c>
      <c r="U18" s="135">
        <v>7.0372487625680713E-2</v>
      </c>
      <c r="V18" s="135">
        <v>7.0746957351808359E-2</v>
      </c>
      <c r="W18" s="135">
        <v>7.1123419725638515E-2</v>
      </c>
      <c r="X18" s="135">
        <v>7.1501885350551325E-2</v>
      </c>
      <c r="Y18" s="135">
        <v>7.1882364886350206E-2</v>
      </c>
      <c r="Z18" s="135">
        <v>7.2264869049562072E-2</v>
      </c>
      <c r="AA18" s="135">
        <v>7.2649408613739211E-2</v>
      </c>
      <c r="AB18" s="135">
        <v>7.3035994409762647E-2</v>
      </c>
      <c r="AC18" s="135">
        <v>7.3424637326147249E-2</v>
      </c>
      <c r="AD18" s="135">
        <v>7.3815348309348452E-2</v>
      </c>
      <c r="AE18" s="135">
        <v>7.4208138364070517E-2</v>
      </c>
      <c r="AF18" s="135">
        <v>7.4603018553576511E-2</v>
      </c>
      <c r="AG18" s="135">
        <v>7.4999999999999886E-2</v>
      </c>
    </row>
    <row r="19" spans="1:33" s="117" customFormat="1" x14ac:dyDescent="0.35">
      <c r="A19" s="148"/>
      <c r="B19" s="113" t="s">
        <v>64</v>
      </c>
      <c r="C19" s="114"/>
      <c r="D19" s="115">
        <f>D14*T19</f>
        <v>386.16434999999973</v>
      </c>
      <c r="E19" s="115">
        <f>E14*U19</f>
        <v>421.23499385567675</v>
      </c>
      <c r="F19" s="115">
        <f t="shared" ref="F19:Q19" si="6">F14*V19</f>
        <v>459.85857461435722</v>
      </c>
      <c r="G19" s="115">
        <f t="shared" si="6"/>
        <v>502.39583373024374</v>
      </c>
      <c r="H19" s="115">
        <f t="shared" si="6"/>
        <v>549.24154833345801</v>
      </c>
      <c r="I19" s="115">
        <f t="shared" si="6"/>
        <v>600.82696602212729</v>
      </c>
      <c r="J19" s="115">
        <f t="shared" si="6"/>
        <v>657.62220473596233</v>
      </c>
      <c r="K19" s="115">
        <f t="shared" si="6"/>
        <v>720.13854503435994</v>
      </c>
      <c r="L19" s="115">
        <f t="shared" si="6"/>
        <v>788.93051849371921</v>
      </c>
      <c r="M19" s="115">
        <f t="shared" si="6"/>
        <v>864.59766614498676</v>
      </c>
      <c r="N19" s="115">
        <f t="shared" si="6"/>
        <v>947.7858033687595</v>
      </c>
      <c r="O19" s="115">
        <f t="shared" si="6"/>
        <v>1039.187580554498</v>
      </c>
      <c r="P19" s="115">
        <f t="shared" si="6"/>
        <v>1139.5420697510747</v>
      </c>
      <c r="Q19" s="115">
        <f t="shared" si="6"/>
        <v>1249.633033546655</v>
      </c>
      <c r="R19" s="131">
        <f t="shared" si="1"/>
        <v>9.5642298873947679E-2</v>
      </c>
      <c r="S19" s="113" t="s">
        <v>64</v>
      </c>
      <c r="T19" s="135">
        <f>1-SUM(T15:T18)</f>
        <v>0.32999999999999985</v>
      </c>
      <c r="U19" s="135">
        <f t="shared" ref="U19:AG19" si="7">1-SUM(U15:U18)</f>
        <v>0.32388463191271732</v>
      </c>
      <c r="V19" s="135">
        <f t="shared" si="7"/>
        <v>0.31770182105466849</v>
      </c>
      <c r="W19" s="135">
        <f t="shared" si="7"/>
        <v>0.31145075535083011</v>
      </c>
      <c r="X19" s="135">
        <f t="shared" si="7"/>
        <v>0.30513061257756424</v>
      </c>
      <c r="Y19" s="135">
        <f t="shared" si="7"/>
        <v>0.29874056023352391</v>
      </c>
      <c r="Z19" s="135">
        <f t="shared" si="7"/>
        <v>0.29227975540890061</v>
      </c>
      <c r="AA19" s="135">
        <f t="shared" si="7"/>
        <v>0.28574734465298846</v>
      </c>
      <c r="AB19" s="135">
        <f t="shared" si="7"/>
        <v>0.27914246384004637</v>
      </c>
      <c r="AC19" s="135">
        <f t="shared" si="7"/>
        <v>0.27246423803343423</v>
      </c>
      <c r="AD19" s="135">
        <f t="shared" si="7"/>
        <v>0.26571178134800122</v>
      </c>
      <c r="AE19" s="135">
        <f t="shared" si="7"/>
        <v>0.25888419681070318</v>
      </c>
      <c r="AF19" s="135">
        <f t="shared" si="7"/>
        <v>0.25198057621942738</v>
      </c>
      <c r="AG19" s="135">
        <f t="shared" si="7"/>
        <v>0.24500000000000022</v>
      </c>
    </row>
    <row r="20" spans="1:33" x14ac:dyDescent="0.35">
      <c r="A20" s="1"/>
      <c r="D20" s="81" t="b">
        <f>D14=SUM(D15:D19)</f>
        <v>1</v>
      </c>
      <c r="E20" s="81" t="b">
        <f>E14=SUM(E15:E19)</f>
        <v>1</v>
      </c>
      <c r="F20" s="81" t="b">
        <f t="shared" ref="F20:Q20" si="8">F14=SUM(F15:F19)</f>
        <v>1</v>
      </c>
      <c r="G20" s="81" t="b">
        <f t="shared" si="8"/>
        <v>1</v>
      </c>
      <c r="H20" s="81" t="b">
        <f t="shared" si="8"/>
        <v>1</v>
      </c>
      <c r="I20" s="81" t="b">
        <f t="shared" si="8"/>
        <v>1</v>
      </c>
      <c r="J20" s="81" t="b">
        <f t="shared" si="8"/>
        <v>1</v>
      </c>
      <c r="K20" s="81" t="b">
        <f t="shared" si="8"/>
        <v>1</v>
      </c>
      <c r="L20" s="81" t="b">
        <f t="shared" si="8"/>
        <v>1</v>
      </c>
      <c r="M20" s="81" t="b">
        <f t="shared" si="8"/>
        <v>1</v>
      </c>
      <c r="N20" s="81" t="b">
        <f t="shared" si="8"/>
        <v>1</v>
      </c>
      <c r="O20" s="81" t="b">
        <f t="shared" si="8"/>
        <v>1</v>
      </c>
      <c r="P20" s="81" t="b">
        <f t="shared" si="8"/>
        <v>1</v>
      </c>
      <c r="Q20" s="81" t="b">
        <f t="shared" si="8"/>
        <v>1</v>
      </c>
      <c r="R20" s="21"/>
      <c r="T20" s="12"/>
    </row>
    <row r="21" spans="1:33" s="117" customFormat="1" x14ac:dyDescent="0.35">
      <c r="A21" s="149" t="s">
        <v>65</v>
      </c>
      <c r="B21" s="122" t="s">
        <v>66</v>
      </c>
      <c r="C21" s="123"/>
      <c r="D21" s="124">
        <f>D14*T21</f>
        <v>819.13649999999973</v>
      </c>
      <c r="E21" s="124">
        <f t="shared" ref="E21:Q21" si="9">E14*U21</f>
        <v>910.4998179422098</v>
      </c>
      <c r="F21" s="124">
        <f t="shared" si="9"/>
        <v>1013.4400509075596</v>
      </c>
      <c r="G21" s="124">
        <f t="shared" si="9"/>
        <v>1129.5301586762537</v>
      </c>
      <c r="H21" s="124">
        <f t="shared" si="9"/>
        <v>1260.5686397169761</v>
      </c>
      <c r="I21" s="124">
        <f t="shared" si="9"/>
        <v>1408.6134242406458</v>
      </c>
      <c r="J21" s="124">
        <f t="shared" si="9"/>
        <v>1576.0210987291439</v>
      </c>
      <c r="K21" s="124">
        <f t="shared" si="9"/>
        <v>1765.4923409544285</v>
      </c>
      <c r="L21" s="124">
        <f t="shared" si="9"/>
        <v>1980.1245967579478</v>
      </c>
      <c r="M21" s="124">
        <f t="shared" si="9"/>
        <v>2223.4732098756167</v>
      </c>
      <c r="N21" s="124">
        <f t="shared" si="9"/>
        <v>2499.6224292021561</v>
      </c>
      <c r="O21" s="124">
        <f t="shared" si="9"/>
        <v>2813.267970500543</v>
      </c>
      <c r="P21" s="124">
        <f t="shared" si="9"/>
        <v>3169.8131093948723</v>
      </c>
      <c r="Q21" s="124">
        <f t="shared" si="9"/>
        <v>3575.4806388416505</v>
      </c>
      <c r="R21" s="131">
        <f>RATE(9,,-H21,Q21)</f>
        <v>0.1228132992043469</v>
      </c>
      <c r="S21" s="122" t="s">
        <v>66</v>
      </c>
      <c r="T21" s="135">
        <v>0.7</v>
      </c>
      <c r="U21" s="135">
        <v>0.70007692307692304</v>
      </c>
      <c r="V21" s="135">
        <v>0.70015384615384613</v>
      </c>
      <c r="W21" s="135">
        <v>0.70023076923076921</v>
      </c>
      <c r="X21" s="135">
        <v>0.7003076923076923</v>
      </c>
      <c r="Y21" s="135">
        <v>0.70038461538461538</v>
      </c>
      <c r="Z21" s="135">
        <v>0.70046153846153836</v>
      </c>
      <c r="AA21" s="135">
        <v>0.70053846153846144</v>
      </c>
      <c r="AB21" s="135">
        <v>0.70061538461538453</v>
      </c>
      <c r="AC21" s="135">
        <v>0.70069230769230761</v>
      </c>
      <c r="AD21" s="135">
        <v>0.7007692307692307</v>
      </c>
      <c r="AE21" s="135">
        <v>0.70084615384615379</v>
      </c>
      <c r="AF21" s="135">
        <v>0.70092307692307687</v>
      </c>
      <c r="AG21" s="135">
        <v>0.70099999999999996</v>
      </c>
    </row>
    <row r="22" spans="1:33" s="117" customFormat="1" x14ac:dyDescent="0.35">
      <c r="A22" s="149"/>
      <c r="B22" s="122" t="s">
        <v>67</v>
      </c>
      <c r="C22" s="123"/>
      <c r="D22" s="124">
        <f>D14*T22</f>
        <v>234.03899999999996</v>
      </c>
      <c r="E22" s="124">
        <f t="shared" ref="E22:Q22" si="10">E14*U22</f>
        <v>260.21426507720992</v>
      </c>
      <c r="F22" s="124">
        <f t="shared" si="10"/>
        <v>289.71336107025598</v>
      </c>
      <c r="G22" s="124">
        <f t="shared" si="10"/>
        <v>322.98879523610771</v>
      </c>
      <c r="H22" s="124">
        <f t="shared" si="10"/>
        <v>360.55807752888904</v>
      </c>
      <c r="I22" s="124">
        <f t="shared" si="10"/>
        <v>403.01350578219467</v>
      </c>
      <c r="J22" s="124">
        <f t="shared" si="10"/>
        <v>451.03349256404016</v>
      </c>
      <c r="K22" s="124">
        <f t="shared" si="10"/>
        <v>505.39568824730389</v>
      </c>
      <c r="L22" s="124">
        <f t="shared" si="10"/>
        <v>566.99219898383046</v>
      </c>
      <c r="M22" s="124">
        <f t="shared" si="10"/>
        <v>636.8472504737606</v>
      </c>
      <c r="N22" s="124">
        <f t="shared" si="10"/>
        <v>716.13771023245101</v>
      </c>
      <c r="O22" s="124">
        <f t="shared" si="10"/>
        <v>806.21695433837317</v>
      </c>
      <c r="P22" s="124">
        <f t="shared" si="10"/>
        <v>908.6426516395311</v>
      </c>
      <c r="Q22" s="124">
        <f t="shared" si="10"/>
        <v>1025.2091418076629</v>
      </c>
      <c r="R22" s="131">
        <f>RATE(9,,-H22,Q22)</f>
        <v>0.12312051475698627</v>
      </c>
      <c r="S22" s="122" t="s">
        <v>67</v>
      </c>
      <c r="T22" s="135">
        <v>0.2</v>
      </c>
      <c r="U22" s="135">
        <v>0.20007692307692307</v>
      </c>
      <c r="V22" s="135">
        <v>0.20015384615384615</v>
      </c>
      <c r="W22" s="135">
        <v>0.20023076923076924</v>
      </c>
      <c r="X22" s="135">
        <v>0.2003076923076923</v>
      </c>
      <c r="Y22" s="135">
        <v>0.20038461538461538</v>
      </c>
      <c r="Z22" s="135">
        <v>0.20046153846153847</v>
      </c>
      <c r="AA22" s="135">
        <v>0.20053846153846155</v>
      </c>
      <c r="AB22" s="135">
        <v>0.20061538461538461</v>
      </c>
      <c r="AC22" s="135">
        <v>0.2006923076923077</v>
      </c>
      <c r="AD22" s="135">
        <v>0.20076923076923078</v>
      </c>
      <c r="AE22" s="135">
        <v>0.20084615384615384</v>
      </c>
      <c r="AF22" s="135">
        <v>0.20092307692307693</v>
      </c>
      <c r="AG22" s="135">
        <v>0.20100000000000001</v>
      </c>
    </row>
    <row r="23" spans="1:33" s="117" customFormat="1" x14ac:dyDescent="0.35">
      <c r="A23" s="149"/>
      <c r="B23" s="122" t="s">
        <v>68</v>
      </c>
      <c r="C23" s="123"/>
      <c r="D23" s="124">
        <f>D14*T23</f>
        <v>117.01950000000008</v>
      </c>
      <c r="E23" s="124">
        <f t="shared" ref="E23:L23" si="11">E14*U23</f>
        <v>129.85702271058008</v>
      </c>
      <c r="F23" s="124">
        <f t="shared" si="11"/>
        <v>144.2999676967917</v>
      </c>
      <c r="G23" s="124">
        <f t="shared" si="11"/>
        <v>160.56377296793067</v>
      </c>
      <c r="H23" s="124">
        <f t="shared" si="11"/>
        <v>178.89440713030905</v>
      </c>
      <c r="I23" s="124">
        <f t="shared" si="11"/>
        <v>199.57290689406184</v>
      </c>
      <c r="J23" s="124">
        <f t="shared" si="11"/>
        <v>222.92062103702389</v>
      </c>
      <c r="K23" s="124">
        <f t="shared" si="11"/>
        <v>249.30527621251755</v>
      </c>
      <c r="L23" s="124">
        <f t="shared" si="11"/>
        <v>279.1479998064566</v>
      </c>
      <c r="M23" s="124">
        <f>M14*AC23</f>
        <v>312.93145845433554</v>
      </c>
      <c r="N23" s="124">
        <f t="shared" ref="N23:Q23" si="12">N14*AD23</f>
        <v>351.20929850480366</v>
      </c>
      <c r="O23" s="124">
        <f t="shared" si="12"/>
        <v>394.61710748542407</v>
      </c>
      <c r="P23" s="124">
        <f t="shared" si="12"/>
        <v>443.88515447627981</v>
      </c>
      <c r="Q23" s="124">
        <f t="shared" si="12"/>
        <v>499.85321341866199</v>
      </c>
      <c r="R23" s="131">
        <f>RATE(9,,-H23,Q23)</f>
        <v>0.12094126834655594</v>
      </c>
      <c r="S23" s="122" t="s">
        <v>68</v>
      </c>
      <c r="T23" s="135">
        <f>1-SUM(T21:T22)</f>
        <v>0.10000000000000009</v>
      </c>
      <c r="U23" s="135">
        <f t="shared" ref="U23:AG23" si="13">1-SUM(U21:U22)</f>
        <v>9.9846153846153918E-2</v>
      </c>
      <c r="V23" s="135">
        <f t="shared" si="13"/>
        <v>9.9692307692307747E-2</v>
      </c>
      <c r="W23" s="135">
        <f t="shared" si="13"/>
        <v>9.9538461538461576E-2</v>
      </c>
      <c r="X23" s="135">
        <f t="shared" si="13"/>
        <v>9.9384615384615405E-2</v>
      </c>
      <c r="Y23" s="135">
        <f t="shared" si="13"/>
        <v>9.9230769230769234E-2</v>
      </c>
      <c r="Z23" s="135">
        <f t="shared" si="13"/>
        <v>9.9076923076923173E-2</v>
      </c>
      <c r="AA23" s="135">
        <f t="shared" si="13"/>
        <v>9.8923076923077002E-2</v>
      </c>
      <c r="AB23" s="135">
        <f t="shared" si="13"/>
        <v>9.8769230769230831E-2</v>
      </c>
      <c r="AC23" s="135">
        <f t="shared" si="13"/>
        <v>9.861538461538466E-2</v>
      </c>
      <c r="AD23" s="135">
        <f t="shared" si="13"/>
        <v>9.8461538461538489E-2</v>
      </c>
      <c r="AE23" s="135">
        <f t="shared" si="13"/>
        <v>9.8307692307692429E-2</v>
      </c>
      <c r="AF23" s="135">
        <f t="shared" si="13"/>
        <v>9.8153846153846258E-2</v>
      </c>
      <c r="AG23" s="135">
        <f t="shared" si="13"/>
        <v>9.8000000000000087E-2</v>
      </c>
    </row>
    <row r="24" spans="1:33" ht="15" thickBot="1" x14ac:dyDescent="0.4">
      <c r="A24" s="1"/>
      <c r="D24" s="81" t="b">
        <f>D14=SUM(D21:D23)</f>
        <v>1</v>
      </c>
      <c r="E24" s="81" t="b">
        <f t="shared" ref="E24:Q24" si="14">E14=SUM(E21:E23)</f>
        <v>1</v>
      </c>
      <c r="F24" s="81" t="b">
        <f t="shared" si="14"/>
        <v>1</v>
      </c>
      <c r="G24" s="81" t="b">
        <f t="shared" si="14"/>
        <v>1</v>
      </c>
      <c r="H24" s="81" t="b">
        <f t="shared" si="14"/>
        <v>1</v>
      </c>
      <c r="I24" s="81" t="b">
        <f t="shared" si="14"/>
        <v>1</v>
      </c>
      <c r="J24" s="81" t="b">
        <f t="shared" si="14"/>
        <v>1</v>
      </c>
      <c r="K24" s="81" t="b">
        <f t="shared" si="14"/>
        <v>1</v>
      </c>
      <c r="L24" s="81" t="b">
        <f t="shared" si="14"/>
        <v>1</v>
      </c>
      <c r="M24" s="81" t="b">
        <f t="shared" si="14"/>
        <v>1</v>
      </c>
      <c r="N24" s="81" t="b">
        <f t="shared" si="14"/>
        <v>1</v>
      </c>
      <c r="O24" s="81" t="b">
        <f t="shared" si="14"/>
        <v>1</v>
      </c>
      <c r="P24" s="81" t="b">
        <f t="shared" si="14"/>
        <v>1</v>
      </c>
      <c r="Q24" s="81" t="b">
        <f t="shared" si="14"/>
        <v>1</v>
      </c>
      <c r="R24" s="21"/>
    </row>
    <row r="25" spans="1:33" s="117" customFormat="1" x14ac:dyDescent="0.35">
      <c r="A25" s="149" t="s">
        <v>69</v>
      </c>
      <c r="B25" s="125" t="s">
        <v>70</v>
      </c>
      <c r="C25" s="126"/>
      <c r="D25" s="127">
        <f>D14*T25</f>
        <v>351.05849999999981</v>
      </c>
      <c r="E25" s="127">
        <f t="shared" ref="E25:Q25" si="15">E14*U25</f>
        <v>393.31611336032944</v>
      </c>
      <c r="F25" s="127">
        <f t="shared" si="15"/>
        <v>441.26410956909115</v>
      </c>
      <c r="G25" s="127">
        <f t="shared" si="15"/>
        <v>495.72068872182393</v>
      </c>
      <c r="H25" s="127">
        <f t="shared" si="15"/>
        <v>557.62776345777172</v>
      </c>
      <c r="I25" s="127">
        <f t="shared" si="15"/>
        <v>628.07049908370846</v>
      </c>
      <c r="J25" s="127">
        <f t="shared" si="15"/>
        <v>708.3000724088181</v>
      </c>
      <c r="K25" s="127">
        <f t="shared" si="15"/>
        <v>799.76020272458277</v>
      </c>
      <c r="L25" s="127">
        <f t="shared" si="15"/>
        <v>904.11810790015693</v>
      </c>
      <c r="M25" s="127">
        <f t="shared" si="15"/>
        <v>1023.3006568653777</v>
      </c>
      <c r="N25" s="127">
        <f t="shared" si="15"/>
        <v>1159.536630533463</v>
      </c>
      <c r="O25" s="127">
        <f t="shared" si="15"/>
        <v>1315.4061709577347</v>
      </c>
      <c r="P25" s="127">
        <f t="shared" si="15"/>
        <v>1493.8986986444195</v>
      </c>
      <c r="Q25" s="127">
        <f t="shared" si="15"/>
        <v>1698.4808170246349</v>
      </c>
      <c r="R25" s="131">
        <f>RATE(9,,-H25,Q25)</f>
        <v>0.13173891874553351</v>
      </c>
      <c r="S25" s="125" t="s">
        <v>70</v>
      </c>
      <c r="T25" s="136">
        <v>0.29999999999999993</v>
      </c>
      <c r="U25" s="136">
        <v>0.30241800054412588</v>
      </c>
      <c r="V25" s="136">
        <v>0.30485549017702313</v>
      </c>
      <c r="W25" s="136">
        <v>0.30731262598078252</v>
      </c>
      <c r="X25" s="136">
        <v>0.30978956630357685</v>
      </c>
      <c r="Y25" s="136">
        <v>0.31228647076986549</v>
      </c>
      <c r="Z25" s="136">
        <v>0.31480350029068122</v>
      </c>
      <c r="AA25" s="136">
        <v>0.31734081707399991</v>
      </c>
      <c r="AB25" s="136">
        <v>0.31989858463519422</v>
      </c>
      <c r="AC25" s="136">
        <v>0.32247696780757096</v>
      </c>
      <c r="AD25" s="136">
        <v>0.32507613275299363</v>
      </c>
      <c r="AE25" s="136">
        <v>0.32769624697259059</v>
      </c>
      <c r="AF25" s="136">
        <v>0.33033747931754981</v>
      </c>
      <c r="AG25" s="136">
        <v>0.33299999999999985</v>
      </c>
    </row>
    <row r="26" spans="1:33" s="117" customFormat="1" x14ac:dyDescent="0.35">
      <c r="A26" s="149"/>
      <c r="B26" s="125" t="s">
        <v>71</v>
      </c>
      <c r="C26" s="126"/>
      <c r="D26" s="127">
        <f>D14*T26</f>
        <v>234.03899999999999</v>
      </c>
      <c r="E26" s="127">
        <f t="shared" ref="E26:Q26" si="16">E14*U26</f>
        <v>262.02827006164819</v>
      </c>
      <c r="F26" s="127">
        <f t="shared" si="16"/>
        <v>293.76678187124509</v>
      </c>
      <c r="G26" s="127">
        <f t="shared" si="16"/>
        <v>329.79099615974025</v>
      </c>
      <c r="H26" s="127">
        <f t="shared" si="16"/>
        <v>370.71811512800872</v>
      </c>
      <c r="I26" s="127">
        <f t="shared" si="16"/>
        <v>417.25878038247009</v>
      </c>
      <c r="J26" s="127">
        <f t="shared" si="16"/>
        <v>470.23185412503625</v>
      </c>
      <c r="K26" s="127">
        <f t="shared" si="16"/>
        <v>530.58164048157482</v>
      </c>
      <c r="L26" s="127">
        <f t="shared" si="16"/>
        <v>599.39796782690678</v>
      </c>
      <c r="M26" s="127">
        <f t="shared" si="16"/>
        <v>677.93962896318146</v>
      </c>
      <c r="N26" s="127">
        <f t="shared" si="16"/>
        <v>767.66176640544859</v>
      </c>
      <c r="O26" s="127">
        <f t="shared" si="16"/>
        <v>870.24789768809921</v>
      </c>
      <c r="P26" s="127">
        <f t="shared" si="16"/>
        <v>987.64740399178447</v>
      </c>
      <c r="Q26" s="127">
        <f t="shared" si="16"/>
        <v>1122.1194586949548</v>
      </c>
      <c r="R26" s="131">
        <f>RATE(9,,-H26,Q26)</f>
        <v>0.13095134282743057</v>
      </c>
      <c r="S26" s="125" t="s">
        <v>71</v>
      </c>
      <c r="T26" s="135">
        <v>0.20000000000000004</v>
      </c>
      <c r="U26" s="135">
        <v>0.20147169878464574</v>
      </c>
      <c r="V26" s="135">
        <v>0.20295422705585509</v>
      </c>
      <c r="W26" s="135">
        <v>0.20444766450233912</v>
      </c>
      <c r="X26" s="135">
        <v>0.20595209139919785</v>
      </c>
      <c r="Y26" s="135">
        <v>0.20746758861223505</v>
      </c>
      <c r="Z26" s="135">
        <v>0.20899423760230507</v>
      </c>
      <c r="AA26" s="135">
        <v>0.21053212042969136</v>
      </c>
      <c r="AB26" s="135">
        <v>0.21208131975851768</v>
      </c>
      <c r="AC26" s="135">
        <v>0.21364191886119097</v>
      </c>
      <c r="AD26" s="135">
        <v>0.21521400162287799</v>
      </c>
      <c r="AE26" s="135">
        <v>0.21679765254601358</v>
      </c>
      <c r="AF26" s="135">
        <v>0.21839295675484363</v>
      </c>
      <c r="AG26" s="135">
        <v>0.22000000000000006</v>
      </c>
    </row>
    <row r="27" spans="1:33" s="117" customFormat="1" x14ac:dyDescent="0.35">
      <c r="A27" s="149"/>
      <c r="B27" s="125" t="s">
        <v>72</v>
      </c>
      <c r="C27" s="126"/>
      <c r="D27" s="127">
        <f>D14*T27</f>
        <v>175.52924999999996</v>
      </c>
      <c r="E27" s="127">
        <f t="shared" ref="E27:Q27" si="17">E14*U27</f>
        <v>196.52120254623608</v>
      </c>
      <c r="F27" s="127">
        <f t="shared" si="17"/>
        <v>220.32508640343374</v>
      </c>
      <c r="G27" s="127">
        <f t="shared" si="17"/>
        <v>247.34324711980517</v>
      </c>
      <c r="H27" s="127">
        <f t="shared" si="17"/>
        <v>278.03858634600647</v>
      </c>
      <c r="I27" s="127">
        <f t="shared" si="17"/>
        <v>312.94408528685256</v>
      </c>
      <c r="J27" s="127">
        <f t="shared" si="17"/>
        <v>352.67389059377712</v>
      </c>
      <c r="K27" s="127">
        <f t="shared" si="17"/>
        <v>397.93623036118112</v>
      </c>
      <c r="L27" s="127">
        <f t="shared" si="17"/>
        <v>449.54847587017997</v>
      </c>
      <c r="M27" s="127">
        <f t="shared" si="17"/>
        <v>508.45472172238607</v>
      </c>
      <c r="N27" s="127">
        <f t="shared" si="17"/>
        <v>575.74632480408627</v>
      </c>
      <c r="O27" s="127">
        <f t="shared" si="17"/>
        <v>652.68592326607427</v>
      </c>
      <c r="P27" s="127">
        <f t="shared" si="17"/>
        <v>740.73555299383827</v>
      </c>
      <c r="Q27" s="127">
        <f t="shared" si="17"/>
        <v>841.58959402121593</v>
      </c>
      <c r="R27" s="131">
        <f>RATE(9,,-H27,Q27)</f>
        <v>0.13095134282743082</v>
      </c>
      <c r="S27" s="125" t="s">
        <v>72</v>
      </c>
      <c r="T27" s="135">
        <v>0.15</v>
      </c>
      <c r="U27" s="135">
        <v>0.15110377408848427</v>
      </c>
      <c r="V27" s="135">
        <v>0.15221567029189129</v>
      </c>
      <c r="W27" s="135">
        <v>0.15333574837675432</v>
      </c>
      <c r="X27" s="135">
        <v>0.15446406854939837</v>
      </c>
      <c r="Y27" s="135">
        <v>0.15560069145917627</v>
      </c>
      <c r="Z27" s="135">
        <v>0.15674567820172877</v>
      </c>
      <c r="AA27" s="135">
        <v>0.15789909032226851</v>
      </c>
      <c r="AB27" s="135">
        <v>0.15906098981888822</v>
      </c>
      <c r="AC27" s="135">
        <v>0.16023143914589322</v>
      </c>
      <c r="AD27" s="135">
        <v>0.16141050121715844</v>
      </c>
      <c r="AE27" s="135">
        <v>0.16259823940951015</v>
      </c>
      <c r="AF27" s="135">
        <v>0.1637947175661327</v>
      </c>
      <c r="AG27" s="135">
        <v>0.16500000000000001</v>
      </c>
    </row>
    <row r="28" spans="1:33" s="117" customFormat="1" x14ac:dyDescent="0.35">
      <c r="A28" s="149"/>
      <c r="B28" s="125" t="s">
        <v>73</v>
      </c>
      <c r="C28" s="126"/>
      <c r="D28" s="127">
        <f>D14*T28</f>
        <v>81.91364999999999</v>
      </c>
      <c r="E28" s="127">
        <f t="shared" ref="E28:Q28" si="18">E14*U28</f>
        <v>91.524424044302293</v>
      </c>
      <c r="F28" s="127">
        <f t="shared" si="18"/>
        <v>102.40292252057031</v>
      </c>
      <c r="G28" s="127">
        <f t="shared" si="18"/>
        <v>114.72795983608452</v>
      </c>
      <c r="H28" s="127">
        <f t="shared" si="18"/>
        <v>128.7049040637157</v>
      </c>
      <c r="I28" s="127">
        <f t="shared" si="18"/>
        <v>144.5698005366288</v>
      </c>
      <c r="J28" s="127">
        <f t="shared" si="18"/>
        <v>162.59416408380309</v>
      </c>
      <c r="K28" s="127">
        <f t="shared" si="18"/>
        <v>183.0905532306499</v>
      </c>
      <c r="L28" s="127">
        <f t="shared" si="18"/>
        <v>206.41905980816986</v>
      </c>
      <c r="M28" s="127">
        <f t="shared" si="18"/>
        <v>232.9948712826635</v>
      </c>
      <c r="N28" s="127">
        <f t="shared" si="18"/>
        <v>263.29709147029848</v>
      </c>
      <c r="O28" s="127">
        <f t="shared" si="18"/>
        <v>297.87903902222132</v>
      </c>
      <c r="P28" s="127">
        <f t="shared" si="18"/>
        <v>337.38028322544164</v>
      </c>
      <c r="Q28" s="127">
        <f t="shared" si="18"/>
        <v>382.54072455509754</v>
      </c>
      <c r="R28" s="131">
        <f>RATE(9,,-H28,Q28)</f>
        <v>0.12866415139175785</v>
      </c>
      <c r="S28" s="125" t="s">
        <v>73</v>
      </c>
      <c r="T28" s="135">
        <v>7.0000000000000007E-2</v>
      </c>
      <c r="U28" s="135">
        <v>7.0372487625680713E-2</v>
      </c>
      <c r="V28" s="135">
        <v>7.0746957351808359E-2</v>
      </c>
      <c r="W28" s="135">
        <v>7.1123419725638515E-2</v>
      </c>
      <c r="X28" s="135">
        <v>7.1501885350551325E-2</v>
      </c>
      <c r="Y28" s="135">
        <v>7.1882364886350206E-2</v>
      </c>
      <c r="Z28" s="135">
        <v>7.2264869049562072E-2</v>
      </c>
      <c r="AA28" s="135">
        <v>7.2649408613739211E-2</v>
      </c>
      <c r="AB28" s="135">
        <v>7.3035994409762647E-2</v>
      </c>
      <c r="AC28" s="135">
        <v>7.3424637326147249E-2</v>
      </c>
      <c r="AD28" s="135">
        <v>7.3815348309348452E-2</v>
      </c>
      <c r="AE28" s="135">
        <v>7.4208138364070517E-2</v>
      </c>
      <c r="AF28" s="135">
        <v>7.4603018553576511E-2</v>
      </c>
      <c r="AG28" s="135">
        <v>7.4999999999999886E-2</v>
      </c>
    </row>
    <row r="29" spans="1:33" s="117" customFormat="1" x14ac:dyDescent="0.35">
      <c r="A29" s="149"/>
      <c r="B29" s="125" t="s">
        <v>74</v>
      </c>
      <c r="C29" s="126"/>
      <c r="D29" s="127">
        <f>D14*T29</f>
        <v>327.65459999999996</v>
      </c>
      <c r="E29" s="127">
        <f t="shared" ref="E29:Q29" si="19">E14*U29</f>
        <v>357.1810957174838</v>
      </c>
      <c r="F29" s="127">
        <f t="shared" si="19"/>
        <v>389.69447931026701</v>
      </c>
      <c r="G29" s="127">
        <f t="shared" si="19"/>
        <v>425.49983504283807</v>
      </c>
      <c r="H29" s="127">
        <f t="shared" si="19"/>
        <v>464.93175538067158</v>
      </c>
      <c r="I29" s="127">
        <f t="shared" si="19"/>
        <v>508.35667162724252</v>
      </c>
      <c r="J29" s="127">
        <f t="shared" si="19"/>
        <v>556.17523111877301</v>
      </c>
      <c r="K29" s="127">
        <f t="shared" si="19"/>
        <v>608.82467861626128</v>
      </c>
      <c r="L29" s="127">
        <f t="shared" si="19"/>
        <v>666.78118414282164</v>
      </c>
      <c r="M29" s="127">
        <f t="shared" si="19"/>
        <v>730.56203997010437</v>
      </c>
      <c r="N29" s="127">
        <f t="shared" si="19"/>
        <v>800.72762472611498</v>
      </c>
      <c r="O29" s="127">
        <f t="shared" si="19"/>
        <v>877.88300139021078</v>
      </c>
      <c r="P29" s="127">
        <f t="shared" si="19"/>
        <v>962.67897665519854</v>
      </c>
      <c r="Q29" s="127">
        <f t="shared" si="19"/>
        <v>1055.8123997720718</v>
      </c>
      <c r="R29" s="131">
        <f>RATE(9,,-H29,Q29)</f>
        <v>9.5412028075491651E-2</v>
      </c>
      <c r="S29" s="125" t="s">
        <v>74</v>
      </c>
      <c r="T29" s="135">
        <f>1-SUM(T25:T28)</f>
        <v>0.28000000000000003</v>
      </c>
      <c r="U29" s="135">
        <f t="shared" ref="U29:AG29" si="20">1-SUM(U25:U28)</f>
        <v>0.2746340389570634</v>
      </c>
      <c r="V29" s="135">
        <f t="shared" si="20"/>
        <v>0.26922765512342217</v>
      </c>
      <c r="W29" s="135">
        <f t="shared" si="20"/>
        <v>0.26378054141448548</v>
      </c>
      <c r="X29" s="135">
        <f t="shared" si="20"/>
        <v>0.25829238839727564</v>
      </c>
      <c r="Y29" s="135">
        <f t="shared" si="20"/>
        <v>0.25276288427237303</v>
      </c>
      <c r="Z29" s="135">
        <f t="shared" si="20"/>
        <v>0.24719171485572278</v>
      </c>
      <c r="AA29" s="135">
        <f t="shared" si="20"/>
        <v>0.24157856356030094</v>
      </c>
      <c r="AB29" s="135">
        <f t="shared" si="20"/>
        <v>0.23592311137763733</v>
      </c>
      <c r="AC29" s="135">
        <f t="shared" si="20"/>
        <v>0.2302250368591976</v>
      </c>
      <c r="AD29" s="135">
        <f t="shared" si="20"/>
        <v>0.22448401609762159</v>
      </c>
      <c r="AE29" s="135">
        <f t="shared" si="20"/>
        <v>0.21869972270781524</v>
      </c>
      <c r="AF29" s="135">
        <f t="shared" si="20"/>
        <v>0.21287182780789726</v>
      </c>
      <c r="AG29" s="135">
        <f t="shared" si="20"/>
        <v>0.20700000000000018</v>
      </c>
    </row>
    <row r="30" spans="1:33" ht="15" thickBot="1" x14ac:dyDescent="0.4">
      <c r="A30" s="2"/>
      <c r="D30" s="81" t="b">
        <f>D14=SUM(D25:D29)</f>
        <v>1</v>
      </c>
      <c r="E30" s="81" t="b">
        <f t="shared" ref="E30:Q30" si="21">E14=SUM(E25:E29)</f>
        <v>1</v>
      </c>
      <c r="F30" s="81" t="b">
        <f t="shared" si="21"/>
        <v>1</v>
      </c>
      <c r="G30" s="81" t="b">
        <f t="shared" si="21"/>
        <v>1</v>
      </c>
      <c r="H30" s="81" t="b">
        <f t="shared" si="21"/>
        <v>1</v>
      </c>
      <c r="I30" s="81" t="b">
        <f t="shared" si="21"/>
        <v>1</v>
      </c>
      <c r="J30" s="81" t="b">
        <f t="shared" si="21"/>
        <v>1</v>
      </c>
      <c r="K30" s="81" t="b">
        <f t="shared" si="21"/>
        <v>1</v>
      </c>
      <c r="L30" s="81" t="b">
        <f t="shared" si="21"/>
        <v>0</v>
      </c>
      <c r="M30" s="81" t="b">
        <f t="shared" si="21"/>
        <v>1</v>
      </c>
      <c r="N30" s="81" t="b">
        <f t="shared" si="21"/>
        <v>1</v>
      </c>
      <c r="O30" s="81" t="b">
        <f t="shared" si="21"/>
        <v>1</v>
      </c>
      <c r="P30" s="81" t="b">
        <f t="shared" si="21"/>
        <v>1</v>
      </c>
      <c r="Q30" s="81" t="b">
        <f t="shared" si="21"/>
        <v>1</v>
      </c>
      <c r="R30" s="21"/>
    </row>
    <row r="31" spans="1:33" s="117" customFormat="1" x14ac:dyDescent="0.35">
      <c r="A31" s="149" t="s">
        <v>75</v>
      </c>
      <c r="B31" s="128" t="s">
        <v>76</v>
      </c>
      <c r="C31" s="129"/>
      <c r="D31" s="130">
        <f>D14*T31</f>
        <v>292.54874999999993</v>
      </c>
      <c r="E31" s="130">
        <f t="shared" ref="E31:Q31" si="22">E14*U31</f>
        <v>321.96120653606147</v>
      </c>
      <c r="F31" s="130">
        <f t="shared" si="22"/>
        <v>354.8162208881613</v>
      </c>
      <c r="G31" s="130">
        <f t="shared" si="22"/>
        <v>391.54795347990608</v>
      </c>
      <c r="H31" s="130">
        <f t="shared" si="22"/>
        <v>432.64865287161683</v>
      </c>
      <c r="I31" s="130">
        <f t="shared" si="22"/>
        <v>478.67684003952536</v>
      </c>
      <c r="J31" s="130">
        <f t="shared" si="22"/>
        <v>530.26670643157104</v>
      </c>
      <c r="K31" s="130">
        <f t="shared" si="22"/>
        <v>588.13891562073468</v>
      </c>
      <c r="L31" s="130">
        <f t="shared" si="22"/>
        <v>653.11302975963474</v>
      </c>
      <c r="M31" s="130">
        <f t="shared" si="22"/>
        <v>726.12181891616081</v>
      </c>
      <c r="N31" s="130">
        <f t="shared" si="22"/>
        <v>808.22775475696244</v>
      </c>
      <c r="O31" s="130">
        <f t="shared" si="22"/>
        <v>900.64204116048063</v>
      </c>
      <c r="P31" s="130">
        <f t="shared" si="22"/>
        <v>1004.7465946408155</v>
      </c>
      <c r="Q31" s="130">
        <f t="shared" si="22"/>
        <v>1122.1194586949539</v>
      </c>
      <c r="R31" s="131">
        <f t="shared" ref="R31:R37" si="23">RATE(9,,-H31,Q31)</f>
        <v>0.11170434788969974</v>
      </c>
      <c r="S31" s="128" t="s">
        <v>76</v>
      </c>
      <c r="T31" s="136">
        <v>0.25</v>
      </c>
      <c r="U31" s="136">
        <v>0.2475537132245817</v>
      </c>
      <c r="V31" s="136">
        <v>0.24513136372511374</v>
      </c>
      <c r="W31" s="136">
        <v>0.24273271727182974</v>
      </c>
      <c r="X31" s="136">
        <v>0.24035754192693604</v>
      </c>
      <c r="Y31" s="136">
        <v>0.23800560802218437</v>
      </c>
      <c r="Z31" s="136">
        <v>0.23567668813666415</v>
      </c>
      <c r="AA31" s="136">
        <v>0.23337055707481172</v>
      </c>
      <c r="AB31" s="136">
        <v>0.23108699184463527</v>
      </c>
      <c r="AC31" s="136">
        <v>0.22882577163615236</v>
      </c>
      <c r="AD31" s="136">
        <v>0.22658667780003872</v>
      </c>
      <c r="AE31" s="136">
        <v>0.22436949382648591</v>
      </c>
      <c r="AF31" s="136">
        <v>0.22217400532426579</v>
      </c>
      <c r="AG31" s="136">
        <v>0.21999999999999989</v>
      </c>
    </row>
    <row r="32" spans="1:33" s="117" customFormat="1" x14ac:dyDescent="0.35">
      <c r="A32" s="149"/>
      <c r="B32" s="128" t="s">
        <v>77</v>
      </c>
      <c r="C32" s="129"/>
      <c r="D32" s="130">
        <f>D14*T32</f>
        <v>234.03899999999996</v>
      </c>
      <c r="E32" s="130">
        <f t="shared" ref="E32:Q32" si="24">E14*U32</f>
        <v>261.56530233711021</v>
      </c>
      <c r="F32" s="130">
        <f t="shared" si="24"/>
        <v>292.72960837917765</v>
      </c>
      <c r="G32" s="130">
        <f t="shared" si="24"/>
        <v>328.04599768812778</v>
      </c>
      <c r="H32" s="130">
        <f t="shared" si="24"/>
        <v>368.10502018796933</v>
      </c>
      <c r="I32" s="130">
        <f t="shared" si="24"/>
        <v>413.58559050530317</v>
      </c>
      <c r="J32" s="130">
        <f t="shared" si="24"/>
        <v>465.26881384449331</v>
      </c>
      <c r="K32" s="130">
        <f t="shared" si="24"/>
        <v>524.05407120707207</v>
      </c>
      <c r="L32" s="130">
        <f t="shared" si="24"/>
        <v>590.97775003397214</v>
      </c>
      <c r="M32" s="130">
        <f t="shared" si="24"/>
        <v>667.23507548899738</v>
      </c>
      <c r="N32" s="130">
        <f t="shared" si="24"/>
        <v>754.20557974362134</v>
      </c>
      <c r="O32" s="130">
        <f t="shared" si="24"/>
        <v>853.48284433661252</v>
      </c>
      <c r="P32" s="130">
        <f t="shared" si="24"/>
        <v>966.90926707058657</v>
      </c>
      <c r="Q32" s="130">
        <f t="shared" si="24"/>
        <v>1096.6167437246163</v>
      </c>
      <c r="R32" s="131">
        <f t="shared" si="23"/>
        <v>0.12895310817283975</v>
      </c>
      <c r="S32" s="128" t="s">
        <v>77</v>
      </c>
      <c r="T32" s="135">
        <v>0.2</v>
      </c>
      <c r="U32" s="135">
        <v>0.20111572614885656</v>
      </c>
      <c r="V32" s="135">
        <v>0.20223767652190933</v>
      </c>
      <c r="W32" s="135">
        <v>0.20336588584180673</v>
      </c>
      <c r="X32" s="135">
        <v>0.20450038902490211</v>
      </c>
      <c r="Y32" s="135">
        <v>0.20564122118233419</v>
      </c>
      <c r="Z32" s="135">
        <v>0.20678841762111386</v>
      </c>
      <c r="AA32" s="135">
        <v>0.20794201384521654</v>
      </c>
      <c r="AB32" s="135">
        <v>0.20910204555668152</v>
      </c>
      <c r="AC32" s="135">
        <v>0.21026854865671646</v>
      </c>
      <c r="AD32" s="135">
        <v>0.21144155924680855</v>
      </c>
      <c r="AE32" s="135">
        <v>0.21262111362984182</v>
      </c>
      <c r="AF32" s="135">
        <v>0.21380724831122089</v>
      </c>
      <c r="AG32" s="135">
        <v>0.21500000000000033</v>
      </c>
    </row>
    <row r="33" spans="1:33" s="117" customFormat="1" x14ac:dyDescent="0.35">
      <c r="A33" s="149"/>
      <c r="B33" s="128" t="s">
        <v>78</v>
      </c>
      <c r="C33" s="129"/>
      <c r="D33" s="132">
        <f>D14*T33</f>
        <v>210.63509999999997</v>
      </c>
      <c r="E33" s="132">
        <f t="shared" ref="E33:Q33" si="25">E14*U33</f>
        <v>234.30186805173392</v>
      </c>
      <c r="F33" s="132">
        <f t="shared" si="25"/>
        <v>260.98489919430648</v>
      </c>
      <c r="G33" s="132">
        <f t="shared" si="25"/>
        <v>291.09622962501624</v>
      </c>
      <c r="H33" s="132">
        <f t="shared" si="25"/>
        <v>325.10727379530448</v>
      </c>
      <c r="I33" s="132">
        <f t="shared" si="25"/>
        <v>363.55778970765709</v>
      </c>
      <c r="J33" s="132">
        <f t="shared" si="25"/>
        <v>407.0662606198718</v>
      </c>
      <c r="K33" s="132">
        <f t="shared" si="25"/>
        <v>456.34192760461394</v>
      </c>
      <c r="L33" s="132">
        <f t="shared" si="25"/>
        <v>512.19874816356776</v>
      </c>
      <c r="M33" s="132">
        <f t="shared" si="25"/>
        <v>575.571604300187</v>
      </c>
      <c r="N33" s="132">
        <f t="shared" si="25"/>
        <v>647.53514054863547</v>
      </c>
      <c r="O33" s="132">
        <f t="shared" si="25"/>
        <v>729.32568016547555</v>
      </c>
      <c r="P33" s="132">
        <f t="shared" si="25"/>
        <v>822.36674809436624</v>
      </c>
      <c r="Q33" s="132">
        <f t="shared" si="25"/>
        <v>928.29882492037018</v>
      </c>
      <c r="R33" s="131">
        <f t="shared" si="23"/>
        <v>0.12364471308462209</v>
      </c>
      <c r="S33" s="128" t="s">
        <v>78</v>
      </c>
      <c r="T33" s="135">
        <v>0.18000000000000002</v>
      </c>
      <c r="U33" s="135">
        <v>0.18015306277331314</v>
      </c>
      <c r="V33" s="135">
        <v>0.18030625570336284</v>
      </c>
      <c r="W33" s="135">
        <v>0.18045957890082762</v>
      </c>
      <c r="X33" s="135">
        <v>0.18061303247648028</v>
      </c>
      <c r="Y33" s="135">
        <v>0.18076661654118778</v>
      </c>
      <c r="Z33" s="135">
        <v>0.18092033120591131</v>
      </c>
      <c r="AA33" s="135">
        <v>0.18107417658170627</v>
      </c>
      <c r="AB33" s="135">
        <v>0.1812281527797229</v>
      </c>
      <c r="AC33" s="135">
        <v>0.1813822599112056</v>
      </c>
      <c r="AD33" s="135">
        <v>0.18153649808749345</v>
      </c>
      <c r="AE33" s="135">
        <v>0.18169086742002025</v>
      </c>
      <c r="AF33" s="135">
        <v>0.18184536802031454</v>
      </c>
      <c r="AG33" s="135">
        <v>0.18199999999999975</v>
      </c>
    </row>
    <row r="34" spans="1:33" s="117" customFormat="1" x14ac:dyDescent="0.35">
      <c r="A34" s="149"/>
      <c r="B34" s="128" t="s">
        <v>79</v>
      </c>
      <c r="C34" s="129"/>
      <c r="D34" s="132">
        <f>D14*T34</f>
        <v>140.42339999999993</v>
      </c>
      <c r="E34" s="132">
        <f t="shared" ref="E34:Q34" si="26">E14*U34</f>
        <v>156.36525592540303</v>
      </c>
      <c r="F34" s="132">
        <f t="shared" si="26"/>
        <v>174.35550180627376</v>
      </c>
      <c r="G34" s="132">
        <f t="shared" si="26"/>
        <v>194.6760944559187</v>
      </c>
      <c r="H34" s="132">
        <f t="shared" si="26"/>
        <v>217.64991344766818</v>
      </c>
      <c r="I34" s="132">
        <f t="shared" si="26"/>
        <v>243.64698118241441</v>
      </c>
      <c r="J34" s="132">
        <f t="shared" si="26"/>
        <v>273.0916717082315</v>
      </c>
      <c r="K34" s="132">
        <f t="shared" si="26"/>
        <v>306.47107286803788</v>
      </c>
      <c r="L34" s="132">
        <f t="shared" si="26"/>
        <v>344.34469510020932</v>
      </c>
      <c r="M34" s="132">
        <f t="shared" si="26"/>
        <v>387.35575424726358</v>
      </c>
      <c r="N34" s="132">
        <f t="shared" si="26"/>
        <v>436.24429606041616</v>
      </c>
      <c r="O34" s="132">
        <f t="shared" si="26"/>
        <v>491.86247795182243</v>
      </c>
      <c r="P34" s="132">
        <f t="shared" si="26"/>
        <v>555.19238042259212</v>
      </c>
      <c r="Q34" s="132">
        <f t="shared" si="26"/>
        <v>627.36678827035951</v>
      </c>
      <c r="R34" s="131">
        <f t="shared" si="23"/>
        <v>0.12482453463777589</v>
      </c>
      <c r="S34" s="128" t="s">
        <v>79</v>
      </c>
      <c r="T34" s="135">
        <v>0.11999999999999998</v>
      </c>
      <c r="U34" s="135">
        <v>0.1202281484161041</v>
      </c>
      <c r="V34" s="135">
        <v>0.12045673059637299</v>
      </c>
      <c r="W34" s="135">
        <v>0.12068574736549501</v>
      </c>
      <c r="X34" s="135">
        <v>0.12091519954972652</v>
      </c>
      <c r="Y34" s="135">
        <v>0.1211450879768947</v>
      </c>
      <c r="Z34" s="135">
        <v>0.12137541347640074</v>
      </c>
      <c r="AA34" s="135">
        <v>0.12160617687922258</v>
      </c>
      <c r="AB34" s="135">
        <v>0.12183737901791819</v>
      </c>
      <c r="AC34" s="135">
        <v>0.12206902072662833</v>
      </c>
      <c r="AD34" s="135">
        <v>0.1223011028410797</v>
      </c>
      <c r="AE34" s="135">
        <v>0.12253362619858783</v>
      </c>
      <c r="AF34" s="135">
        <v>0.12276659163806038</v>
      </c>
      <c r="AG34" s="135">
        <v>0.12299999999999972</v>
      </c>
    </row>
    <row r="35" spans="1:33" s="117" customFormat="1" x14ac:dyDescent="0.35">
      <c r="A35" s="149"/>
      <c r="B35" s="128" t="s">
        <v>80</v>
      </c>
      <c r="C35" s="129"/>
      <c r="D35" s="132">
        <f>D14*T35</f>
        <v>117.01949999999995</v>
      </c>
      <c r="E35" s="132">
        <f t="shared" ref="E35:Q35" si="27">E14*U35</f>
        <v>130.54614367427021</v>
      </c>
      <c r="F35" s="132">
        <f t="shared" si="27"/>
        <v>145.83591029369003</v>
      </c>
      <c r="G35" s="132">
        <f t="shared" si="27"/>
        <v>163.13474896462802</v>
      </c>
      <c r="H35" s="132">
        <f t="shared" si="27"/>
        <v>182.72475413004875</v>
      </c>
      <c r="I35" s="132">
        <f t="shared" si="27"/>
        <v>204.92972418491524</v>
      </c>
      <c r="J35" s="132">
        <f t="shared" si="27"/>
        <v>230.12161331150179</v>
      </c>
      <c r="K35" s="132">
        <f t="shared" si="27"/>
        <v>258.72802667936713</v>
      </c>
      <c r="L35" s="132">
        <f t="shared" si="27"/>
        <v>291.24093561457352</v>
      </c>
      <c r="M35" s="132">
        <f t="shared" si="27"/>
        <v>328.22682070137347</v>
      </c>
      <c r="N35" s="132">
        <f t="shared" si="27"/>
        <v>370.33848799083421</v>
      </c>
      <c r="O35" s="132">
        <f t="shared" si="27"/>
        <v>418.32884770376529</v>
      </c>
      <c r="P35" s="132">
        <f t="shared" si="27"/>
        <v>473.06699741599692</v>
      </c>
      <c r="Q35" s="132">
        <f t="shared" si="27"/>
        <v>535.55701437713753</v>
      </c>
      <c r="R35" s="131">
        <f t="shared" si="23"/>
        <v>0.12691150809525939</v>
      </c>
      <c r="S35" s="128" t="s">
        <v>80</v>
      </c>
      <c r="T35" s="135">
        <v>9.9999999999999978E-2</v>
      </c>
      <c r="U35" s="135">
        <v>0.10037601412111624</v>
      </c>
      <c r="V35" s="135">
        <v>0.10075344210842527</v>
      </c>
      <c r="W35" s="135">
        <v>0.10113228927826363</v>
      </c>
      <c r="X35" s="135">
        <v>0.10151256096695804</v>
      </c>
      <c r="Y35" s="135">
        <v>0.10189426253090056</v>
      </c>
      <c r="Z35" s="135">
        <v>0.102277399346624</v>
      </c>
      <c r="AA35" s="135">
        <v>0.10266197681087777</v>
      </c>
      <c r="AB35" s="135">
        <v>0.10304800034070376</v>
      </c>
      <c r="AC35" s="135">
        <v>0.10343547537351272</v>
      </c>
      <c r="AD35" s="135">
        <v>0.10382440736716086</v>
      </c>
      <c r="AE35" s="135">
        <v>0.10421480180002665</v>
      </c>
      <c r="AF35" s="135">
        <v>0.10460666417108806</v>
      </c>
      <c r="AG35" s="135">
        <v>0.10500000000000002</v>
      </c>
    </row>
    <row r="36" spans="1:33" s="117" customFormat="1" x14ac:dyDescent="0.35">
      <c r="A36" s="149"/>
      <c r="B36" s="128" t="s">
        <v>81</v>
      </c>
      <c r="C36" s="129"/>
      <c r="D36" s="132">
        <f>D14*T36</f>
        <v>152.12535000000003</v>
      </c>
      <c r="E36" s="132">
        <f t="shared" ref="E36:Q36" si="28">E14*U36</f>
        <v>169.46884612996254</v>
      </c>
      <c r="F36" s="132">
        <f t="shared" si="28"/>
        <v>189.0482993227576</v>
      </c>
      <c r="G36" s="132">
        <f t="shared" si="28"/>
        <v>211.17244573761019</v>
      </c>
      <c r="H36" s="132">
        <f t="shared" si="28"/>
        <v>236.19496195774749</v>
      </c>
      <c r="I36" s="132">
        <f t="shared" si="28"/>
        <v>264.52131442101529</v>
      </c>
      <c r="J36" s="132">
        <f t="shared" si="28"/>
        <v>296.61670039900508</v>
      </c>
      <c r="K36" s="132">
        <f t="shared" si="28"/>
        <v>333.01526262790935</v>
      </c>
      <c r="L36" s="132">
        <f t="shared" si="28"/>
        <v>374.33079157022206</v>
      </c>
      <c r="M36" s="132">
        <f t="shared" si="28"/>
        <v>421.2691670286269</v>
      </c>
      <c r="N36" s="132">
        <f t="shared" si="28"/>
        <v>474.64283557810393</v>
      </c>
      <c r="O36" s="132">
        <f t="shared" si="28"/>
        <v>535.38767339700348</v>
      </c>
      <c r="P36" s="132">
        <f t="shared" si="28"/>
        <v>604.58264721097908</v>
      </c>
      <c r="Q36" s="132">
        <f t="shared" si="28"/>
        <v>683.47276120510946</v>
      </c>
      <c r="R36" s="131">
        <f t="shared" si="23"/>
        <v>0.12531028135033562</v>
      </c>
      <c r="S36" s="128" t="s">
        <v>81</v>
      </c>
      <c r="T36" s="133">
        <v>0.13000000000000006</v>
      </c>
      <c r="U36" s="133">
        <v>0.13030340700583309</v>
      </c>
      <c r="V36" s="133">
        <v>0.13060752213329063</v>
      </c>
      <c r="W36" s="133">
        <v>0.13091234703505783</v>
      </c>
      <c r="X36" s="133">
        <v>0.13121788336767692</v>
      </c>
      <c r="Y36" s="133">
        <v>0.13152413279155642</v>
      </c>
      <c r="Z36" s="133">
        <v>0.13183109697098006</v>
      </c>
      <c r="AA36" s="133">
        <v>0.13213877757411582</v>
      </c>
      <c r="AB36" s="133">
        <v>0.13244717627302502</v>
      </c>
      <c r="AC36" s="133">
        <v>0.13275629474367151</v>
      </c>
      <c r="AD36" s="133">
        <v>0.13306613466593045</v>
      </c>
      <c r="AE36" s="133">
        <v>0.13337669772359789</v>
      </c>
      <c r="AF36" s="133">
        <v>0.13368798560439951</v>
      </c>
      <c r="AG36" s="133">
        <v>0.13400000000000015</v>
      </c>
    </row>
    <row r="37" spans="1:33" s="117" customFormat="1" x14ac:dyDescent="0.35">
      <c r="A37" s="149"/>
      <c r="B37" s="128" t="s">
        <v>82</v>
      </c>
      <c r="C37" s="129"/>
      <c r="D37" s="132">
        <f>D14*T37</f>
        <v>23.403900000000014</v>
      </c>
      <c r="E37" s="132">
        <f t="shared" ref="E37:Q37" si="29">E14*U37</f>
        <v>26.362483075458464</v>
      </c>
      <c r="F37" s="132">
        <f t="shared" si="29"/>
        <v>29.682939790240383</v>
      </c>
      <c r="G37" s="132">
        <f t="shared" si="29"/>
        <v>33.409256929084961</v>
      </c>
      <c r="H37" s="132">
        <f t="shared" si="29"/>
        <v>37.590547985819079</v>
      </c>
      <c r="I37" s="132">
        <f t="shared" si="29"/>
        <v>42.281596876071688</v>
      </c>
      <c r="J37" s="132">
        <f t="shared" si="29"/>
        <v>47.543446015533455</v>
      </c>
      <c r="K37" s="132">
        <f t="shared" si="29"/>
        <v>53.444028806514844</v>
      </c>
      <c r="L37" s="132">
        <f t="shared" si="29"/>
        <v>60.05884530605536</v>
      </c>
      <c r="M37" s="132">
        <f t="shared" si="29"/>
        <v>67.471678121104503</v>
      </c>
      <c r="N37" s="132">
        <f t="shared" si="29"/>
        <v>75.775343260837744</v>
      </c>
      <c r="O37" s="132">
        <f t="shared" si="29"/>
        <v>85.07246760918062</v>
      </c>
      <c r="P37" s="132">
        <f t="shared" si="29"/>
        <v>95.476280655345903</v>
      </c>
      <c r="Q37" s="132">
        <f t="shared" si="29"/>
        <v>107.11140287542814</v>
      </c>
      <c r="R37" s="131">
        <f t="shared" si="23"/>
        <v>0.12338484615114624</v>
      </c>
      <c r="S37" s="128" t="s">
        <v>82</v>
      </c>
      <c r="T37" s="133">
        <f>1-SUM(T31:T36)</f>
        <v>2.0000000000000018E-2</v>
      </c>
      <c r="U37" s="133">
        <f t="shared" ref="U37:AG37" si="30">1-SUM(U31:U36)</f>
        <v>2.0269928310195251E-2</v>
      </c>
      <c r="V37" s="133">
        <f t="shared" si="30"/>
        <v>2.0507009211525151E-2</v>
      </c>
      <c r="W37" s="133">
        <f t="shared" si="30"/>
        <v>2.0711434306719401E-2</v>
      </c>
      <c r="X37" s="133">
        <f t="shared" si="30"/>
        <v>2.088339268732009E-2</v>
      </c>
      <c r="Y37" s="133">
        <f t="shared" si="30"/>
        <v>2.1023070954941936E-2</v>
      </c>
      <c r="Z37" s="133">
        <f t="shared" si="30"/>
        <v>2.1130653242306008E-2</v>
      </c>
      <c r="AA37" s="133">
        <f t="shared" si="30"/>
        <v>2.1206321234049197E-2</v>
      </c>
      <c r="AB37" s="133">
        <f t="shared" si="30"/>
        <v>2.1250254187313411E-2</v>
      </c>
      <c r="AC37" s="133">
        <f t="shared" si="30"/>
        <v>2.1262628952113172E-2</v>
      </c>
      <c r="AD37" s="133">
        <f t="shared" si="30"/>
        <v>2.1243619991488383E-2</v>
      </c>
      <c r="AE37" s="133">
        <f t="shared" si="30"/>
        <v>2.1193399401439716E-2</v>
      </c>
      <c r="AF37" s="133">
        <f t="shared" si="30"/>
        <v>2.1112136930650727E-2</v>
      </c>
      <c r="AG37" s="133">
        <f t="shared" si="30"/>
        <v>2.100000000000013E-2</v>
      </c>
    </row>
    <row r="38" spans="1:33" x14ac:dyDescent="0.35">
      <c r="D38" t="b">
        <f>D14=SUM(D31:D37)</f>
        <v>1</v>
      </c>
      <c r="E38" t="b">
        <f t="shared" ref="E38:Q38" si="31">E14=SUM(E31:E37)</f>
        <v>1</v>
      </c>
      <c r="F38" t="b">
        <f t="shared" si="31"/>
        <v>1</v>
      </c>
      <c r="G38" t="b">
        <f t="shared" si="31"/>
        <v>1</v>
      </c>
      <c r="H38" t="b">
        <f t="shared" si="31"/>
        <v>1</v>
      </c>
      <c r="I38" t="b">
        <f t="shared" si="31"/>
        <v>1</v>
      </c>
      <c r="J38" t="b">
        <f t="shared" si="31"/>
        <v>1</v>
      </c>
      <c r="K38" t="b">
        <f t="shared" si="31"/>
        <v>1</v>
      </c>
      <c r="L38" t="b">
        <f t="shared" si="31"/>
        <v>0</v>
      </c>
      <c r="M38" t="b">
        <f t="shared" si="31"/>
        <v>1</v>
      </c>
      <c r="N38" t="b">
        <f t="shared" si="31"/>
        <v>1</v>
      </c>
      <c r="O38" t="b">
        <f t="shared" si="31"/>
        <v>1</v>
      </c>
      <c r="P38" t="b">
        <f t="shared" si="31"/>
        <v>1</v>
      </c>
      <c r="Q38" t="b">
        <f t="shared" si="31"/>
        <v>0</v>
      </c>
    </row>
    <row r="39" spans="1:33" ht="25" x14ac:dyDescent="0.5">
      <c r="A39" s="146" t="s">
        <v>86</v>
      </c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63"/>
    </row>
    <row r="40" spans="1:33" ht="23.5" thickBot="1" x14ac:dyDescent="0.55000000000000004">
      <c r="A40" s="63"/>
      <c r="B40" s="63"/>
      <c r="C40" s="63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</row>
    <row r="41" spans="1:33" ht="15.5" hidden="1" customHeight="1" x14ac:dyDescent="0.35">
      <c r="A41" s="42"/>
      <c r="B41" s="43"/>
      <c r="C41" s="93"/>
      <c r="D41" s="91">
        <v>2023</v>
      </c>
      <c r="E41" s="65">
        <v>2024</v>
      </c>
      <c r="F41" s="65">
        <v>2025</v>
      </c>
      <c r="G41" s="65">
        <v>2026</v>
      </c>
      <c r="H41" s="65">
        <v>2027</v>
      </c>
      <c r="I41" s="65">
        <v>2028</v>
      </c>
      <c r="J41" s="65">
        <v>2029</v>
      </c>
      <c r="K41" s="65">
        <v>2030</v>
      </c>
      <c r="L41" s="65">
        <v>2031</v>
      </c>
      <c r="M41" s="65">
        <v>2032</v>
      </c>
      <c r="N41" s="65">
        <v>2033</v>
      </c>
      <c r="O41" s="65">
        <v>2034</v>
      </c>
      <c r="P41" s="65">
        <v>2035</v>
      </c>
      <c r="Q41" s="65">
        <v>2036</v>
      </c>
      <c r="R41" s="66" t="s">
        <v>13</v>
      </c>
    </row>
    <row r="42" spans="1:33" ht="16" hidden="1" customHeight="1" thickBot="1" x14ac:dyDescent="0.4">
      <c r="A42" s="25"/>
      <c r="B42" s="94"/>
      <c r="C42" s="95"/>
      <c r="D42" s="92" t="e">
        <f>#REF!</f>
        <v>#REF!</v>
      </c>
      <c r="E42" s="92" t="e">
        <f>#REF!</f>
        <v>#REF!</v>
      </c>
      <c r="F42" s="92" t="e">
        <f>#REF!</f>
        <v>#REF!</v>
      </c>
      <c r="G42" s="92" t="e">
        <f>#REF!</f>
        <v>#REF!</v>
      </c>
      <c r="H42" s="92" t="e">
        <f>#REF!</f>
        <v>#REF!</v>
      </c>
      <c r="I42" s="92" t="e">
        <f>#REF!</f>
        <v>#REF!</v>
      </c>
      <c r="J42" s="92" t="e">
        <f>#REF!</f>
        <v>#REF!</v>
      </c>
      <c r="K42" s="92" t="e">
        <f>#REF!</f>
        <v>#REF!</v>
      </c>
      <c r="L42" s="92" t="e">
        <f>#REF!</f>
        <v>#REF!</v>
      </c>
      <c r="M42" s="92" t="e">
        <f>#REF!</f>
        <v>#REF!</v>
      </c>
      <c r="N42" s="92" t="e">
        <f>#REF!</f>
        <v>#REF!</v>
      </c>
      <c r="O42" s="92" t="e">
        <f>#REF!</f>
        <v>#REF!</v>
      </c>
      <c r="P42" s="92" t="e">
        <f>#REF!</f>
        <v>#REF!</v>
      </c>
      <c r="Q42" s="92" t="e">
        <f>#REF!</f>
        <v>#REF!</v>
      </c>
      <c r="R42" s="68" t="e">
        <f>RATE(12,,-E42,Q42)</f>
        <v>#REF!</v>
      </c>
      <c r="T42" s="65">
        <v>2023</v>
      </c>
      <c r="U42" s="65">
        <v>2024</v>
      </c>
      <c r="V42" s="65">
        <v>2025</v>
      </c>
      <c r="W42" s="65">
        <v>2026</v>
      </c>
      <c r="X42" s="65">
        <v>2027</v>
      </c>
      <c r="Y42" s="65">
        <v>2028</v>
      </c>
      <c r="Z42" s="65">
        <v>2029</v>
      </c>
      <c r="AA42" s="65">
        <v>2030</v>
      </c>
      <c r="AB42" s="65">
        <v>2031</v>
      </c>
      <c r="AC42" s="65">
        <v>2032</v>
      </c>
      <c r="AD42" s="65">
        <v>2033</v>
      </c>
      <c r="AE42" s="65">
        <v>2034</v>
      </c>
      <c r="AF42" s="65">
        <v>2035</v>
      </c>
      <c r="AG42" s="65">
        <v>2036</v>
      </c>
    </row>
    <row r="43" spans="1:33" ht="14.5" hidden="1" customHeight="1" x14ac:dyDescent="0.35">
      <c r="A43" s="152" t="s">
        <v>49</v>
      </c>
      <c r="B43" s="52" t="s">
        <v>34</v>
      </c>
      <c r="C43" s="45"/>
      <c r="D43" s="79" t="e">
        <f t="shared" ref="D43:Q43" si="32">D42*T43</f>
        <v>#REF!</v>
      </c>
      <c r="E43" s="79" t="e">
        <f t="shared" si="32"/>
        <v>#REF!</v>
      </c>
      <c r="F43" s="79" t="e">
        <f t="shared" si="32"/>
        <v>#REF!</v>
      </c>
      <c r="G43" s="79" t="e">
        <f t="shared" si="32"/>
        <v>#REF!</v>
      </c>
      <c r="H43" s="79" t="e">
        <f t="shared" si="32"/>
        <v>#REF!</v>
      </c>
      <c r="I43" s="79" t="e">
        <f t="shared" si="32"/>
        <v>#REF!</v>
      </c>
      <c r="J43" s="79" t="e">
        <f t="shared" si="32"/>
        <v>#REF!</v>
      </c>
      <c r="K43" s="79" t="e">
        <f t="shared" si="32"/>
        <v>#REF!</v>
      </c>
      <c r="L43" s="79" t="e">
        <f t="shared" si="32"/>
        <v>#REF!</v>
      </c>
      <c r="M43" s="79" t="e">
        <f t="shared" si="32"/>
        <v>#REF!</v>
      </c>
      <c r="N43" s="79" t="e">
        <f t="shared" si="32"/>
        <v>#REF!</v>
      </c>
      <c r="O43" s="79" t="e">
        <f t="shared" si="32"/>
        <v>#REF!</v>
      </c>
      <c r="P43" s="79" t="e">
        <f t="shared" si="32"/>
        <v>#REF!</v>
      </c>
      <c r="Q43" s="79" t="e">
        <f t="shared" si="32"/>
        <v>#REF!</v>
      </c>
      <c r="R43" s="77" t="e">
        <f>RATE(12,,-E43,Q43)</f>
        <v>#REF!</v>
      </c>
      <c r="S43" s="52"/>
      <c r="T43" s="12">
        <v>0.56000000000000005</v>
      </c>
      <c r="U43" s="12">
        <v>0.56092161367703952</v>
      </c>
      <c r="V43" s="12">
        <v>0.56184474408938223</v>
      </c>
      <c r="W43" s="12">
        <v>0.56276939373317769</v>
      </c>
      <c r="X43" s="12">
        <v>0.56369556510868446</v>
      </c>
      <c r="Y43" s="12">
        <v>0.56462326072027491</v>
      </c>
      <c r="Z43" s="12">
        <v>0.56555248307644368</v>
      </c>
      <c r="AA43" s="12">
        <v>0.56648323468981299</v>
      </c>
      <c r="AB43" s="12">
        <v>0.56741551807714108</v>
      </c>
      <c r="AC43" s="12">
        <v>0.56834933575932756</v>
      </c>
      <c r="AD43" s="12">
        <v>0.56928469026142059</v>
      </c>
      <c r="AE43" s="12">
        <v>0.57022158411262425</v>
      </c>
      <c r="AF43" s="12">
        <v>0.57116001984630527</v>
      </c>
      <c r="AG43" s="12">
        <v>0.57209999999999905</v>
      </c>
    </row>
    <row r="44" spans="1:33" ht="15" hidden="1" customHeight="1" thickBot="1" x14ac:dyDescent="0.4">
      <c r="A44" s="153"/>
      <c r="B44" s="53" t="s">
        <v>35</v>
      </c>
      <c r="C44" s="46"/>
      <c r="D44" s="80" t="e">
        <f t="shared" ref="D44:Q44" si="33">D42*T44</f>
        <v>#REF!</v>
      </c>
      <c r="E44" s="80" t="e">
        <f t="shared" si="33"/>
        <v>#REF!</v>
      </c>
      <c r="F44" s="80" t="e">
        <f t="shared" si="33"/>
        <v>#REF!</v>
      </c>
      <c r="G44" s="80" t="e">
        <f t="shared" si="33"/>
        <v>#REF!</v>
      </c>
      <c r="H44" s="80" t="e">
        <f t="shared" si="33"/>
        <v>#REF!</v>
      </c>
      <c r="I44" s="80" t="e">
        <f t="shared" si="33"/>
        <v>#REF!</v>
      </c>
      <c r="J44" s="80" t="e">
        <f t="shared" si="33"/>
        <v>#REF!</v>
      </c>
      <c r="K44" s="80" t="e">
        <f t="shared" si="33"/>
        <v>#REF!</v>
      </c>
      <c r="L44" s="80" t="e">
        <f t="shared" si="33"/>
        <v>#REF!</v>
      </c>
      <c r="M44" s="80" t="e">
        <f t="shared" si="33"/>
        <v>#REF!</v>
      </c>
      <c r="N44" s="80" t="e">
        <f t="shared" si="33"/>
        <v>#REF!</v>
      </c>
      <c r="O44" s="80" t="e">
        <f t="shared" si="33"/>
        <v>#REF!</v>
      </c>
      <c r="P44" s="80" t="e">
        <f t="shared" si="33"/>
        <v>#REF!</v>
      </c>
      <c r="Q44" s="80" t="e">
        <f t="shared" si="33"/>
        <v>#REF!</v>
      </c>
      <c r="R44" s="78" t="e">
        <f>RATE(12,,-E44,Q44)</f>
        <v>#REF!</v>
      </c>
      <c r="S44" s="53"/>
      <c r="T44" s="12">
        <f>1-T43</f>
        <v>0.43999999999999995</v>
      </c>
      <c r="U44" s="12">
        <f t="shared" ref="U44:AG44" si="34">1-U43</f>
        <v>0.43907838632296048</v>
      </c>
      <c r="V44" s="12">
        <f t="shared" si="34"/>
        <v>0.43815525591061777</v>
      </c>
      <c r="W44" s="12">
        <f t="shared" si="34"/>
        <v>0.43723060626682231</v>
      </c>
      <c r="X44" s="12">
        <f t="shared" si="34"/>
        <v>0.43630443489131554</v>
      </c>
      <c r="Y44" s="12">
        <f t="shared" si="34"/>
        <v>0.43537673927972509</v>
      </c>
      <c r="Z44" s="12">
        <f t="shared" si="34"/>
        <v>0.43444751692355632</v>
      </c>
      <c r="AA44" s="12">
        <f t="shared" si="34"/>
        <v>0.43351676531018701</v>
      </c>
      <c r="AB44" s="12">
        <f t="shared" si="34"/>
        <v>0.43258448192285892</v>
      </c>
      <c r="AC44" s="12">
        <f t="shared" si="34"/>
        <v>0.43165066424067244</v>
      </c>
      <c r="AD44" s="12">
        <f t="shared" si="34"/>
        <v>0.43071530973857941</v>
      </c>
      <c r="AE44" s="12">
        <f t="shared" si="34"/>
        <v>0.42977841588737575</v>
      </c>
      <c r="AF44" s="12">
        <f t="shared" si="34"/>
        <v>0.42883998015369473</v>
      </c>
      <c r="AG44" s="12">
        <f t="shared" si="34"/>
        <v>0.42790000000000095</v>
      </c>
    </row>
    <row r="45" spans="1:33" ht="15" hidden="1" customHeight="1" thickBot="1" x14ac:dyDescent="0.4">
      <c r="A45" s="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21"/>
    </row>
    <row r="46" spans="1:33" ht="14.5" hidden="1" customHeight="1" x14ac:dyDescent="0.35">
      <c r="A46" s="152" t="s">
        <v>15</v>
      </c>
      <c r="B46" s="57" t="s">
        <v>16</v>
      </c>
      <c r="C46" s="47"/>
      <c r="D46" s="82" t="e">
        <f t="shared" ref="D46:Q46" si="35">D42*T46</f>
        <v>#REF!</v>
      </c>
      <c r="E46" s="82" t="e">
        <f t="shared" si="35"/>
        <v>#REF!</v>
      </c>
      <c r="F46" s="82" t="e">
        <f t="shared" si="35"/>
        <v>#REF!</v>
      </c>
      <c r="G46" s="82" t="e">
        <f t="shared" si="35"/>
        <v>#REF!</v>
      </c>
      <c r="H46" s="82" t="e">
        <f t="shared" si="35"/>
        <v>#REF!</v>
      </c>
      <c r="I46" s="82" t="e">
        <f t="shared" si="35"/>
        <v>#REF!</v>
      </c>
      <c r="J46" s="82" t="e">
        <f t="shared" si="35"/>
        <v>#REF!</v>
      </c>
      <c r="K46" s="82" t="e">
        <f t="shared" si="35"/>
        <v>#REF!</v>
      </c>
      <c r="L46" s="82" t="e">
        <f t="shared" si="35"/>
        <v>#REF!</v>
      </c>
      <c r="M46" s="82" t="e">
        <f t="shared" si="35"/>
        <v>#REF!</v>
      </c>
      <c r="N46" s="82" t="e">
        <f t="shared" si="35"/>
        <v>#REF!</v>
      </c>
      <c r="O46" s="82" t="e">
        <f t="shared" si="35"/>
        <v>#REF!</v>
      </c>
      <c r="P46" s="82" t="e">
        <f t="shared" si="35"/>
        <v>#REF!</v>
      </c>
      <c r="Q46" s="82" t="e">
        <f t="shared" si="35"/>
        <v>#REF!</v>
      </c>
      <c r="R46" s="69" t="e">
        <f>RATE(12,,-E46,Q46)</f>
        <v>#REF!</v>
      </c>
      <c r="S46" s="57"/>
      <c r="T46" s="12">
        <v>0.47099999999999992</v>
      </c>
      <c r="U46" s="12">
        <v>0.47038461538461535</v>
      </c>
      <c r="V46" s="12">
        <v>0.46976923076923072</v>
      </c>
      <c r="W46" s="12">
        <v>0.46915384615384609</v>
      </c>
      <c r="X46" s="12">
        <v>0.46853846153846151</v>
      </c>
      <c r="Y46" s="12">
        <v>0.46792307692307689</v>
      </c>
      <c r="Z46" s="12">
        <v>0.46730769230769226</v>
      </c>
      <c r="AA46" s="12">
        <v>0.46669230769230763</v>
      </c>
      <c r="AB46" s="12">
        <v>0.46607692307692306</v>
      </c>
      <c r="AC46" s="12">
        <v>0.46546153846153843</v>
      </c>
      <c r="AD46" s="12">
        <v>0.4648461538461538</v>
      </c>
      <c r="AE46" s="12">
        <v>0.46423076923076922</v>
      </c>
      <c r="AF46" s="12">
        <v>0.4636153846153846</v>
      </c>
      <c r="AG46" s="12">
        <v>0.46299999999999997</v>
      </c>
    </row>
    <row r="47" spans="1:33" ht="15" hidden="1" customHeight="1" thickBot="1" x14ac:dyDescent="0.4">
      <c r="A47" s="153"/>
      <c r="B47" s="58" t="s">
        <v>17</v>
      </c>
      <c r="C47" s="48"/>
      <c r="D47" s="83" t="e">
        <f t="shared" ref="D47:Q47" si="36">D42*T47</f>
        <v>#REF!</v>
      </c>
      <c r="E47" s="83" t="e">
        <f t="shared" si="36"/>
        <v>#REF!</v>
      </c>
      <c r="F47" s="83" t="e">
        <f t="shared" si="36"/>
        <v>#REF!</v>
      </c>
      <c r="G47" s="83" t="e">
        <f t="shared" si="36"/>
        <v>#REF!</v>
      </c>
      <c r="H47" s="83" t="e">
        <f t="shared" si="36"/>
        <v>#REF!</v>
      </c>
      <c r="I47" s="83" t="e">
        <f t="shared" si="36"/>
        <v>#REF!</v>
      </c>
      <c r="J47" s="83" t="e">
        <f t="shared" si="36"/>
        <v>#REF!</v>
      </c>
      <c r="K47" s="83" t="e">
        <f t="shared" si="36"/>
        <v>#REF!</v>
      </c>
      <c r="L47" s="83" t="e">
        <f t="shared" si="36"/>
        <v>#REF!</v>
      </c>
      <c r="M47" s="83" t="e">
        <f t="shared" si="36"/>
        <v>#REF!</v>
      </c>
      <c r="N47" s="83" t="e">
        <f t="shared" si="36"/>
        <v>#REF!</v>
      </c>
      <c r="O47" s="83" t="e">
        <f t="shared" si="36"/>
        <v>#REF!</v>
      </c>
      <c r="P47" s="83" t="e">
        <f t="shared" si="36"/>
        <v>#REF!</v>
      </c>
      <c r="Q47" s="83" t="e">
        <f t="shared" si="36"/>
        <v>#REF!</v>
      </c>
      <c r="R47" s="70" t="e">
        <f>RATE(12,,-E47,Q47)</f>
        <v>#REF!</v>
      </c>
      <c r="S47" s="58"/>
      <c r="T47" s="12">
        <f>1-T46</f>
        <v>0.52900000000000014</v>
      </c>
      <c r="U47" s="12">
        <f t="shared" ref="U47:AG47" si="37">1-U46</f>
        <v>0.5296153846153846</v>
      </c>
      <c r="V47" s="12">
        <f t="shared" si="37"/>
        <v>0.53023076923076928</v>
      </c>
      <c r="W47" s="12">
        <f t="shared" si="37"/>
        <v>0.53084615384615397</v>
      </c>
      <c r="X47" s="12">
        <f t="shared" si="37"/>
        <v>0.53146153846153843</v>
      </c>
      <c r="Y47" s="12">
        <f t="shared" si="37"/>
        <v>0.53207692307692311</v>
      </c>
      <c r="Z47" s="12">
        <f t="shared" si="37"/>
        <v>0.5326923076923078</v>
      </c>
      <c r="AA47" s="12">
        <f t="shared" si="37"/>
        <v>0.53330769230769237</v>
      </c>
      <c r="AB47" s="12">
        <f t="shared" si="37"/>
        <v>0.53392307692307694</v>
      </c>
      <c r="AC47" s="12">
        <f t="shared" si="37"/>
        <v>0.53453846153846163</v>
      </c>
      <c r="AD47" s="12">
        <f t="shared" si="37"/>
        <v>0.5351538461538462</v>
      </c>
      <c r="AE47" s="12">
        <f t="shared" si="37"/>
        <v>0.53576923076923078</v>
      </c>
      <c r="AF47" s="12">
        <f t="shared" si="37"/>
        <v>0.53638461538461546</v>
      </c>
      <c r="AG47" s="12">
        <f t="shared" si="37"/>
        <v>0.53700000000000003</v>
      </c>
    </row>
    <row r="48" spans="1:33" ht="15" hidden="1" customHeight="1" thickBot="1" x14ac:dyDescent="0.4">
      <c r="A48" s="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21"/>
    </row>
    <row r="49" spans="1:33" ht="14.5" hidden="1" customHeight="1" x14ac:dyDescent="0.35">
      <c r="A49" s="152" t="s">
        <v>18</v>
      </c>
      <c r="B49" s="54" t="s">
        <v>19</v>
      </c>
      <c r="C49" s="49"/>
      <c r="D49" s="84" t="e">
        <f t="shared" ref="D49:Q49" si="38">D42*T49</f>
        <v>#REF!</v>
      </c>
      <c r="E49" s="84" t="e">
        <f t="shared" si="38"/>
        <v>#REF!</v>
      </c>
      <c r="F49" s="84" t="e">
        <f t="shared" si="38"/>
        <v>#REF!</v>
      </c>
      <c r="G49" s="84" t="e">
        <f t="shared" si="38"/>
        <v>#REF!</v>
      </c>
      <c r="H49" s="84" t="e">
        <f t="shared" si="38"/>
        <v>#REF!</v>
      </c>
      <c r="I49" s="84" t="e">
        <f t="shared" si="38"/>
        <v>#REF!</v>
      </c>
      <c r="J49" s="84" t="e">
        <f t="shared" si="38"/>
        <v>#REF!</v>
      </c>
      <c r="K49" s="84" t="e">
        <f t="shared" si="38"/>
        <v>#REF!</v>
      </c>
      <c r="L49" s="84" t="e">
        <f t="shared" si="38"/>
        <v>#REF!</v>
      </c>
      <c r="M49" s="84" t="e">
        <f t="shared" si="38"/>
        <v>#REF!</v>
      </c>
      <c r="N49" s="84" t="e">
        <f t="shared" si="38"/>
        <v>#REF!</v>
      </c>
      <c r="O49" s="84" t="e">
        <f t="shared" si="38"/>
        <v>#REF!</v>
      </c>
      <c r="P49" s="84" t="e">
        <f t="shared" si="38"/>
        <v>#REF!</v>
      </c>
      <c r="Q49" s="84" t="e">
        <f t="shared" si="38"/>
        <v>#REF!</v>
      </c>
      <c r="R49" s="71" t="e">
        <f>RATE(12,,-E49,Q49)</f>
        <v>#REF!</v>
      </c>
      <c r="S49" s="54"/>
      <c r="T49" s="12">
        <v>0.40099999999999997</v>
      </c>
      <c r="U49" s="12">
        <v>0.40265090533119946</v>
      </c>
      <c r="V49" s="12">
        <v>0.40430860739160734</v>
      </c>
      <c r="W49" s="12">
        <v>0.40597313416316017</v>
      </c>
      <c r="X49" s="12">
        <v>0.40764451374299493</v>
      </c>
      <c r="Y49" s="12">
        <v>0.40932277434392395</v>
      </c>
      <c r="Z49" s="12">
        <v>0.41100794429491083</v>
      </c>
      <c r="AA49" s="12">
        <v>0.4127000520415488</v>
      </c>
      <c r="AB49" s="12">
        <v>0.41439912614654062</v>
      </c>
      <c r="AC49" s="12">
        <v>0.41610519529018092</v>
      </c>
      <c r="AD49" s="12">
        <v>0.41781828827084017</v>
      </c>
      <c r="AE49" s="12">
        <v>0.4195384340054511</v>
      </c>
      <c r="AF49" s="12">
        <v>0.4212656615299965</v>
      </c>
      <c r="AG49" s="12">
        <v>0.42299999999999938</v>
      </c>
    </row>
    <row r="50" spans="1:33" ht="15" hidden="1" customHeight="1" thickBot="1" x14ac:dyDescent="0.4">
      <c r="A50" s="153"/>
      <c r="B50" s="56" t="s">
        <v>20</v>
      </c>
      <c r="C50" s="44"/>
      <c r="D50" s="85" t="e">
        <f t="shared" ref="D50:Q50" si="39">D42*T50</f>
        <v>#REF!</v>
      </c>
      <c r="E50" s="85" t="e">
        <f t="shared" si="39"/>
        <v>#REF!</v>
      </c>
      <c r="F50" s="85" t="e">
        <f t="shared" si="39"/>
        <v>#REF!</v>
      </c>
      <c r="G50" s="85" t="e">
        <f t="shared" si="39"/>
        <v>#REF!</v>
      </c>
      <c r="H50" s="85" t="e">
        <f t="shared" si="39"/>
        <v>#REF!</v>
      </c>
      <c r="I50" s="85" t="e">
        <f t="shared" si="39"/>
        <v>#REF!</v>
      </c>
      <c r="J50" s="85" t="e">
        <f t="shared" si="39"/>
        <v>#REF!</v>
      </c>
      <c r="K50" s="85" t="e">
        <f t="shared" si="39"/>
        <v>#REF!</v>
      </c>
      <c r="L50" s="85" t="e">
        <f t="shared" si="39"/>
        <v>#REF!</v>
      </c>
      <c r="M50" s="85" t="e">
        <f t="shared" si="39"/>
        <v>#REF!</v>
      </c>
      <c r="N50" s="85" t="e">
        <f t="shared" si="39"/>
        <v>#REF!</v>
      </c>
      <c r="O50" s="85" t="e">
        <f t="shared" si="39"/>
        <v>#REF!</v>
      </c>
      <c r="P50" s="85" t="e">
        <f t="shared" si="39"/>
        <v>#REF!</v>
      </c>
      <c r="Q50" s="85" t="e">
        <f t="shared" si="39"/>
        <v>#REF!</v>
      </c>
      <c r="R50" s="72" t="e">
        <f>RATE(12,,-E50,Q50)</f>
        <v>#REF!</v>
      </c>
      <c r="S50" s="56"/>
      <c r="T50" s="12">
        <f>1-T49</f>
        <v>0.59899999999999998</v>
      </c>
      <c r="U50" s="12">
        <f t="shared" ref="U50:AG50" si="40">1-U49</f>
        <v>0.59734909466880048</v>
      </c>
      <c r="V50" s="12">
        <f t="shared" si="40"/>
        <v>0.59569139260839266</v>
      </c>
      <c r="W50" s="12">
        <f t="shared" si="40"/>
        <v>0.59402686583683983</v>
      </c>
      <c r="X50" s="12">
        <f t="shared" si="40"/>
        <v>0.59235548625700507</v>
      </c>
      <c r="Y50" s="12">
        <f t="shared" si="40"/>
        <v>0.59067722565607605</v>
      </c>
      <c r="Z50" s="12">
        <f t="shared" si="40"/>
        <v>0.58899205570508917</v>
      </c>
      <c r="AA50" s="12">
        <f t="shared" si="40"/>
        <v>0.5872999479584512</v>
      </c>
      <c r="AB50" s="12">
        <f t="shared" si="40"/>
        <v>0.58560087385345938</v>
      </c>
      <c r="AC50" s="12">
        <f t="shared" si="40"/>
        <v>0.58389480470981914</v>
      </c>
      <c r="AD50" s="12">
        <f t="shared" si="40"/>
        <v>0.58218171172915989</v>
      </c>
      <c r="AE50" s="12">
        <f t="shared" si="40"/>
        <v>0.5804615659945489</v>
      </c>
      <c r="AF50" s="12">
        <f t="shared" si="40"/>
        <v>0.57873433847000344</v>
      </c>
      <c r="AG50" s="12">
        <f t="shared" si="40"/>
        <v>0.57700000000000062</v>
      </c>
    </row>
    <row r="51" spans="1:33" ht="15" hidden="1" customHeight="1" thickBot="1" x14ac:dyDescent="0.4">
      <c r="A51" s="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21"/>
    </row>
    <row r="52" spans="1:33" ht="14.5" hidden="1" customHeight="1" x14ac:dyDescent="0.35">
      <c r="A52" s="152" t="s">
        <v>14</v>
      </c>
      <c r="B52" s="59" t="s">
        <v>21</v>
      </c>
      <c r="C52" s="50"/>
      <c r="D52" s="86" t="e">
        <f t="shared" ref="D52:Q52" si="41">D42*T52</f>
        <v>#REF!</v>
      </c>
      <c r="E52" s="86" t="e">
        <f t="shared" si="41"/>
        <v>#REF!</v>
      </c>
      <c r="F52" s="86" t="e">
        <f t="shared" si="41"/>
        <v>#REF!</v>
      </c>
      <c r="G52" s="86" t="e">
        <f t="shared" si="41"/>
        <v>#REF!</v>
      </c>
      <c r="H52" s="86" t="e">
        <f t="shared" si="41"/>
        <v>#REF!</v>
      </c>
      <c r="I52" s="86" t="e">
        <f t="shared" si="41"/>
        <v>#REF!</v>
      </c>
      <c r="J52" s="86" t="e">
        <f t="shared" si="41"/>
        <v>#REF!</v>
      </c>
      <c r="K52" s="86" t="e">
        <f t="shared" si="41"/>
        <v>#REF!</v>
      </c>
      <c r="L52" s="86" t="e">
        <f t="shared" si="41"/>
        <v>#REF!</v>
      </c>
      <c r="M52" s="86" t="e">
        <f t="shared" si="41"/>
        <v>#REF!</v>
      </c>
      <c r="N52" s="86" t="e">
        <f t="shared" si="41"/>
        <v>#REF!</v>
      </c>
      <c r="O52" s="86" t="e">
        <f t="shared" si="41"/>
        <v>#REF!</v>
      </c>
      <c r="P52" s="86" t="e">
        <f t="shared" si="41"/>
        <v>#REF!</v>
      </c>
      <c r="Q52" s="86" t="e">
        <f t="shared" si="41"/>
        <v>#REF!</v>
      </c>
      <c r="R52" s="73" t="e">
        <f t="shared" ref="R52:R57" si="42">RATE(12,,-E52,Q52)</f>
        <v>#REF!</v>
      </c>
      <c r="S52" s="59"/>
      <c r="T52" s="12">
        <v>0.25</v>
      </c>
      <c r="U52" s="12">
        <v>0.25155593539307364</v>
      </c>
      <c r="V52" s="12">
        <v>0.25312155452593693</v>
      </c>
      <c r="W52" s="12">
        <v>0.25469691766768382</v>
      </c>
      <c r="X52" s="12">
        <v>0.25628208546250747</v>
      </c>
      <c r="Y52" s="12">
        <v>0.2578771189320348</v>
      </c>
      <c r="Z52" s="12">
        <v>0.25948207947767565</v>
      </c>
      <c r="AA52" s="12">
        <v>0.2610970288829863</v>
      </c>
      <c r="AB52" s="12">
        <v>0.26272202931604799</v>
      </c>
      <c r="AC52" s="12">
        <v>0.26435714333185978</v>
      </c>
      <c r="AD52" s="12">
        <v>0.26600243387474731</v>
      </c>
      <c r="AE52" s="12">
        <v>0.26765796428078514</v>
      </c>
      <c r="AF52" s="12">
        <v>0.26932379828023517</v>
      </c>
      <c r="AG52" s="12">
        <v>0.27100000000000013</v>
      </c>
    </row>
    <row r="53" spans="1:33" ht="14.5" hidden="1" customHeight="1" x14ac:dyDescent="0.35">
      <c r="A53" s="154"/>
      <c r="B53" s="60" t="s">
        <v>22</v>
      </c>
      <c r="C53" s="41"/>
      <c r="D53" s="87" t="e">
        <f t="shared" ref="D53:Q53" si="43">D42*T53</f>
        <v>#REF!</v>
      </c>
      <c r="E53" s="87" t="e">
        <f t="shared" si="43"/>
        <v>#REF!</v>
      </c>
      <c r="F53" s="87" t="e">
        <f t="shared" si="43"/>
        <v>#REF!</v>
      </c>
      <c r="G53" s="87" t="e">
        <f t="shared" si="43"/>
        <v>#REF!</v>
      </c>
      <c r="H53" s="87" t="e">
        <f t="shared" si="43"/>
        <v>#REF!</v>
      </c>
      <c r="I53" s="87" t="e">
        <f t="shared" si="43"/>
        <v>#REF!</v>
      </c>
      <c r="J53" s="87" t="e">
        <f t="shared" si="43"/>
        <v>#REF!</v>
      </c>
      <c r="K53" s="87" t="e">
        <f t="shared" si="43"/>
        <v>#REF!</v>
      </c>
      <c r="L53" s="87" t="e">
        <f t="shared" si="43"/>
        <v>#REF!</v>
      </c>
      <c r="M53" s="87" t="e">
        <f t="shared" si="43"/>
        <v>#REF!</v>
      </c>
      <c r="N53" s="87" t="e">
        <f t="shared" si="43"/>
        <v>#REF!</v>
      </c>
      <c r="O53" s="87" t="e">
        <f t="shared" si="43"/>
        <v>#REF!</v>
      </c>
      <c r="P53" s="87" t="e">
        <f t="shared" si="43"/>
        <v>#REF!</v>
      </c>
      <c r="Q53" s="87" t="e">
        <f t="shared" si="43"/>
        <v>#REF!</v>
      </c>
      <c r="R53" s="74" t="e">
        <f t="shared" si="42"/>
        <v>#REF!</v>
      </c>
      <c r="S53" s="60"/>
      <c r="T53" s="12">
        <v>0.38</v>
      </c>
      <c r="U53" s="12">
        <v>0.38090988938047371</v>
      </c>
      <c r="V53" s="12">
        <v>0.38182195744169661</v>
      </c>
      <c r="W53" s="12">
        <v>0.38273620940040159</v>
      </c>
      <c r="X53" s="12">
        <v>0.38365265048581265</v>
      </c>
      <c r="Y53" s="12">
        <v>0.38457128593967477</v>
      </c>
      <c r="Z53" s="12">
        <v>0.38549212101628438</v>
      </c>
      <c r="AA53" s="12">
        <v>0.38641516098251855</v>
      </c>
      <c r="AB53" s="12">
        <v>0.38734041111786593</v>
      </c>
      <c r="AC53" s="12">
        <v>0.38826787671445667</v>
      </c>
      <c r="AD53" s="12">
        <v>0.38919756307709236</v>
      </c>
      <c r="AE53" s="12">
        <v>0.39012947552327681</v>
      </c>
      <c r="AF53" s="12">
        <v>0.3910636193832463</v>
      </c>
      <c r="AG53" s="12">
        <v>0.39200000000000002</v>
      </c>
    </row>
    <row r="54" spans="1:33" ht="14.5" hidden="1" customHeight="1" x14ac:dyDescent="0.35">
      <c r="A54" s="154"/>
      <c r="B54" s="61" t="s">
        <v>23</v>
      </c>
      <c r="C54" s="41"/>
      <c r="D54" s="88" t="e">
        <f t="shared" ref="D54:Q54" si="44">D53*T54</f>
        <v>#REF!</v>
      </c>
      <c r="E54" s="88" t="e">
        <f t="shared" si="44"/>
        <v>#REF!</v>
      </c>
      <c r="F54" s="88" t="e">
        <f t="shared" si="44"/>
        <v>#REF!</v>
      </c>
      <c r="G54" s="88" t="e">
        <f t="shared" si="44"/>
        <v>#REF!</v>
      </c>
      <c r="H54" s="88" t="e">
        <f t="shared" si="44"/>
        <v>#REF!</v>
      </c>
      <c r="I54" s="88" t="e">
        <f t="shared" si="44"/>
        <v>#REF!</v>
      </c>
      <c r="J54" s="88" t="e">
        <f t="shared" si="44"/>
        <v>#REF!</v>
      </c>
      <c r="K54" s="88" t="e">
        <f t="shared" si="44"/>
        <v>#REF!</v>
      </c>
      <c r="L54" s="88" t="e">
        <f t="shared" si="44"/>
        <v>#REF!</v>
      </c>
      <c r="M54" s="88" t="e">
        <f t="shared" si="44"/>
        <v>#REF!</v>
      </c>
      <c r="N54" s="88" t="e">
        <f t="shared" si="44"/>
        <v>#REF!</v>
      </c>
      <c r="O54" s="88" t="e">
        <f t="shared" si="44"/>
        <v>#REF!</v>
      </c>
      <c r="P54" s="88" t="e">
        <f t="shared" si="44"/>
        <v>#REF!</v>
      </c>
      <c r="Q54" s="88" t="e">
        <f t="shared" si="44"/>
        <v>#REF!</v>
      </c>
      <c r="R54" s="74" t="e">
        <f t="shared" si="42"/>
        <v>#REF!</v>
      </c>
      <c r="S54" s="61"/>
      <c r="T54" s="67">
        <v>0.34999999999999987</v>
      </c>
      <c r="U54" s="67">
        <v>0.34938588387166564</v>
      </c>
      <c r="V54" s="67">
        <v>0.34877284528224306</v>
      </c>
      <c r="W54" s="67">
        <v>0.34816088234106346</v>
      </c>
      <c r="X54" s="67">
        <v>0.34754999316077562</v>
      </c>
      <c r="Y54" s="67">
        <v>0.34694017585733994</v>
      </c>
      <c r="Z54" s="67">
        <v>0.34633142855002247</v>
      </c>
      <c r="AA54" s="67">
        <v>0.34572374936138933</v>
      </c>
      <c r="AB54" s="67">
        <v>0.34511713641730069</v>
      </c>
      <c r="AC54" s="67">
        <v>0.34451158784690528</v>
      </c>
      <c r="AD54" s="67">
        <v>0.34390710178263434</v>
      </c>
      <c r="AE54" s="67">
        <v>0.34330367636019604</v>
      </c>
      <c r="AF54" s="67">
        <v>0.34270130971856966</v>
      </c>
      <c r="AG54" s="67">
        <v>0.34209999999999979</v>
      </c>
    </row>
    <row r="55" spans="1:33" ht="14.5" hidden="1" customHeight="1" x14ac:dyDescent="0.35">
      <c r="A55" s="154"/>
      <c r="B55" s="61" t="s">
        <v>24</v>
      </c>
      <c r="C55" s="41"/>
      <c r="D55" s="88" t="e">
        <f t="shared" ref="D55:Q55" si="45">D53*T55</f>
        <v>#REF!</v>
      </c>
      <c r="E55" s="88" t="e">
        <f t="shared" si="45"/>
        <v>#REF!</v>
      </c>
      <c r="F55" s="88" t="e">
        <f t="shared" si="45"/>
        <v>#REF!</v>
      </c>
      <c r="G55" s="88" t="e">
        <f t="shared" si="45"/>
        <v>#REF!</v>
      </c>
      <c r="H55" s="88" t="e">
        <f t="shared" si="45"/>
        <v>#REF!</v>
      </c>
      <c r="I55" s="88" t="e">
        <f t="shared" si="45"/>
        <v>#REF!</v>
      </c>
      <c r="J55" s="88" t="e">
        <f t="shared" si="45"/>
        <v>#REF!</v>
      </c>
      <c r="K55" s="88" t="e">
        <f t="shared" si="45"/>
        <v>#REF!</v>
      </c>
      <c r="L55" s="88" t="e">
        <f t="shared" si="45"/>
        <v>#REF!</v>
      </c>
      <c r="M55" s="88" t="e">
        <f t="shared" si="45"/>
        <v>#REF!</v>
      </c>
      <c r="N55" s="88" t="e">
        <f t="shared" si="45"/>
        <v>#REF!</v>
      </c>
      <c r="O55" s="88" t="e">
        <f t="shared" si="45"/>
        <v>#REF!</v>
      </c>
      <c r="P55" s="88" t="e">
        <f t="shared" si="45"/>
        <v>#REF!</v>
      </c>
      <c r="Q55" s="88" t="e">
        <f t="shared" si="45"/>
        <v>#REF!</v>
      </c>
      <c r="R55" s="74" t="e">
        <f t="shared" si="42"/>
        <v>#REF!</v>
      </c>
      <c r="S55" s="61"/>
      <c r="T55" s="67">
        <v>0.28000000000000003</v>
      </c>
      <c r="U55" s="67">
        <v>0.28097918830490543</v>
      </c>
      <c r="V55" s="67">
        <v>0.28196180093029821</v>
      </c>
      <c r="W55" s="67">
        <v>0.28294784985137333</v>
      </c>
      <c r="X55" s="67">
        <v>0.28393734708520407</v>
      </c>
      <c r="Y55" s="67">
        <v>0.28493030469088876</v>
      </c>
      <c r="Z55" s="67">
        <v>0.28592673476969749</v>
      </c>
      <c r="AA55" s="67">
        <v>0.28692664946521995</v>
      </c>
      <c r="AB55" s="67">
        <v>0.28793006096351298</v>
      </c>
      <c r="AC55" s="67">
        <v>0.28893698149324931</v>
      </c>
      <c r="AD55" s="67">
        <v>0.28994742332586665</v>
      </c>
      <c r="AE55" s="67">
        <v>0.29096139877571725</v>
      </c>
      <c r="AF55" s="67">
        <v>0.29197892020021765</v>
      </c>
      <c r="AG55" s="67">
        <v>0.29299999999999965</v>
      </c>
    </row>
    <row r="56" spans="1:33" ht="14.5" hidden="1" customHeight="1" x14ac:dyDescent="0.35">
      <c r="A56" s="154"/>
      <c r="B56" s="61" t="s">
        <v>25</v>
      </c>
      <c r="C56" s="41"/>
      <c r="D56" s="88" t="e">
        <f t="shared" ref="D56:Q56" si="46">D53*T56</f>
        <v>#REF!</v>
      </c>
      <c r="E56" s="88" t="e">
        <f t="shared" si="46"/>
        <v>#REF!</v>
      </c>
      <c r="F56" s="88" t="e">
        <f t="shared" si="46"/>
        <v>#REF!</v>
      </c>
      <c r="G56" s="88" t="e">
        <f t="shared" si="46"/>
        <v>#REF!</v>
      </c>
      <c r="H56" s="88" t="e">
        <f t="shared" si="46"/>
        <v>#REF!</v>
      </c>
      <c r="I56" s="88" t="e">
        <f t="shared" si="46"/>
        <v>#REF!</v>
      </c>
      <c r="J56" s="88" t="e">
        <f t="shared" si="46"/>
        <v>#REF!</v>
      </c>
      <c r="K56" s="88" t="e">
        <f t="shared" si="46"/>
        <v>#REF!</v>
      </c>
      <c r="L56" s="88" t="e">
        <f t="shared" si="46"/>
        <v>#REF!</v>
      </c>
      <c r="M56" s="88" t="e">
        <f t="shared" si="46"/>
        <v>#REF!</v>
      </c>
      <c r="N56" s="88" t="e">
        <f t="shared" si="46"/>
        <v>#REF!</v>
      </c>
      <c r="O56" s="88" t="e">
        <f t="shared" si="46"/>
        <v>#REF!</v>
      </c>
      <c r="P56" s="88" t="e">
        <f t="shared" si="46"/>
        <v>#REF!</v>
      </c>
      <c r="Q56" s="88" t="e">
        <f t="shared" si="46"/>
        <v>#REF!</v>
      </c>
      <c r="R56" s="74" t="e">
        <f t="shared" si="42"/>
        <v>#REF!</v>
      </c>
      <c r="S56" s="61"/>
      <c r="T56" s="67">
        <f>1-SUM(T54:T55)</f>
        <v>0.37000000000000011</v>
      </c>
      <c r="U56" s="67">
        <f t="shared" ref="U56:AG56" si="47">1-SUM(U54:U55)</f>
        <v>0.36963492782342899</v>
      </c>
      <c r="V56" s="67">
        <f t="shared" si="47"/>
        <v>0.36926535378745873</v>
      </c>
      <c r="W56" s="67">
        <f t="shared" si="47"/>
        <v>0.36889126780756321</v>
      </c>
      <c r="X56" s="67">
        <f t="shared" si="47"/>
        <v>0.36851265975402026</v>
      </c>
      <c r="Y56" s="67">
        <f t="shared" si="47"/>
        <v>0.3681295194517713</v>
      </c>
      <c r="Z56" s="67">
        <f t="shared" si="47"/>
        <v>0.36774183668028004</v>
      </c>
      <c r="AA56" s="67">
        <f t="shared" si="47"/>
        <v>0.36734960117339077</v>
      </c>
      <c r="AB56" s="67">
        <f t="shared" si="47"/>
        <v>0.36695280261918639</v>
      </c>
      <c r="AC56" s="67">
        <f t="shared" si="47"/>
        <v>0.36655143065984541</v>
      </c>
      <c r="AD56" s="67">
        <f t="shared" si="47"/>
        <v>0.36614547489149896</v>
      </c>
      <c r="AE56" s="67">
        <f t="shared" si="47"/>
        <v>0.36573492486408665</v>
      </c>
      <c r="AF56" s="67">
        <f t="shared" si="47"/>
        <v>0.36531977008121275</v>
      </c>
      <c r="AG56" s="67">
        <f t="shared" si="47"/>
        <v>0.36490000000000056</v>
      </c>
    </row>
    <row r="57" spans="1:33" ht="15" hidden="1" customHeight="1" thickBot="1" x14ac:dyDescent="0.4">
      <c r="A57" s="153"/>
      <c r="B57" s="62" t="s">
        <v>26</v>
      </c>
      <c r="C57" s="51"/>
      <c r="D57" s="89" t="e">
        <f t="shared" ref="D57:Q57" si="48">D42*T57</f>
        <v>#REF!</v>
      </c>
      <c r="E57" s="89" t="e">
        <f t="shared" si="48"/>
        <v>#REF!</v>
      </c>
      <c r="F57" s="89" t="e">
        <f t="shared" si="48"/>
        <v>#REF!</v>
      </c>
      <c r="G57" s="89" t="e">
        <f t="shared" si="48"/>
        <v>#REF!</v>
      </c>
      <c r="H57" s="89" t="e">
        <f t="shared" si="48"/>
        <v>#REF!</v>
      </c>
      <c r="I57" s="89" t="e">
        <f t="shared" si="48"/>
        <v>#REF!</v>
      </c>
      <c r="J57" s="89" t="e">
        <f t="shared" si="48"/>
        <v>#REF!</v>
      </c>
      <c r="K57" s="89" t="e">
        <f t="shared" si="48"/>
        <v>#REF!</v>
      </c>
      <c r="L57" s="89" t="e">
        <f t="shared" si="48"/>
        <v>#REF!</v>
      </c>
      <c r="M57" s="89" t="e">
        <f t="shared" si="48"/>
        <v>#REF!</v>
      </c>
      <c r="N57" s="89" t="e">
        <f t="shared" si="48"/>
        <v>#REF!</v>
      </c>
      <c r="O57" s="89" t="e">
        <f t="shared" si="48"/>
        <v>#REF!</v>
      </c>
      <c r="P57" s="89" t="e">
        <f t="shared" si="48"/>
        <v>#REF!</v>
      </c>
      <c r="Q57" s="89" t="e">
        <f t="shared" si="48"/>
        <v>#REF!</v>
      </c>
      <c r="R57" s="75" t="e">
        <f t="shared" si="42"/>
        <v>#REF!</v>
      </c>
      <c r="S57" s="62"/>
      <c r="T57" s="12">
        <f>1-SUM(T52+T53)</f>
        <v>0.37</v>
      </c>
      <c r="U57" s="12">
        <f t="shared" ref="U57:AG57" si="49">1-SUM(U52+U53)</f>
        <v>0.36753417522645271</v>
      </c>
      <c r="V57" s="12">
        <f t="shared" si="49"/>
        <v>0.36505648803236646</v>
      </c>
      <c r="W57" s="12">
        <f t="shared" si="49"/>
        <v>0.36256687293191459</v>
      </c>
      <c r="X57" s="12">
        <f t="shared" si="49"/>
        <v>0.36006526405167993</v>
      </c>
      <c r="Y57" s="12">
        <f t="shared" si="49"/>
        <v>0.35755159512829038</v>
      </c>
      <c r="Z57" s="12">
        <f t="shared" si="49"/>
        <v>0.35502579950603996</v>
      </c>
      <c r="AA57" s="12">
        <f t="shared" si="49"/>
        <v>0.35248781013449515</v>
      </c>
      <c r="AB57" s="12">
        <f t="shared" si="49"/>
        <v>0.34993755956608608</v>
      </c>
      <c r="AC57" s="12">
        <f t="shared" si="49"/>
        <v>0.3473749799536836</v>
      </c>
      <c r="AD57" s="12">
        <f t="shared" si="49"/>
        <v>0.34480000304816039</v>
      </c>
      <c r="AE57" s="12">
        <f t="shared" si="49"/>
        <v>0.34221256019593804</v>
      </c>
      <c r="AF57" s="12">
        <f t="shared" si="49"/>
        <v>0.33961258233651859</v>
      </c>
      <c r="AG57" s="12">
        <f t="shared" si="49"/>
        <v>0.33699999999999986</v>
      </c>
    </row>
    <row r="58" spans="1:33" ht="15" hidden="1" customHeight="1" thickBot="1" x14ac:dyDescent="0.4">
      <c r="A58" s="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21"/>
    </row>
    <row r="59" spans="1:33" ht="14.5" hidden="1" customHeight="1" x14ac:dyDescent="0.35">
      <c r="A59" s="152" t="s">
        <v>27</v>
      </c>
      <c r="B59" s="54" t="s">
        <v>28</v>
      </c>
      <c r="C59" s="49"/>
      <c r="D59" s="84" t="e">
        <f t="shared" ref="D59:Q59" si="50">D42*T59</f>
        <v>#REF!</v>
      </c>
      <c r="E59" s="84" t="e">
        <f t="shared" si="50"/>
        <v>#REF!</v>
      </c>
      <c r="F59" s="84" t="e">
        <f t="shared" si="50"/>
        <v>#REF!</v>
      </c>
      <c r="G59" s="84" t="e">
        <f t="shared" si="50"/>
        <v>#REF!</v>
      </c>
      <c r="H59" s="84" t="e">
        <f t="shared" si="50"/>
        <v>#REF!</v>
      </c>
      <c r="I59" s="84" t="e">
        <f t="shared" si="50"/>
        <v>#REF!</v>
      </c>
      <c r="J59" s="84" t="e">
        <f t="shared" si="50"/>
        <v>#REF!</v>
      </c>
      <c r="K59" s="84" t="e">
        <f t="shared" si="50"/>
        <v>#REF!</v>
      </c>
      <c r="L59" s="84" t="e">
        <f t="shared" si="50"/>
        <v>#REF!</v>
      </c>
      <c r="M59" s="84" t="e">
        <f t="shared" si="50"/>
        <v>#REF!</v>
      </c>
      <c r="N59" s="84" t="e">
        <f t="shared" si="50"/>
        <v>#REF!</v>
      </c>
      <c r="O59" s="84" t="e">
        <f t="shared" si="50"/>
        <v>#REF!</v>
      </c>
      <c r="P59" s="84" t="e">
        <f t="shared" si="50"/>
        <v>#REF!</v>
      </c>
      <c r="Q59" s="84" t="e">
        <f t="shared" si="50"/>
        <v>#REF!</v>
      </c>
      <c r="R59" s="71" t="e">
        <f>RATE(12,,-E59,Q59)</f>
        <v>#REF!</v>
      </c>
      <c r="S59" s="54"/>
      <c r="T59" s="12">
        <v>0.40099999999999997</v>
      </c>
      <c r="U59" s="12">
        <v>0.40265090533119946</v>
      </c>
      <c r="V59" s="12">
        <v>0.40430860739160734</v>
      </c>
      <c r="W59" s="12">
        <v>0.40597313416316017</v>
      </c>
      <c r="X59" s="12">
        <v>0.40764451374299493</v>
      </c>
      <c r="Y59" s="12">
        <v>0.40932277434392395</v>
      </c>
      <c r="Z59" s="12">
        <v>0.41100794429491083</v>
      </c>
      <c r="AA59" s="12">
        <v>0.4127000520415488</v>
      </c>
      <c r="AB59" s="12">
        <v>0.41439912614654062</v>
      </c>
      <c r="AC59" s="12">
        <v>0.41610519529018092</v>
      </c>
      <c r="AD59" s="12">
        <v>0.41781828827084017</v>
      </c>
      <c r="AE59" s="12">
        <v>0.4195384340054511</v>
      </c>
      <c r="AF59" s="12">
        <v>0.4212656615299965</v>
      </c>
      <c r="AG59" s="12">
        <v>0.42299999999999938</v>
      </c>
    </row>
    <row r="60" spans="1:33" ht="14.5" hidden="1" customHeight="1" x14ac:dyDescent="0.35">
      <c r="A60" s="154"/>
      <c r="B60" s="55" t="s">
        <v>29</v>
      </c>
      <c r="C60" s="40"/>
      <c r="D60" s="90" t="e">
        <f t="shared" ref="D60:Q60" si="51">D42*T60</f>
        <v>#REF!</v>
      </c>
      <c r="E60" s="90" t="e">
        <f t="shared" si="51"/>
        <v>#REF!</v>
      </c>
      <c r="F60" s="90" t="e">
        <f t="shared" si="51"/>
        <v>#REF!</v>
      </c>
      <c r="G60" s="90" t="e">
        <f t="shared" si="51"/>
        <v>#REF!</v>
      </c>
      <c r="H60" s="90" t="e">
        <f t="shared" si="51"/>
        <v>#REF!</v>
      </c>
      <c r="I60" s="90" t="e">
        <f t="shared" si="51"/>
        <v>#REF!</v>
      </c>
      <c r="J60" s="90" t="e">
        <f t="shared" si="51"/>
        <v>#REF!</v>
      </c>
      <c r="K60" s="90" t="e">
        <f t="shared" si="51"/>
        <v>#REF!</v>
      </c>
      <c r="L60" s="90" t="e">
        <f t="shared" si="51"/>
        <v>#REF!</v>
      </c>
      <c r="M60" s="90" t="e">
        <f t="shared" si="51"/>
        <v>#REF!</v>
      </c>
      <c r="N60" s="90" t="e">
        <f t="shared" si="51"/>
        <v>#REF!</v>
      </c>
      <c r="O60" s="90" t="e">
        <f t="shared" si="51"/>
        <v>#REF!</v>
      </c>
      <c r="P60" s="90" t="e">
        <f t="shared" si="51"/>
        <v>#REF!</v>
      </c>
      <c r="Q60" s="90" t="e">
        <f t="shared" si="51"/>
        <v>#REF!</v>
      </c>
      <c r="R60" s="76" t="e">
        <f>RATE(12,,-E60,Q60)</f>
        <v>#REF!</v>
      </c>
      <c r="S60" s="55"/>
      <c r="T60" s="12">
        <v>0.43099999999999999</v>
      </c>
      <c r="U60" s="12">
        <v>0.43183634674261745</v>
      </c>
      <c r="V60" s="12">
        <v>0.43267431639909548</v>
      </c>
      <c r="W60" s="12">
        <v>0.43351391211866536</v>
      </c>
      <c r="X60" s="12">
        <v>0.43435513705666956</v>
      </c>
      <c r="Y60" s="12">
        <v>0.43519799437457324</v>
      </c>
      <c r="Z60" s="12">
        <v>0.43604248723997657</v>
      </c>
      <c r="AA60" s="12">
        <v>0.43688861882662616</v>
      </c>
      <c r="AB60" s="12">
        <v>0.43773639231442729</v>
      </c>
      <c r="AC60" s="12">
        <v>0.43858581088945586</v>
      </c>
      <c r="AD60" s="12">
        <v>0.43943687774397006</v>
      </c>
      <c r="AE60" s="12">
        <v>0.44028959607642287</v>
      </c>
      <c r="AF60" s="12">
        <v>0.44114396909147369</v>
      </c>
      <c r="AG60" s="12">
        <v>0.44200000000000028</v>
      </c>
    </row>
    <row r="61" spans="1:33" ht="15" hidden="1" customHeight="1" thickBot="1" x14ac:dyDescent="0.4">
      <c r="A61" s="153"/>
      <c r="B61" s="56" t="s">
        <v>30</v>
      </c>
      <c r="C61" s="44"/>
      <c r="D61" s="85" t="e">
        <f t="shared" ref="D61:Q61" si="52">D42*T61</f>
        <v>#REF!</v>
      </c>
      <c r="E61" s="85" t="e">
        <f t="shared" si="52"/>
        <v>#REF!</v>
      </c>
      <c r="F61" s="85" t="e">
        <f t="shared" si="52"/>
        <v>#REF!</v>
      </c>
      <c r="G61" s="85" t="e">
        <f t="shared" si="52"/>
        <v>#REF!</v>
      </c>
      <c r="H61" s="85" t="e">
        <f t="shared" si="52"/>
        <v>#REF!</v>
      </c>
      <c r="I61" s="85" t="e">
        <f t="shared" si="52"/>
        <v>#REF!</v>
      </c>
      <c r="J61" s="85" t="e">
        <f t="shared" si="52"/>
        <v>#REF!</v>
      </c>
      <c r="K61" s="85" t="e">
        <f t="shared" si="52"/>
        <v>#REF!</v>
      </c>
      <c r="L61" s="85" t="e">
        <f t="shared" si="52"/>
        <v>#REF!</v>
      </c>
      <c r="M61" s="85" t="e">
        <f t="shared" si="52"/>
        <v>#REF!</v>
      </c>
      <c r="N61" s="85" t="e">
        <f t="shared" si="52"/>
        <v>#REF!</v>
      </c>
      <c r="O61" s="85" t="e">
        <f t="shared" si="52"/>
        <v>#REF!</v>
      </c>
      <c r="P61" s="85" t="e">
        <f t="shared" si="52"/>
        <v>#REF!</v>
      </c>
      <c r="Q61" s="85" t="e">
        <f t="shared" si="52"/>
        <v>#REF!</v>
      </c>
      <c r="R61" s="72" t="e">
        <f>RATE(12,,-E61,Q61)</f>
        <v>#REF!</v>
      </c>
      <c r="S61" s="56"/>
      <c r="T61" s="12">
        <f>1-SUM(T59:T60)</f>
        <v>0.16800000000000004</v>
      </c>
      <c r="U61" s="12">
        <f t="shared" ref="U61:AG61" si="53">1-SUM(U59:U60)</f>
        <v>0.16551274792618309</v>
      </c>
      <c r="V61" s="12">
        <f t="shared" si="53"/>
        <v>0.16301707620929717</v>
      </c>
      <c r="W61" s="12">
        <f t="shared" si="53"/>
        <v>0.16051295371817442</v>
      </c>
      <c r="X61" s="12">
        <f t="shared" si="53"/>
        <v>0.15800034920033545</v>
      </c>
      <c r="Y61" s="12">
        <f t="shared" si="53"/>
        <v>0.15547923128150276</v>
      </c>
      <c r="Z61" s="12">
        <f t="shared" si="53"/>
        <v>0.15294956846511254</v>
      </c>
      <c r="AA61" s="12">
        <f t="shared" si="53"/>
        <v>0.15041132913182498</v>
      </c>
      <c r="AB61" s="12">
        <f t="shared" si="53"/>
        <v>0.14786448153903209</v>
      </c>
      <c r="AC61" s="12">
        <f t="shared" si="53"/>
        <v>0.14530899382036322</v>
      </c>
      <c r="AD61" s="12">
        <f t="shared" si="53"/>
        <v>0.14274483398518978</v>
      </c>
      <c r="AE61" s="12">
        <f t="shared" si="53"/>
        <v>0.14017196991812608</v>
      </c>
      <c r="AF61" s="12">
        <f t="shared" si="53"/>
        <v>0.13759036937852986</v>
      </c>
      <c r="AG61" s="12">
        <f t="shared" si="53"/>
        <v>0.13500000000000034</v>
      </c>
    </row>
    <row r="62" spans="1:33" ht="15.5" x14ac:dyDescent="0.35">
      <c r="A62" s="42"/>
      <c r="B62" s="43"/>
      <c r="C62" s="93"/>
      <c r="D62" s="91">
        <v>2023</v>
      </c>
      <c r="E62" s="65">
        <v>2024</v>
      </c>
      <c r="F62" s="65">
        <v>2025</v>
      </c>
      <c r="G62" s="65">
        <v>2026</v>
      </c>
      <c r="H62" s="65">
        <v>2027</v>
      </c>
      <c r="I62" s="65">
        <v>2028</v>
      </c>
      <c r="J62" s="65">
        <v>2029</v>
      </c>
      <c r="K62" s="65">
        <v>2030</v>
      </c>
      <c r="L62" s="65">
        <v>2031</v>
      </c>
      <c r="M62" s="65">
        <v>2032</v>
      </c>
      <c r="N62" s="65">
        <v>2033</v>
      </c>
      <c r="O62" s="65">
        <v>2034</v>
      </c>
      <c r="P62" s="65">
        <v>2035</v>
      </c>
      <c r="Q62" s="65">
        <v>2036</v>
      </c>
      <c r="R62" s="66" t="s">
        <v>84</v>
      </c>
    </row>
    <row r="63" spans="1:33" ht="16" thickBot="1" x14ac:dyDescent="0.4">
      <c r="A63" s="1"/>
      <c r="C63" s="21"/>
      <c r="D63" s="92">
        <f>'Market Analysis '!C19</f>
        <v>280.84679999999997</v>
      </c>
      <c r="E63" s="92">
        <f>'Market Analysis '!D19</f>
        <v>320.72704559999994</v>
      </c>
      <c r="F63" s="92">
        <f>'Market Analysis '!E19</f>
        <v>366.27028607519992</v>
      </c>
      <c r="G63" s="92">
        <f>'Market Analysis '!F19</f>
        <v>418.28066669787825</v>
      </c>
      <c r="H63" s="92">
        <f>'Market Analysis '!G19</f>
        <v>477.67652136897692</v>
      </c>
      <c r="I63" s="92">
        <f>'Market Analysis '!H19</f>
        <v>545.50658740337155</v>
      </c>
      <c r="J63" s="92">
        <f>'Market Analysis '!I19</f>
        <v>622.96852281465021</v>
      </c>
      <c r="K63" s="92">
        <f>'Market Analysis '!J19</f>
        <v>711.43005305433053</v>
      </c>
      <c r="L63" s="92">
        <f>'Market Analysis '!K19</f>
        <v>812.45312058804541</v>
      </c>
      <c r="M63" s="92">
        <f>'Market Analysis '!L19</f>
        <v>927.82146371154772</v>
      </c>
      <c r="N63" s="92">
        <f>'Market Analysis '!M19</f>
        <v>1059.5721115585875</v>
      </c>
      <c r="O63" s="92">
        <f>'Market Analysis '!N19</f>
        <v>1210.0313513999067</v>
      </c>
      <c r="P63" s="92">
        <f>'Market Analysis '!O19</f>
        <v>1381.8558032986934</v>
      </c>
      <c r="Q63" s="92">
        <f>'Market Analysis '!P19</f>
        <v>1578.0793273671077</v>
      </c>
      <c r="R63" s="131">
        <f t="shared" ref="R63:R68" si="54">RATE(9,,-H63,Q63)</f>
        <v>0.14199999999999999</v>
      </c>
      <c r="T63" s="65">
        <v>2023</v>
      </c>
      <c r="U63" s="65">
        <v>2024</v>
      </c>
      <c r="V63" s="65">
        <v>2025</v>
      </c>
      <c r="W63" s="65">
        <v>2026</v>
      </c>
      <c r="X63" s="65">
        <v>2027</v>
      </c>
      <c r="Y63" s="65">
        <v>2028</v>
      </c>
      <c r="Z63" s="65">
        <v>2029</v>
      </c>
      <c r="AA63" s="65">
        <v>2030</v>
      </c>
      <c r="AB63" s="65">
        <v>2031</v>
      </c>
      <c r="AC63" s="65">
        <v>2032</v>
      </c>
      <c r="AD63" s="65">
        <v>2033</v>
      </c>
      <c r="AE63" s="65">
        <v>2034</v>
      </c>
      <c r="AF63" s="65">
        <v>2035</v>
      </c>
      <c r="AG63" s="65">
        <v>2036</v>
      </c>
    </row>
    <row r="64" spans="1:33" s="121" customFormat="1" x14ac:dyDescent="0.35">
      <c r="A64" s="147" t="s">
        <v>59</v>
      </c>
      <c r="B64" s="118" t="s">
        <v>60</v>
      </c>
      <c r="C64" s="119"/>
      <c r="D64" s="120">
        <f>D63*T64</f>
        <v>160.08267599999999</v>
      </c>
      <c r="E64" s="120">
        <f>E63*U64</f>
        <v>183.05915360886596</v>
      </c>
      <c r="F64" s="120">
        <f>F63*V64</f>
        <v>209.33341793958004</v>
      </c>
      <c r="G64" s="120">
        <f t="shared" ref="G64:Q64" si="55">G63*W64</f>
        <v>239.37879642935579</v>
      </c>
      <c r="H64" s="120">
        <f t="shared" si="55"/>
        <v>273.73655264400304</v>
      </c>
      <c r="I64" s="120">
        <f t="shared" si="55"/>
        <v>313.02563707030964</v>
      </c>
      <c r="J64" s="120">
        <f t="shared" si="55"/>
        <v>357.95383742814829</v>
      </c>
      <c r="K64" s="120">
        <f t="shared" si="55"/>
        <v>409.33052937372457</v>
      </c>
      <c r="L64" s="120">
        <f t="shared" si="55"/>
        <v>468.0812572962177</v>
      </c>
      <c r="M64" s="120">
        <f t="shared" si="55"/>
        <v>535.26440787896013</v>
      </c>
      <c r="N64" s="120">
        <f t="shared" si="55"/>
        <v>612.09027679717963</v>
      </c>
      <c r="O64" s="120">
        <f t="shared" si="55"/>
        <v>699.94287203637316</v>
      </c>
      <c r="P64" s="120">
        <f t="shared" si="55"/>
        <v>800.40484661524044</v>
      </c>
      <c r="Q64" s="120">
        <f t="shared" si="55"/>
        <v>915.28600987292384</v>
      </c>
      <c r="R64" s="131">
        <f t="shared" si="54"/>
        <v>0.14352882012583248</v>
      </c>
      <c r="S64" s="118" t="s">
        <v>60</v>
      </c>
      <c r="T64" s="136">
        <v>0.57000000000000006</v>
      </c>
      <c r="U64" s="136">
        <v>0.57076307134126514</v>
      </c>
      <c r="V64" s="136">
        <v>0.57152716422265615</v>
      </c>
      <c r="W64" s="136">
        <v>0.57229228001173127</v>
      </c>
      <c r="X64" s="136">
        <v>0.57305842007787888</v>
      </c>
      <c r="Y64" s="136">
        <v>0.57382558579232101</v>
      </c>
      <c r="Z64" s="136">
        <v>0.57459377852811533</v>
      </c>
      <c r="AA64" s="136">
        <v>0.57536299966015747</v>
      </c>
      <c r="AB64" s="136">
        <v>0.57613325056518361</v>
      </c>
      <c r="AC64" s="136">
        <v>0.57690453262177344</v>
      </c>
      <c r="AD64" s="136">
        <v>0.57767684721035151</v>
      </c>
      <c r="AE64" s="136">
        <v>0.57845019571319112</v>
      </c>
      <c r="AF64" s="136">
        <v>0.57922457951441542</v>
      </c>
      <c r="AG64" s="136">
        <v>0.58000000000000085</v>
      </c>
    </row>
    <row r="65" spans="1:33" s="117" customFormat="1" x14ac:dyDescent="0.35">
      <c r="A65" s="148"/>
      <c r="B65" s="113" t="s">
        <v>61</v>
      </c>
      <c r="C65" s="114"/>
      <c r="D65" s="115">
        <f>D63*T65</f>
        <v>39.318552000000018</v>
      </c>
      <c r="E65" s="115">
        <f t="shared" ref="E65:Q65" si="56">E63*U65</f>
        <v>44.950806618937627</v>
      </c>
      <c r="F65" s="115">
        <f t="shared" si="56"/>
        <v>51.389863382891782</v>
      </c>
      <c r="G65" s="115">
        <f t="shared" si="56"/>
        <v>58.751294073545502</v>
      </c>
      <c r="H65" s="115">
        <f t="shared" si="56"/>
        <v>67.1672257542007</v>
      </c>
      <c r="I65" s="115">
        <f t="shared" si="56"/>
        <v>76.78871225999373</v>
      </c>
      <c r="J65" s="115">
        <f t="shared" si="56"/>
        <v>87.788445396367152</v>
      </c>
      <c r="K65" s="115">
        <f t="shared" si="56"/>
        <v>100.36385450789906</v>
      </c>
      <c r="L65" s="115">
        <f t="shared" si="56"/>
        <v>114.74065005028059</v>
      </c>
      <c r="M65" s="115">
        <f t="shared" si="56"/>
        <v>131.17687476744712</v>
      </c>
      <c r="N65" s="115">
        <f t="shared" si="56"/>
        <v>149.9675351866496</v>
      </c>
      <c r="O65" s="115">
        <f t="shared" si="56"/>
        <v>171.44989656012274</v>
      </c>
      <c r="P65" s="115">
        <f t="shared" si="56"/>
        <v>196.00953628991562</v>
      </c>
      <c r="Q65" s="115">
        <f t="shared" si="56"/>
        <v>224.08726448612936</v>
      </c>
      <c r="R65" s="131">
        <f t="shared" si="54"/>
        <v>0.14324674568223184</v>
      </c>
      <c r="S65" s="113" t="s">
        <v>61</v>
      </c>
      <c r="T65" s="135">
        <v>0.14000000000000007</v>
      </c>
      <c r="U65" s="135">
        <v>0.14015284097680608</v>
      </c>
      <c r="V65" s="135">
        <v>0.14030584881335637</v>
      </c>
      <c r="W65" s="135">
        <v>0.14045902369181512</v>
      </c>
      <c r="X65" s="135">
        <v>0.1406123657945457</v>
      </c>
      <c r="Y65" s="135">
        <v>0.14076587530411028</v>
      </c>
      <c r="Z65" s="135">
        <v>0.14091955240327056</v>
      </c>
      <c r="AA65" s="135">
        <v>0.14107339727498758</v>
      </c>
      <c r="AB65" s="135">
        <v>0.14122741010242224</v>
      </c>
      <c r="AC65" s="135">
        <v>0.14138159106893539</v>
      </c>
      <c r="AD65" s="135">
        <v>0.141535940358088</v>
      </c>
      <c r="AE65" s="135">
        <v>0.14169045815364148</v>
      </c>
      <c r="AF65" s="135">
        <v>0.14184514463955789</v>
      </c>
      <c r="AG65" s="135">
        <v>0.14200000000000004</v>
      </c>
    </row>
    <row r="66" spans="1:33" s="117" customFormat="1" x14ac:dyDescent="0.35">
      <c r="A66" s="148"/>
      <c r="B66" s="113" t="s">
        <v>62</v>
      </c>
      <c r="C66" s="114"/>
      <c r="D66" s="115">
        <f>D63*T66</f>
        <v>39.318551999999997</v>
      </c>
      <c r="E66" s="115">
        <f t="shared" ref="E66:Q66" si="57">E63*U66</f>
        <v>44.926376731682375</v>
      </c>
      <c r="F66" s="115">
        <f t="shared" si="57"/>
        <v>51.334019783766472</v>
      </c>
      <c r="G66" s="115">
        <f t="shared" si="57"/>
        <v>58.655555574811835</v>
      </c>
      <c r="H66" s="115">
        <f t="shared" si="57"/>
        <v>67.021328434478662</v>
      </c>
      <c r="I66" s="115">
        <f t="shared" si="57"/>
        <v>76.580273106324071</v>
      </c>
      <c r="J66" s="115">
        <f t="shared" si="57"/>
        <v>87.502566213268409</v>
      </c>
      <c r="K66" s="115">
        <f t="shared" si="57"/>
        <v>99.982655889420329</v>
      </c>
      <c r="L66" s="115">
        <f t="shared" si="57"/>
        <v>114.24272351439235</v>
      </c>
      <c r="M66" s="115">
        <f t="shared" si="57"/>
        <v>130.53663917890512</v>
      </c>
      <c r="N66" s="115">
        <f t="shared" si="57"/>
        <v>149.15448130030779</v>
      </c>
      <c r="O66" s="115">
        <f t="shared" si="57"/>
        <v>170.42770085013055</v>
      </c>
      <c r="P66" s="115">
        <f t="shared" si="57"/>
        <v>194.73502213172623</v>
      </c>
      <c r="Q66" s="115">
        <f t="shared" si="57"/>
        <v>222.50918515876259</v>
      </c>
      <c r="R66" s="131">
        <f t="shared" si="54"/>
        <v>0.14262541335912782</v>
      </c>
      <c r="S66" s="113" t="s">
        <v>62</v>
      </c>
      <c r="T66" s="135">
        <v>0.14000000000000001</v>
      </c>
      <c r="U66" s="135">
        <v>0.14007667063947282</v>
      </c>
      <c r="V66" s="135">
        <v>0.14015338326742385</v>
      </c>
      <c r="W66" s="135">
        <v>0.1402301379068481</v>
      </c>
      <c r="X66" s="135">
        <v>0.14030693458075291</v>
      </c>
      <c r="Y66" s="135">
        <v>0.14038377331215846</v>
      </c>
      <c r="Z66" s="135">
        <v>0.14046065412409731</v>
      </c>
      <c r="AA66" s="135">
        <v>0.14053757703961495</v>
      </c>
      <c r="AB66" s="135">
        <v>0.14061454208176913</v>
      </c>
      <c r="AC66" s="135">
        <v>0.14069154927363042</v>
      </c>
      <c r="AD66" s="135">
        <v>0.14076859863828203</v>
      </c>
      <c r="AE66" s="135">
        <v>0.14084569019881982</v>
      </c>
      <c r="AF66" s="135">
        <v>0.14092282397835218</v>
      </c>
      <c r="AG66" s="135">
        <v>0.14100000000000026</v>
      </c>
    </row>
    <row r="67" spans="1:33" s="117" customFormat="1" x14ac:dyDescent="0.35">
      <c r="A67" s="148"/>
      <c r="B67" s="113" t="s">
        <v>63</v>
      </c>
      <c r="C67" s="114"/>
      <c r="D67" s="115">
        <f>D63*T67</f>
        <v>28.084680000000013</v>
      </c>
      <c r="E67" s="115">
        <f t="shared" ref="E67:Q67" si="58">E63*U67</f>
        <v>32.193302458169512</v>
      </c>
      <c r="F67" s="115">
        <f t="shared" si="58"/>
        <v>36.902992064114045</v>
      </c>
      <c r="G67" s="115">
        <f t="shared" si="58"/>
        <v>42.301681383994833</v>
      </c>
      <c r="H67" s="115">
        <f t="shared" si="58"/>
        <v>48.490166997952748</v>
      </c>
      <c r="I67" s="115">
        <f t="shared" si="58"/>
        <v>55.583991429214841</v>
      </c>
      <c r="J67" s="115">
        <f t="shared" si="58"/>
        <v>63.715600388290476</v>
      </c>
      <c r="K67" s="115">
        <f t="shared" si="58"/>
        <v>73.036815609225286</v>
      </c>
      <c r="L67" s="115">
        <f t="shared" si="58"/>
        <v>83.721669447162796</v>
      </c>
      <c r="M67" s="115">
        <f t="shared" si="58"/>
        <v>95.969654160752413</v>
      </c>
      <c r="N67" s="115">
        <f t="shared" si="58"/>
        <v>110.00944654534169</v>
      </c>
      <c r="O67" s="115">
        <f t="shared" si="58"/>
        <v>126.10317745795979</v>
      </c>
      <c r="P67" s="115">
        <f t="shared" si="58"/>
        <v>144.55132594853566</v>
      </c>
      <c r="Q67" s="115">
        <f t="shared" si="58"/>
        <v>165.69832937354647</v>
      </c>
      <c r="R67" s="131">
        <f t="shared" si="54"/>
        <v>0.1462940812631475</v>
      </c>
      <c r="S67" s="113" t="s">
        <v>63</v>
      </c>
      <c r="T67" s="135">
        <v>0.10000000000000006</v>
      </c>
      <c r="U67" s="135">
        <v>0.10037601412111632</v>
      </c>
      <c r="V67" s="135">
        <v>0.10075344210842535</v>
      </c>
      <c r="W67" s="135">
        <v>0.10113228927826372</v>
      </c>
      <c r="X67" s="135">
        <v>0.10151256096695813</v>
      </c>
      <c r="Y67" s="135">
        <v>0.10189426253090064</v>
      </c>
      <c r="Z67" s="135">
        <v>0.10227739934662408</v>
      </c>
      <c r="AA67" s="135">
        <v>0.10266197681087785</v>
      </c>
      <c r="AB67" s="135">
        <v>0.10304800034070384</v>
      </c>
      <c r="AC67" s="135">
        <v>0.10343547537351282</v>
      </c>
      <c r="AD67" s="135">
        <v>0.10382440736716095</v>
      </c>
      <c r="AE67" s="135">
        <v>0.10421480180002674</v>
      </c>
      <c r="AF67" s="135">
        <v>0.10460666417108815</v>
      </c>
      <c r="AG67" s="135">
        <v>0.10500000000000011</v>
      </c>
    </row>
    <row r="68" spans="1:33" s="117" customFormat="1" x14ac:dyDescent="0.35">
      <c r="A68" s="148"/>
      <c r="B68" s="113" t="s">
        <v>64</v>
      </c>
      <c r="C68" s="114"/>
      <c r="D68" s="115">
        <f>D63*T68</f>
        <v>14.042339999999918</v>
      </c>
      <c r="E68" s="115">
        <f t="shared" ref="E68:Q68" si="59">E63*U68</f>
        <v>15.597406182344459</v>
      </c>
      <c r="F68" s="115">
        <f t="shared" si="59"/>
        <v>17.309992904847583</v>
      </c>
      <c r="G68" s="115">
        <f t="shared" si="59"/>
        <v>19.193339236170285</v>
      </c>
      <c r="H68" s="115">
        <f>H63*X68</f>
        <v>21.261247538341699</v>
      </c>
      <c r="I68" s="115">
        <f t="shared" si="59"/>
        <v>23.527973537529316</v>
      </c>
      <c r="J68" s="115">
        <f t="shared" si="59"/>
        <v>26.008073388575859</v>
      </c>
      <c r="K68" s="115">
        <f t="shared" si="59"/>
        <v>28.716197674061313</v>
      </c>
      <c r="L68" s="115">
        <f t="shared" si="59"/>
        <v>31.666820279991942</v>
      </c>
      <c r="M68" s="115">
        <f t="shared" si="59"/>
        <v>34.873887725482909</v>
      </c>
      <c r="N68" s="115">
        <f t="shared" si="59"/>
        <v>38.350371729108694</v>
      </c>
      <c r="O68" s="115">
        <f t="shared" si="59"/>
        <v>42.107704495320455</v>
      </c>
      <c r="P68" s="115">
        <f t="shared" si="59"/>
        <v>46.155072313275497</v>
      </c>
      <c r="Q68" s="115">
        <f t="shared" si="59"/>
        <v>50.498538475745562</v>
      </c>
      <c r="R68" s="131">
        <f t="shared" si="54"/>
        <v>0.10088851396261848</v>
      </c>
      <c r="S68" s="113" t="s">
        <v>64</v>
      </c>
      <c r="T68" s="135">
        <f>1-SUM(T64:T67)</f>
        <v>4.9999999999999711E-2</v>
      </c>
      <c r="U68" s="135">
        <f t="shared" ref="U68:AG68" si="60">1-SUM(U64:U67)</f>
        <v>4.8631402921339606E-2</v>
      </c>
      <c r="V68" s="135">
        <f t="shared" si="60"/>
        <v>4.7260161588138283E-2</v>
      </c>
      <c r="W68" s="135">
        <f t="shared" si="60"/>
        <v>4.5886269111341749E-2</v>
      </c>
      <c r="X68" s="135">
        <f t="shared" si="60"/>
        <v>4.4509718579864299E-2</v>
      </c>
      <c r="Y68" s="135">
        <f t="shared" si="60"/>
        <v>4.3130503060509695E-2</v>
      </c>
      <c r="Z68" s="135">
        <f t="shared" si="60"/>
        <v>4.1748615597892669E-2</v>
      </c>
      <c r="AA68" s="135">
        <f t="shared" si="60"/>
        <v>4.0364049214362208E-2</v>
      </c>
      <c r="AB68" s="135">
        <f t="shared" si="60"/>
        <v>3.8976796909921174E-2</v>
      </c>
      <c r="AC68" s="135">
        <f t="shared" si="60"/>
        <v>3.7586851662147924E-2</v>
      </c>
      <c r="AD68" s="135">
        <f t="shared" si="60"/>
        <v>3.6194206426117481E-2</v>
      </c>
      <c r="AE68" s="135">
        <f t="shared" si="60"/>
        <v>3.4798854134320822E-2</v>
      </c>
      <c r="AF68" s="135">
        <f t="shared" si="60"/>
        <v>3.3400787696586387E-2</v>
      </c>
      <c r="AG68" s="135">
        <f t="shared" si="60"/>
        <v>3.1999999999998807E-2</v>
      </c>
    </row>
    <row r="69" spans="1:33" x14ac:dyDescent="0.35">
      <c r="A69" s="1"/>
      <c r="D69" s="81" t="b">
        <f>D63=SUM(D64:D68)</f>
        <v>1</v>
      </c>
      <c r="E69" s="81" t="b">
        <f t="shared" ref="E69:Q69" si="61">E63=SUM(E64:E68)</f>
        <v>1</v>
      </c>
      <c r="F69" s="81" t="b">
        <f t="shared" si="61"/>
        <v>1</v>
      </c>
      <c r="G69" s="81" t="b">
        <f t="shared" si="61"/>
        <v>1</v>
      </c>
      <c r="H69" s="81" t="b">
        <f t="shared" si="61"/>
        <v>1</v>
      </c>
      <c r="I69" s="81" t="b">
        <f t="shared" si="61"/>
        <v>1</v>
      </c>
      <c r="J69" s="81" t="b">
        <f t="shared" si="61"/>
        <v>1</v>
      </c>
      <c r="K69" s="81" t="b">
        <f t="shared" si="61"/>
        <v>1</v>
      </c>
      <c r="L69" s="81" t="b">
        <f t="shared" si="61"/>
        <v>1</v>
      </c>
      <c r="M69" s="81" t="b">
        <f t="shared" si="61"/>
        <v>1</v>
      </c>
      <c r="N69" s="81" t="b">
        <f t="shared" si="61"/>
        <v>1</v>
      </c>
      <c r="O69" s="81" t="b">
        <f t="shared" si="61"/>
        <v>1</v>
      </c>
      <c r="P69" s="81" t="b">
        <f t="shared" si="61"/>
        <v>1</v>
      </c>
      <c r="Q69" s="81" t="b">
        <f t="shared" si="61"/>
        <v>1</v>
      </c>
      <c r="R69" s="21"/>
    </row>
    <row r="70" spans="1:33" s="117" customFormat="1" x14ac:dyDescent="0.35">
      <c r="A70" s="149" t="s">
        <v>65</v>
      </c>
      <c r="B70" s="122" t="s">
        <v>66</v>
      </c>
      <c r="C70" s="123"/>
      <c r="D70" s="124">
        <f>D63*T70</f>
        <v>132.27884279999995</v>
      </c>
      <c r="E70" s="124">
        <f t="shared" ref="E70:Q70" si="62">E63*U70</f>
        <v>150.66137030939564</v>
      </c>
      <c r="F70" s="124">
        <f t="shared" si="62"/>
        <v>171.59848108003598</v>
      </c>
      <c r="G70" s="124">
        <f t="shared" si="62"/>
        <v>195.44518046335017</v>
      </c>
      <c r="H70" s="124">
        <f t="shared" si="62"/>
        <v>222.60580819788868</v>
      </c>
      <c r="I70" s="124">
        <f t="shared" si="62"/>
        <v>253.54089431091103</v>
      </c>
      <c r="J70" s="124">
        <f t="shared" si="62"/>
        <v>288.77496777097241</v>
      </c>
      <c r="K70" s="124">
        <f t="shared" si="62"/>
        <v>328.9054502934182</v>
      </c>
      <c r="L70" s="124">
        <f t="shared" si="62"/>
        <v>374.61278610032736</v>
      </c>
      <c r="M70" s="124">
        <f t="shared" si="62"/>
        <v>426.67197939303304</v>
      </c>
      <c r="N70" s="124">
        <f t="shared" si="62"/>
        <v>485.96573516423751</v>
      </c>
      <c r="O70" s="124">
        <f t="shared" si="62"/>
        <v>553.49942616263115</v>
      </c>
      <c r="P70" s="124">
        <f t="shared" si="62"/>
        <v>630.41813978679738</v>
      </c>
      <c r="Q70" s="124">
        <f t="shared" si="62"/>
        <v>718.02609395203342</v>
      </c>
      <c r="R70" s="68">
        <f>RATE(9,,-H70,Q70)</f>
        <v>0.13896800969618645</v>
      </c>
      <c r="S70" s="122" t="s">
        <v>66</v>
      </c>
      <c r="T70" s="135">
        <v>0.47099999999999986</v>
      </c>
      <c r="U70" s="135">
        <v>0.46974950312514485</v>
      </c>
      <c r="V70" s="135">
        <v>0.46850232629792044</v>
      </c>
      <c r="W70" s="135">
        <v>0.4672584607036574</v>
      </c>
      <c r="X70" s="135">
        <v>0.46601789755108947</v>
      </c>
      <c r="Y70" s="135">
        <v>0.46478062807229081</v>
      </c>
      <c r="Z70" s="135">
        <v>0.46354664352261449</v>
      </c>
      <c r="AA70" s="135">
        <v>0.46231593518063024</v>
      </c>
      <c r="AB70" s="135">
        <v>0.46108849434806326</v>
      </c>
      <c r="AC70" s="135">
        <v>0.45986431234973235</v>
      </c>
      <c r="AD70" s="135">
        <v>0.4586433805334888</v>
      </c>
      <c r="AE70" s="135">
        <v>0.45742569027015528</v>
      </c>
      <c r="AF70" s="135">
        <v>0.45621123295346477</v>
      </c>
      <c r="AG70" s="135">
        <v>0.45499999999999963</v>
      </c>
    </row>
    <row r="71" spans="1:33" s="117" customFormat="1" x14ac:dyDescent="0.35">
      <c r="A71" s="149"/>
      <c r="B71" s="122" t="s">
        <v>67</v>
      </c>
      <c r="C71" s="123"/>
      <c r="D71" s="124">
        <f>D63*T71</f>
        <v>140.42339999999996</v>
      </c>
      <c r="E71" s="124">
        <f t="shared" ref="E71:Q71" si="63">E63*U71</f>
        <v>160.60798733688031</v>
      </c>
      <c r="F71" s="124">
        <f t="shared" si="63"/>
        <v>183.69392563065358</v>
      </c>
      <c r="G71" s="124">
        <f t="shared" si="63"/>
        <v>210.09825770882807</v>
      </c>
      <c r="H71" s="124">
        <f t="shared" si="63"/>
        <v>240.29797251455307</v>
      </c>
      <c r="I71" s="124">
        <f t="shared" si="63"/>
        <v>274.83862181584664</v>
      </c>
      <c r="J71" s="124">
        <f t="shared" si="63"/>
        <v>314.34417548845232</v>
      </c>
      <c r="K71" s="124">
        <f t="shared" si="63"/>
        <v>359.52829340602392</v>
      </c>
      <c r="L71" s="124">
        <f t="shared" si="63"/>
        <v>411.20721756206513</v>
      </c>
      <c r="M71" s="124">
        <f t="shared" si="63"/>
        <v>470.31451731721319</v>
      </c>
      <c r="N71" s="124">
        <f t="shared" si="63"/>
        <v>537.9179541417883</v>
      </c>
      <c r="O71" s="124">
        <f t="shared" si="63"/>
        <v>615.23877051178738</v>
      </c>
      <c r="P71" s="124">
        <f t="shared" si="63"/>
        <v>703.67375140834781</v>
      </c>
      <c r="Q71" s="124">
        <f t="shared" si="63"/>
        <v>804.82045695722366</v>
      </c>
      <c r="R71" s="68">
        <f>RATE(9,,-H71,Q71)</f>
        <v>0.14374091025342184</v>
      </c>
      <c r="S71" s="122" t="s">
        <v>67</v>
      </c>
      <c r="T71" s="135">
        <v>0.49999999999999994</v>
      </c>
      <c r="U71" s="135">
        <v>0.50076221990079761</v>
      </c>
      <c r="V71" s="135">
        <v>0.50152560175994976</v>
      </c>
      <c r="W71" s="135">
        <v>0.50229014734879163</v>
      </c>
      <c r="X71" s="135">
        <v>0.50305585844135947</v>
      </c>
      <c r="Y71" s="135">
        <v>0.50382273681439316</v>
      </c>
      <c r="Z71" s="135">
        <v>0.50459078424734172</v>
      </c>
      <c r="AA71" s="135">
        <v>0.50536000252236668</v>
      </c>
      <c r="AB71" s="135">
        <v>0.50613039342434607</v>
      </c>
      <c r="AC71" s="135">
        <v>0.50690195874087929</v>
      </c>
      <c r="AD71" s="135">
        <v>0.50767470026229067</v>
      </c>
      <c r="AE71" s="135">
        <v>0.50844861978163358</v>
      </c>
      <c r="AF71" s="135">
        <v>0.50922371909469488</v>
      </c>
      <c r="AG71" s="135">
        <v>0.50999999999999923</v>
      </c>
    </row>
    <row r="72" spans="1:33" s="117" customFormat="1" x14ac:dyDescent="0.35">
      <c r="A72" s="149"/>
      <c r="B72" s="122" t="s">
        <v>68</v>
      </c>
      <c r="C72" s="123"/>
      <c r="D72" s="124">
        <f>D63*T72</f>
        <v>8.1445572000000368</v>
      </c>
      <c r="E72" s="124">
        <f t="shared" ref="E72:Q72" si="64">E63*U72</f>
        <v>9.4576879537239797</v>
      </c>
      <c r="F72" s="124">
        <f t="shared" si="64"/>
        <v>10.977879364510358</v>
      </c>
      <c r="G72" s="124">
        <f t="shared" si="64"/>
        <v>12.737228525700024</v>
      </c>
      <c r="H72" s="124">
        <f t="shared" si="64"/>
        <v>14.772740656535159</v>
      </c>
      <c r="I72" s="124">
        <f t="shared" si="64"/>
        <v>17.127071276613894</v>
      </c>
      <c r="J72" s="124">
        <f t="shared" si="64"/>
        <v>19.849379555225514</v>
      </c>
      <c r="K72" s="124">
        <f t="shared" si="64"/>
        <v>22.996309354888421</v>
      </c>
      <c r="L72" s="124">
        <f t="shared" si="64"/>
        <v>26.633116925653017</v>
      </c>
      <c r="M72" s="124">
        <f>M63*AC72</f>
        <v>30.834967001301486</v>
      </c>
      <c r="N72" s="124">
        <f t="shared" si="64"/>
        <v>35.68842225256175</v>
      </c>
      <c r="O72" s="124">
        <f t="shared" si="64"/>
        <v>41.293154725488201</v>
      </c>
      <c r="P72" s="124">
        <f t="shared" si="64"/>
        <v>47.763912103548201</v>
      </c>
      <c r="Q72" s="124">
        <f t="shared" si="64"/>
        <v>55.232776457850569</v>
      </c>
      <c r="R72" s="68">
        <f>RATE(9,,-H72,Q72)</f>
        <v>0.15781004004274107</v>
      </c>
      <c r="S72" s="122" t="s">
        <v>68</v>
      </c>
      <c r="T72" s="135">
        <f>1-SUM(T70:T71)</f>
        <v>2.9000000000000137E-2</v>
      </c>
      <c r="U72" s="135">
        <f t="shared" ref="U72:AG72" si="65">1-SUM(U70:U71)</f>
        <v>2.9488276974057537E-2</v>
      </c>
      <c r="V72" s="135">
        <f t="shared" si="65"/>
        <v>2.9972071942129808E-2</v>
      </c>
      <c r="W72" s="135">
        <f t="shared" si="65"/>
        <v>3.0451391947550976E-2</v>
      </c>
      <c r="X72" s="135">
        <f t="shared" si="65"/>
        <v>3.0926244007551063E-2</v>
      </c>
      <c r="Y72" s="135">
        <f t="shared" si="65"/>
        <v>3.1396635113316029E-2</v>
      </c>
      <c r="Z72" s="135">
        <f t="shared" si="65"/>
        <v>3.1862572230043851E-2</v>
      </c>
      <c r="AA72" s="135">
        <f t="shared" si="65"/>
        <v>3.2324062297003131E-2</v>
      </c>
      <c r="AB72" s="135">
        <f t="shared" si="65"/>
        <v>3.2781112227590725E-2</v>
      </c>
      <c r="AC72" s="135">
        <f t="shared" si="65"/>
        <v>3.323372890938836E-2</v>
      </c>
      <c r="AD72" s="135">
        <f t="shared" si="65"/>
        <v>3.3681919204220589E-2</v>
      </c>
      <c r="AE72" s="135">
        <f t="shared" si="65"/>
        <v>3.4125689948211191E-2</v>
      </c>
      <c r="AF72" s="135">
        <f t="shared" si="65"/>
        <v>3.4565047951840344E-2</v>
      </c>
      <c r="AG72" s="135">
        <f t="shared" si="65"/>
        <v>3.5000000000001141E-2</v>
      </c>
    </row>
    <row r="73" spans="1:33" x14ac:dyDescent="0.35">
      <c r="A73" s="1"/>
      <c r="D73" s="81" t="b">
        <f>D63=SUM(D70:D72)</f>
        <v>1</v>
      </c>
      <c r="E73" s="81" t="b">
        <f t="shared" ref="E73:Q73" si="66">E63=SUM(E70:E72)</f>
        <v>1</v>
      </c>
      <c r="F73" s="81" t="b">
        <f t="shared" si="66"/>
        <v>1</v>
      </c>
      <c r="G73" s="81" t="b">
        <f t="shared" si="66"/>
        <v>1</v>
      </c>
      <c r="H73" s="81" t="b">
        <f t="shared" si="66"/>
        <v>1</v>
      </c>
      <c r="I73" s="81" t="b">
        <f t="shared" si="66"/>
        <v>1</v>
      </c>
      <c r="J73" s="81" t="b">
        <f t="shared" si="66"/>
        <v>1</v>
      </c>
      <c r="K73" s="81" t="b">
        <f t="shared" si="66"/>
        <v>1</v>
      </c>
      <c r="L73" s="81" t="b">
        <f t="shared" si="66"/>
        <v>0</v>
      </c>
      <c r="M73" s="81" t="b">
        <f t="shared" si="66"/>
        <v>1</v>
      </c>
      <c r="N73" s="81" t="b">
        <f t="shared" si="66"/>
        <v>1</v>
      </c>
      <c r="O73" s="81" t="b">
        <f t="shared" si="66"/>
        <v>1</v>
      </c>
      <c r="P73" s="81" t="b">
        <f t="shared" si="66"/>
        <v>1</v>
      </c>
      <c r="Q73" s="81" t="b">
        <f t="shared" si="66"/>
        <v>1</v>
      </c>
      <c r="R73" s="21"/>
    </row>
    <row r="74" spans="1:33" s="117" customFormat="1" x14ac:dyDescent="0.35">
      <c r="A74" s="149" t="s">
        <v>69</v>
      </c>
      <c r="B74" s="125" t="s">
        <v>70</v>
      </c>
      <c r="C74" s="126"/>
      <c r="D74" s="127">
        <f>D63*T74</f>
        <v>157.27420799999999</v>
      </c>
      <c r="E74" s="127">
        <f t="shared" ref="E74:Q74" si="67">E63*U74</f>
        <v>179.63181684719999</v>
      </c>
      <c r="F74" s="127">
        <f t="shared" si="67"/>
        <v>205.16770947689278</v>
      </c>
      <c r="G74" s="127">
        <f t="shared" si="67"/>
        <v>234.33369965851136</v>
      </c>
      <c r="H74" s="127">
        <f t="shared" si="67"/>
        <v>267.64582935781755</v>
      </c>
      <c r="I74" s="127">
        <f t="shared" si="67"/>
        <v>305.6934991718125</v>
      </c>
      <c r="J74" s="127">
        <f t="shared" si="67"/>
        <v>349.14989670981089</v>
      </c>
      <c r="K74" s="127">
        <f t="shared" si="67"/>
        <v>398.78390743130052</v>
      </c>
      <c r="L74" s="127">
        <f t="shared" si="67"/>
        <v>455.47371868043655</v>
      </c>
      <c r="M74" s="127">
        <f t="shared" si="67"/>
        <v>520.22235761488241</v>
      </c>
      <c r="N74" s="127">
        <f t="shared" si="67"/>
        <v>594.17543794323876</v>
      </c>
      <c r="O74" s="127">
        <f t="shared" si="67"/>
        <v>678.64142946590152</v>
      </c>
      <c r="P74" s="127">
        <f t="shared" si="67"/>
        <v>775.11480905031328</v>
      </c>
      <c r="Q74" s="127">
        <f t="shared" si="67"/>
        <v>885.30250265294751</v>
      </c>
      <c r="R74" s="131">
        <f>RATE(9,,-H74,Q74)</f>
        <v>0.14215669595819505</v>
      </c>
      <c r="S74" s="125" t="s">
        <v>70</v>
      </c>
      <c r="T74" s="135">
        <v>0.56000000000000005</v>
      </c>
      <c r="U74" s="135">
        <v>0.56007692307692314</v>
      </c>
      <c r="V74" s="135">
        <v>0.56015384615384622</v>
      </c>
      <c r="W74" s="135">
        <v>0.56023076923076931</v>
      </c>
      <c r="X74" s="135">
        <v>0.5603076923076924</v>
      </c>
      <c r="Y74" s="135">
        <v>0.56038461538461548</v>
      </c>
      <c r="Z74" s="135">
        <v>0.56046153846153846</v>
      </c>
      <c r="AA74" s="135">
        <v>0.56053846153846154</v>
      </c>
      <c r="AB74" s="135">
        <v>0.56061538461538463</v>
      </c>
      <c r="AC74" s="135">
        <v>0.56069230769230771</v>
      </c>
      <c r="AD74" s="135">
        <v>0.5607692307692308</v>
      </c>
      <c r="AE74" s="135">
        <v>0.56084615384615388</v>
      </c>
      <c r="AF74" s="135">
        <v>0.56092307692307697</v>
      </c>
      <c r="AG74" s="135">
        <v>0.56100000000000005</v>
      </c>
    </row>
    <row r="75" spans="1:33" s="117" customFormat="1" x14ac:dyDescent="0.35">
      <c r="A75" s="149"/>
      <c r="B75" s="125" t="s">
        <v>71</v>
      </c>
      <c r="C75" s="126"/>
      <c r="D75" s="127">
        <f>D63*T75</f>
        <v>70.211699999999993</v>
      </c>
      <c r="E75" s="127">
        <f t="shared" ref="E75:Q75" si="68">E63*U75</f>
        <v>80.255775333599999</v>
      </c>
      <c r="F75" s="127">
        <f t="shared" si="68"/>
        <v>91.73661934314238</v>
      </c>
      <c r="G75" s="127">
        <f t="shared" si="68"/>
        <v>104.85974559756811</v>
      </c>
      <c r="H75" s="127">
        <f t="shared" si="68"/>
        <v>119.86006251581559</v>
      </c>
      <c r="I75" s="127">
        <f t="shared" si="68"/>
        <v>137.00607752861603</v>
      </c>
      <c r="J75" s="127">
        <f t="shared" si="68"/>
        <v>156.60470250448284</v>
      </c>
      <c r="K75" s="127">
        <f t="shared" si="68"/>
        <v>179.00674642620888</v>
      </c>
      <c r="L75" s="127">
        <f t="shared" si="68"/>
        <v>204.61319360040466</v>
      </c>
      <c r="M75" s="127">
        <f t="shared" si="68"/>
        <v>233.88237973713399</v>
      </c>
      <c r="N75" s="127">
        <f t="shared" si="68"/>
        <v>267.33819430093592</v>
      </c>
      <c r="O75" s="127">
        <f t="shared" si="68"/>
        <v>305.57945589583801</v>
      </c>
      <c r="P75" s="127">
        <f t="shared" si="68"/>
        <v>349.29062843380825</v>
      </c>
      <c r="Q75" s="127">
        <f t="shared" si="68"/>
        <v>399.25406982387824</v>
      </c>
      <c r="R75" s="68">
        <f>RATE(9,,-H75,Q75)</f>
        <v>0.14304643224448299</v>
      </c>
      <c r="S75" s="125" t="s">
        <v>71</v>
      </c>
      <c r="T75" s="135">
        <v>0.25</v>
      </c>
      <c r="U75" s="135">
        <v>0.25023076923076926</v>
      </c>
      <c r="V75" s="135">
        <v>0.25046153846153846</v>
      </c>
      <c r="W75" s="135">
        <v>0.25069230769230771</v>
      </c>
      <c r="X75" s="135">
        <v>0.25092307692307692</v>
      </c>
      <c r="Y75" s="135">
        <v>0.25115384615384617</v>
      </c>
      <c r="Z75" s="135">
        <v>0.25138461538461537</v>
      </c>
      <c r="AA75" s="135">
        <v>0.25161538461538463</v>
      </c>
      <c r="AB75" s="135">
        <v>0.25184615384615383</v>
      </c>
      <c r="AC75" s="135">
        <v>0.25207692307692309</v>
      </c>
      <c r="AD75" s="135">
        <v>0.25230769230769229</v>
      </c>
      <c r="AE75" s="135">
        <v>0.25253846153846154</v>
      </c>
      <c r="AF75" s="135">
        <v>0.2527692307692308</v>
      </c>
      <c r="AG75" s="135">
        <v>0.253</v>
      </c>
    </row>
    <row r="76" spans="1:33" s="117" customFormat="1" x14ac:dyDescent="0.35">
      <c r="A76" s="149"/>
      <c r="B76" s="125" t="s">
        <v>72</v>
      </c>
      <c r="C76" s="126"/>
      <c r="D76" s="127">
        <f>D63*T76</f>
        <v>36.510083999999999</v>
      </c>
      <c r="E76" s="127">
        <f t="shared" ref="E76:Q76" si="69">E63*U76</f>
        <v>41.743858550399999</v>
      </c>
      <c r="F76" s="127">
        <f t="shared" si="69"/>
        <v>47.727835739337593</v>
      </c>
      <c r="G76" s="127">
        <f t="shared" si="69"/>
        <v>54.569539286123202</v>
      </c>
      <c r="H76" s="127">
        <f t="shared" si="69"/>
        <v>62.391902560347916</v>
      </c>
      <c r="I76" s="127">
        <f t="shared" si="69"/>
        <v>71.335476814287048</v>
      </c>
      <c r="J76" s="127">
        <f t="shared" si="69"/>
        <v>81.560955833118072</v>
      </c>
      <c r="K76" s="127">
        <f t="shared" si="69"/>
        <v>93.252062338813801</v>
      </c>
      <c r="L76" s="127">
        <f t="shared" si="69"/>
        <v>106.61884797870812</v>
      </c>
      <c r="M76" s="127">
        <f t="shared" si="69"/>
        <v>121.9014661553326</v>
      </c>
      <c r="N76" s="127">
        <f t="shared" si="69"/>
        <v>139.37448544347575</v>
      </c>
      <c r="O76" s="127">
        <f t="shared" si="69"/>
        <v>159.35182104589543</v>
      </c>
      <c r="P76" s="127">
        <f t="shared" si="69"/>
        <v>182.19237283492006</v>
      </c>
      <c r="Q76" s="127">
        <f t="shared" si="69"/>
        <v>208.30647121245823</v>
      </c>
      <c r="R76" s="68">
        <f>RATE(9,,-H76,Q76)</f>
        <v>0.14333881648011546</v>
      </c>
      <c r="S76" s="125" t="s">
        <v>72</v>
      </c>
      <c r="T76" s="135">
        <v>0.13</v>
      </c>
      <c r="U76" s="135">
        <v>0.13015384615384618</v>
      </c>
      <c r="V76" s="135">
        <v>0.13030769230769232</v>
      </c>
      <c r="W76" s="135">
        <v>0.13046153846153849</v>
      </c>
      <c r="X76" s="135">
        <v>0.13061538461538463</v>
      </c>
      <c r="Y76" s="135">
        <v>0.13076923076923078</v>
      </c>
      <c r="Z76" s="135">
        <v>0.13092307692307695</v>
      </c>
      <c r="AA76" s="135">
        <v>0.13107692307692309</v>
      </c>
      <c r="AB76" s="135">
        <v>0.13123076923076923</v>
      </c>
      <c r="AC76" s="135">
        <v>0.13138461538461541</v>
      </c>
      <c r="AD76" s="135">
        <v>0.13153846153846155</v>
      </c>
      <c r="AE76" s="135">
        <v>0.13169230769230772</v>
      </c>
      <c r="AF76" s="135">
        <v>0.13184615384615386</v>
      </c>
      <c r="AG76" s="135">
        <v>0.13200000000000001</v>
      </c>
    </row>
    <row r="77" spans="1:33" s="117" customFormat="1" x14ac:dyDescent="0.35">
      <c r="A77" s="149"/>
      <c r="B77" s="125" t="s">
        <v>73</v>
      </c>
      <c r="C77" s="126"/>
      <c r="D77" s="127">
        <f>D63*T77</f>
        <v>5.6169359999999999</v>
      </c>
      <c r="E77" s="127">
        <f t="shared" ref="E77:Q77" si="70">E63*U77</f>
        <v>6.4392122231999984</v>
      </c>
      <c r="F77" s="127">
        <f t="shared" si="70"/>
        <v>7.3817549962847986</v>
      </c>
      <c r="G77" s="127">
        <f t="shared" si="70"/>
        <v>8.4621396416570747</v>
      </c>
      <c r="H77" s="127">
        <f t="shared" si="70"/>
        <v>9.7005078185699922</v>
      </c>
      <c r="I77" s="127">
        <f t="shared" si="70"/>
        <v>11.119941973991804</v>
      </c>
      <c r="J77" s="127">
        <f t="shared" si="70"/>
        <v>12.746894389899765</v>
      </c>
      <c r="K77" s="127">
        <f t="shared" si="70"/>
        <v>14.611678781962018</v>
      </c>
      <c r="L77" s="127">
        <f t="shared" si="70"/>
        <v>16.749033562892013</v>
      </c>
      <c r="M77" s="127">
        <f t="shared" si="70"/>
        <v>19.19876721064664</v>
      </c>
      <c r="N77" s="127">
        <f t="shared" si="70"/>
        <v>22.006497701601432</v>
      </c>
      <c r="O77" s="127">
        <f t="shared" si="70"/>
        <v>25.2244997099519</v>
      </c>
      <c r="P77" s="127">
        <f t="shared" si="70"/>
        <v>28.912675269018816</v>
      </c>
      <c r="Q77" s="127">
        <f t="shared" si="70"/>
        <v>33.139665874709266</v>
      </c>
      <c r="R77" s="68">
        <f>RATE(9,,-H77,Q77)</f>
        <v>0.14626158888121324</v>
      </c>
      <c r="S77" s="125" t="s">
        <v>73</v>
      </c>
      <c r="T77" s="135">
        <v>0.02</v>
      </c>
      <c r="U77" s="135">
        <v>2.0076923076923076E-2</v>
      </c>
      <c r="V77" s="135">
        <v>2.0153846153846154E-2</v>
      </c>
      <c r="W77" s="135">
        <v>2.0230769230769229E-2</v>
      </c>
      <c r="X77" s="135">
        <v>2.0307692307692308E-2</v>
      </c>
      <c r="Y77" s="135">
        <v>2.0384615384615383E-2</v>
      </c>
      <c r="Z77" s="135">
        <v>2.0461538461538462E-2</v>
      </c>
      <c r="AA77" s="135">
        <v>2.0538461538461537E-2</v>
      </c>
      <c r="AB77" s="135">
        <v>2.0615384615384615E-2</v>
      </c>
      <c r="AC77" s="135">
        <v>2.069230769230769E-2</v>
      </c>
      <c r="AD77" s="135">
        <v>2.0769230769230769E-2</v>
      </c>
      <c r="AE77" s="135">
        <v>2.0846153846153844E-2</v>
      </c>
      <c r="AF77" s="135">
        <v>2.0923076923076923E-2</v>
      </c>
      <c r="AG77" s="135">
        <v>2.1000000000000001E-2</v>
      </c>
    </row>
    <row r="78" spans="1:33" s="117" customFormat="1" x14ac:dyDescent="0.35">
      <c r="A78" s="149"/>
      <c r="B78" s="125" t="s">
        <v>74</v>
      </c>
      <c r="C78" s="126"/>
      <c r="D78" s="127">
        <f>D63*T78</f>
        <v>11.233871999999979</v>
      </c>
      <c r="E78" s="127">
        <f t="shared" ref="E78:Q78" si="71">E63*U78</f>
        <v>12.656382645599955</v>
      </c>
      <c r="F78" s="127">
        <f t="shared" si="71"/>
        <v>14.256366519542325</v>
      </c>
      <c r="G78" s="127">
        <f t="shared" si="71"/>
        <v>16.055542514018452</v>
      </c>
      <c r="H78" s="127">
        <f t="shared" si="71"/>
        <v>18.078219116425796</v>
      </c>
      <c r="I78" s="127">
        <f t="shared" si="71"/>
        <v>20.351591914664223</v>
      </c>
      <c r="J78" s="127">
        <f t="shared" si="71"/>
        <v>22.906073377338682</v>
      </c>
      <c r="K78" s="127">
        <f t="shared" si="71"/>
        <v>25.775658076045321</v>
      </c>
      <c r="L78" s="127">
        <f t="shared" si="71"/>
        <v>28.99832676560408</v>
      </c>
      <c r="M78" s="127">
        <f t="shared" si="71"/>
        <v>32.616492993552043</v>
      </c>
      <c r="N78" s="127">
        <f t="shared" si="71"/>
        <v>36.677496169335711</v>
      </c>
      <c r="O78" s="127">
        <f t="shared" si="71"/>
        <v>41.234145282319808</v>
      </c>
      <c r="P78" s="127">
        <f t="shared" si="71"/>
        <v>46.345317710633076</v>
      </c>
      <c r="Q78" s="127">
        <f t="shared" si="71"/>
        <v>52.076617803114424</v>
      </c>
      <c r="R78" s="68">
        <f>RATE(9,,-H78,Q78)</f>
        <v>0.12474513920188331</v>
      </c>
      <c r="S78" s="125" t="s">
        <v>74</v>
      </c>
      <c r="T78" s="135">
        <f>1-SUM(T74:T77)</f>
        <v>3.9999999999999925E-2</v>
      </c>
      <c r="U78" s="135">
        <f t="shared" ref="U78:AG78" si="72">1-SUM(U74:U77)</f>
        <v>3.9461538461538326E-2</v>
      </c>
      <c r="V78" s="135">
        <f t="shared" si="72"/>
        <v>3.8923076923076727E-2</v>
      </c>
      <c r="W78" s="135">
        <f t="shared" si="72"/>
        <v>3.8384615384615128E-2</v>
      </c>
      <c r="X78" s="135">
        <f t="shared" si="72"/>
        <v>3.7846153846153641E-2</v>
      </c>
      <c r="Y78" s="135">
        <f t="shared" si="72"/>
        <v>3.7307692307692264E-2</v>
      </c>
      <c r="Z78" s="135">
        <f t="shared" si="72"/>
        <v>3.6769230769230776E-2</v>
      </c>
      <c r="AA78" s="135">
        <f t="shared" si="72"/>
        <v>3.6230769230769178E-2</v>
      </c>
      <c r="AB78" s="135">
        <f t="shared" si="72"/>
        <v>3.569230769230769E-2</v>
      </c>
      <c r="AC78" s="135">
        <f t="shared" si="72"/>
        <v>3.5153846153846091E-2</v>
      </c>
      <c r="AD78" s="135">
        <f t="shared" si="72"/>
        <v>3.4615384615384603E-2</v>
      </c>
      <c r="AE78" s="135">
        <f t="shared" si="72"/>
        <v>3.4076923076923005E-2</v>
      </c>
      <c r="AF78" s="135">
        <f t="shared" si="72"/>
        <v>3.3538461538461517E-2</v>
      </c>
      <c r="AG78" s="135">
        <f t="shared" si="72"/>
        <v>3.2999999999999918E-2</v>
      </c>
    </row>
    <row r="79" spans="1:33" x14ac:dyDescent="0.35">
      <c r="A79" s="2"/>
      <c r="D79" s="81" t="b">
        <f>D63=SUM(D74:D78)</f>
        <v>1</v>
      </c>
      <c r="E79" s="81" t="b">
        <f t="shared" ref="E79:Q79" si="73">E63=SUM(E74:E78)</f>
        <v>1</v>
      </c>
      <c r="F79" s="81" t="b">
        <f t="shared" si="73"/>
        <v>1</v>
      </c>
      <c r="G79" s="81" t="b">
        <f t="shared" si="73"/>
        <v>1</v>
      </c>
      <c r="H79" s="81" t="b">
        <f t="shared" si="73"/>
        <v>1</v>
      </c>
      <c r="I79" s="81" t="b">
        <f t="shared" si="73"/>
        <v>1</v>
      </c>
      <c r="J79" s="81" t="b">
        <f t="shared" si="73"/>
        <v>1</v>
      </c>
      <c r="K79" s="81" t="b">
        <f t="shared" si="73"/>
        <v>1</v>
      </c>
      <c r="L79" s="81" t="b">
        <f t="shared" si="73"/>
        <v>0</v>
      </c>
      <c r="M79" s="81" t="b">
        <f t="shared" si="73"/>
        <v>1</v>
      </c>
      <c r="N79" s="81" t="b">
        <f t="shared" si="73"/>
        <v>1</v>
      </c>
      <c r="O79" s="81" t="b">
        <f t="shared" si="73"/>
        <v>1</v>
      </c>
      <c r="P79" s="81" t="b">
        <f t="shared" si="73"/>
        <v>1</v>
      </c>
      <c r="Q79" s="81" t="b">
        <f t="shared" si="73"/>
        <v>1</v>
      </c>
      <c r="R79" s="21"/>
    </row>
    <row r="80" spans="1:33" s="117" customFormat="1" x14ac:dyDescent="0.35">
      <c r="A80" s="149" t="s">
        <v>75</v>
      </c>
      <c r="B80" s="128" t="s">
        <v>76</v>
      </c>
      <c r="C80" s="129"/>
      <c r="D80" s="130">
        <f>D63*T80</f>
        <v>70.211699999999993</v>
      </c>
      <c r="E80" s="130">
        <f t="shared" ref="E80:Q80" si="74">E63*U80</f>
        <v>80.230922763125918</v>
      </c>
      <c r="F80" s="130">
        <f t="shared" si="74"/>
        <v>91.679890494357451</v>
      </c>
      <c r="G80" s="130">
        <f t="shared" si="74"/>
        <v>104.76262806889217</v>
      </c>
      <c r="H80" s="130">
        <f t="shared" si="74"/>
        <v>119.71227474989747</v>
      </c>
      <c r="I80" s="130">
        <f t="shared" si="74"/>
        <v>136.79523881713635</v>
      </c>
      <c r="J80" s="130">
        <f t="shared" si="74"/>
        <v>156.31594506187758</v>
      </c>
      <c r="K80" s="130">
        <f t="shared" si="74"/>
        <v>178.62225975022022</v>
      </c>
      <c r="L80" s="130">
        <f t="shared" si="74"/>
        <v>204.11168972970225</v>
      </c>
      <c r="M80" s="130">
        <f t="shared" si="74"/>
        <v>233.23846614958566</v>
      </c>
      <c r="N80" s="130">
        <f t="shared" si="74"/>
        <v>266.52163902935507</v>
      </c>
      <c r="O80" s="130">
        <f t="shared" si="74"/>
        <v>304.55432692365969</v>
      </c>
      <c r="P80" s="130">
        <f t="shared" si="74"/>
        <v>348.01428651617812</v>
      </c>
      <c r="Q80" s="130">
        <f t="shared" si="74"/>
        <v>397.67599049651062</v>
      </c>
      <c r="R80" s="68">
        <f t="shared" ref="R80:R86" si="75">RATE(9,,-H80,Q80)</f>
        <v>0.14270018762009637</v>
      </c>
      <c r="S80" s="128" t="s">
        <v>76</v>
      </c>
      <c r="T80" s="135">
        <v>0.25</v>
      </c>
      <c r="U80" s="135">
        <v>0.25015328100264811</v>
      </c>
      <c r="V80" s="135">
        <v>0.25030665598555929</v>
      </c>
      <c r="W80" s="135">
        <v>0.25046012500635517</v>
      </c>
      <c r="X80" s="135">
        <v>0.25061368812269258</v>
      </c>
      <c r="Y80" s="135">
        <v>0.2507673453922637</v>
      </c>
      <c r="Z80" s="135">
        <v>0.25092109687279618</v>
      </c>
      <c r="AA80" s="135">
        <v>0.2510749426220531</v>
      </c>
      <c r="AB80" s="135">
        <v>0.25122888269783278</v>
      </c>
      <c r="AC80" s="135">
        <v>0.25138291715796912</v>
      </c>
      <c r="AD80" s="135">
        <v>0.25153704606033145</v>
      </c>
      <c r="AE80" s="135">
        <v>0.25169126946282455</v>
      </c>
      <c r="AF80" s="135">
        <v>0.25184558742338869</v>
      </c>
      <c r="AG80" s="135">
        <v>0.25199999999999967</v>
      </c>
    </row>
    <row r="81" spans="1:33" s="117" customFormat="1" x14ac:dyDescent="0.35">
      <c r="A81" s="149"/>
      <c r="B81" s="128" t="s">
        <v>77</v>
      </c>
      <c r="C81" s="129"/>
      <c r="D81" s="130">
        <f>D63*T81</f>
        <v>56.169360000000005</v>
      </c>
      <c r="E81" s="130">
        <f t="shared" ref="E81:Q81" si="76">E63*U81</f>
        <v>64.617422723212528</v>
      </c>
      <c r="F81" s="130">
        <f t="shared" si="76"/>
        <v>74.336102803919118</v>
      </c>
      <c r="G81" s="130">
        <f t="shared" si="76"/>
        <v>85.516505412862543</v>
      </c>
      <c r="H81" s="130">
        <f t="shared" si="76"/>
        <v>98.378478588234415</v>
      </c>
      <c r="I81" s="130">
        <f t="shared" si="76"/>
        <v>113.17493626066693</v>
      </c>
      <c r="J81" s="130">
        <f t="shared" si="76"/>
        <v>130.19683147588202</v>
      </c>
      <c r="K81" s="130">
        <f t="shared" si="76"/>
        <v>149.77887760693602</v>
      </c>
      <c r="L81" s="130">
        <f t="shared" si="76"/>
        <v>172.30613005623877</v>
      </c>
      <c r="M81" s="130">
        <f t="shared" si="76"/>
        <v>198.22155786793391</v>
      </c>
      <c r="N81" s="130">
        <f t="shared" si="76"/>
        <v>228.03475413652612</v>
      </c>
      <c r="O81" s="130">
        <f t="shared" si="76"/>
        <v>262.33195649058024</v>
      </c>
      <c r="P81" s="130">
        <f t="shared" si="76"/>
        <v>301.78757469124128</v>
      </c>
      <c r="Q81" s="130">
        <f t="shared" si="76"/>
        <v>347.17745202076378</v>
      </c>
      <c r="R81" s="68">
        <f t="shared" si="75"/>
        <v>0.15040340006032663</v>
      </c>
      <c r="S81" s="128" t="s">
        <v>77</v>
      </c>
      <c r="T81" s="135">
        <v>0.20000000000000004</v>
      </c>
      <c r="U81" s="135">
        <v>0.20147169878464574</v>
      </c>
      <c r="V81" s="135">
        <v>0.20295422705585509</v>
      </c>
      <c r="W81" s="135">
        <v>0.20444766450233912</v>
      </c>
      <c r="X81" s="135">
        <v>0.20595209139919785</v>
      </c>
      <c r="Y81" s="135">
        <v>0.20746758861223505</v>
      </c>
      <c r="Z81" s="135">
        <v>0.20899423760230507</v>
      </c>
      <c r="AA81" s="135">
        <v>0.21053212042969136</v>
      </c>
      <c r="AB81" s="135">
        <v>0.21208131975851768</v>
      </c>
      <c r="AC81" s="135">
        <v>0.21364191886119097</v>
      </c>
      <c r="AD81" s="135">
        <v>0.21521400162287799</v>
      </c>
      <c r="AE81" s="135">
        <v>0.21679765254601358</v>
      </c>
      <c r="AF81" s="135">
        <v>0.21839295675484363</v>
      </c>
      <c r="AG81" s="135">
        <v>0.22000000000000006</v>
      </c>
    </row>
    <row r="82" spans="1:33" s="117" customFormat="1" x14ac:dyDescent="0.35">
      <c r="A82" s="149"/>
      <c r="B82" s="128" t="s">
        <v>78</v>
      </c>
      <c r="C82" s="129"/>
      <c r="D82" s="132">
        <f>D63*T82</f>
        <v>50.552424000000002</v>
      </c>
      <c r="E82" s="132">
        <f t="shared" ref="E82:Q82" si="77">E63*U82</f>
        <v>57.779959579076056</v>
      </c>
      <c r="F82" s="132">
        <f t="shared" si="77"/>
        <v>66.040823857618861</v>
      </c>
      <c r="G82" s="132">
        <f t="shared" si="77"/>
        <v>75.482752974656535</v>
      </c>
      <c r="H82" s="132">
        <f t="shared" si="77"/>
        <v>86.27460506726716</v>
      </c>
      <c r="I82" s="132">
        <f t="shared" si="77"/>
        <v>98.609380105837204</v>
      </c>
      <c r="J82" s="132">
        <f t="shared" si="77"/>
        <v>112.70767147848383</v>
      </c>
      <c r="K82" s="132">
        <f t="shared" si="77"/>
        <v>128.8216110522925</v>
      </c>
      <c r="L82" s="132">
        <f t="shared" si="77"/>
        <v>147.23937826429292</v>
      </c>
      <c r="M82" s="132">
        <f t="shared" si="77"/>
        <v>168.29035388212316</v>
      </c>
      <c r="N82" s="132">
        <f t="shared" si="77"/>
        <v>192.35101060351693</v>
      </c>
      <c r="O82" s="132">
        <f t="shared" si="77"/>
        <v>219.85164584126838</v>
      </c>
      <c r="P82" s="132">
        <f t="shared" si="77"/>
        <v>251.28407710185829</v>
      </c>
      <c r="Q82" s="132">
        <f t="shared" si="77"/>
        <v>287.21043758081322</v>
      </c>
      <c r="R82" s="68">
        <f t="shared" si="75"/>
        <v>0.14297109826179757</v>
      </c>
      <c r="S82" s="128" t="s">
        <v>78</v>
      </c>
      <c r="T82" s="133">
        <v>0.18000000000000002</v>
      </c>
      <c r="U82" s="133">
        <v>0.18015306277331314</v>
      </c>
      <c r="V82" s="133">
        <v>0.18030625570336284</v>
      </c>
      <c r="W82" s="133">
        <v>0.18045957890082762</v>
      </c>
      <c r="X82" s="133">
        <v>0.18061303247648028</v>
      </c>
      <c r="Y82" s="133">
        <v>0.18076661654118778</v>
      </c>
      <c r="Z82" s="133">
        <v>0.18092033120591131</v>
      </c>
      <c r="AA82" s="133">
        <v>0.18107417658170627</v>
      </c>
      <c r="AB82" s="133">
        <v>0.1812281527797229</v>
      </c>
      <c r="AC82" s="133">
        <v>0.1813822599112056</v>
      </c>
      <c r="AD82" s="133">
        <v>0.18153649808749345</v>
      </c>
      <c r="AE82" s="133">
        <v>0.18169086742002025</v>
      </c>
      <c r="AF82" s="133">
        <v>0.18184536802031454</v>
      </c>
      <c r="AG82" s="133">
        <v>0.18199999999999975</v>
      </c>
    </row>
    <row r="83" spans="1:33" s="117" customFormat="1" x14ac:dyDescent="0.35">
      <c r="A83" s="149"/>
      <c r="B83" s="128" t="s">
        <v>79</v>
      </c>
      <c r="C83" s="129"/>
      <c r="D83" s="132">
        <f>D63*T83</f>
        <v>28.084679999999995</v>
      </c>
      <c r="E83" s="132">
        <f t="shared" ref="E83:Q83" si="78">E63*U83</f>
        <v>32.121597467376063</v>
      </c>
      <c r="F83" s="132">
        <f t="shared" si="78"/>
        <v>36.738785126130708</v>
      </c>
      <c r="G83" s="132">
        <f t="shared" si="78"/>
        <v>42.019651541765619</v>
      </c>
      <c r="H83" s="132">
        <f t="shared" si="78"/>
        <v>48.059594502910613</v>
      </c>
      <c r="I83" s="132">
        <f t="shared" si="78"/>
        <v>54.967724363169332</v>
      </c>
      <c r="J83" s="132">
        <f t="shared" si="78"/>
        <v>62.868835097690464</v>
      </c>
      <c r="K83" s="132">
        <f t="shared" si="78"/>
        <v>71.905658681204784</v>
      </c>
      <c r="L83" s="132">
        <f t="shared" si="78"/>
        <v>82.241443512413028</v>
      </c>
      <c r="M83" s="132">
        <f t="shared" si="78"/>
        <v>94.062903463442652</v>
      </c>
      <c r="N83" s="132">
        <f t="shared" si="78"/>
        <v>107.58359082835766</v>
      </c>
      <c r="O83" s="132">
        <f t="shared" si="78"/>
        <v>123.04775410235747</v>
      </c>
      <c r="P83" s="132">
        <f t="shared" si="78"/>
        <v>140.73475028166956</v>
      </c>
      <c r="Q83" s="132">
        <f t="shared" si="78"/>
        <v>160.96409139144475</v>
      </c>
      <c r="R83" s="68">
        <f t="shared" si="75"/>
        <v>0.14374091025342184</v>
      </c>
      <c r="S83" s="128" t="s">
        <v>79</v>
      </c>
      <c r="T83" s="133">
        <v>9.9999999999999992E-2</v>
      </c>
      <c r="U83" s="133">
        <v>0.10015244398015953</v>
      </c>
      <c r="V83" s="133">
        <v>0.10030512035198993</v>
      </c>
      <c r="W83" s="133">
        <v>0.10045802946975833</v>
      </c>
      <c r="X83" s="133">
        <v>0.10061117168827188</v>
      </c>
      <c r="Y83" s="133">
        <v>0.10076454736287864</v>
      </c>
      <c r="Z83" s="133">
        <v>0.10091815684946834</v>
      </c>
      <c r="AA83" s="133">
        <v>0.10107200050447333</v>
      </c>
      <c r="AB83" s="133">
        <v>0.10122607868486923</v>
      </c>
      <c r="AC83" s="133">
        <v>0.10138039174817587</v>
      </c>
      <c r="AD83" s="133">
        <v>0.10153494005245813</v>
      </c>
      <c r="AE83" s="133">
        <v>0.10168972395632671</v>
      </c>
      <c r="AF83" s="133">
        <v>0.10184474381893897</v>
      </c>
      <c r="AG83" s="133">
        <v>0.10199999999999985</v>
      </c>
    </row>
    <row r="84" spans="1:33" s="117" customFormat="1" x14ac:dyDescent="0.35">
      <c r="A84" s="149"/>
      <c r="B84" s="128" t="s">
        <v>80</v>
      </c>
      <c r="C84" s="129"/>
      <c r="D84" s="132">
        <f>D63*T84</f>
        <v>36.510084000000006</v>
      </c>
      <c r="E84" s="132">
        <f t="shared" ref="E84:Q84" si="79">E63*U84</f>
        <v>41.815735237822402</v>
      </c>
      <c r="F84" s="132">
        <f t="shared" si="79"/>
        <v>47.892404560878639</v>
      </c>
      <c r="G84" s="132">
        <f t="shared" si="79"/>
        <v>54.852136440452419</v>
      </c>
      <c r="H84" s="132">
        <f t="shared" si="79"/>
        <v>62.823257668288797</v>
      </c>
      <c r="I84" s="132">
        <f t="shared" si="79"/>
        <v>71.952743506003969</v>
      </c>
      <c r="J84" s="132">
        <f t="shared" si="79"/>
        <v>82.408927683705315</v>
      </c>
      <c r="K84" s="132">
        <f t="shared" si="79"/>
        <v>94.384606216043608</v>
      </c>
      <c r="L84" s="132">
        <f t="shared" si="79"/>
        <v>108.10059226530964</v>
      </c>
      <c r="M84" s="132">
        <f t="shared" si="79"/>
        <v>123.80978759780392</v>
      </c>
      <c r="N84" s="132">
        <f t="shared" si="79"/>
        <v>141.80184570489612</v>
      </c>
      <c r="O84" s="132">
        <f t="shared" si="79"/>
        <v>162.40851256958155</v>
      </c>
      <c r="P84" s="132">
        <f t="shared" si="79"/>
        <v>186.00974355408695</v>
      </c>
      <c r="Q84" s="132">
        <f t="shared" si="79"/>
        <v>213.04070919455947</v>
      </c>
      <c r="R84" s="68">
        <f t="shared" si="75"/>
        <v>0.14532015970772344</v>
      </c>
      <c r="S84" s="128" t="s">
        <v>80</v>
      </c>
      <c r="T84" s="133">
        <v>0.13000000000000003</v>
      </c>
      <c r="U84" s="133">
        <v>0.13037795163047644</v>
      </c>
      <c r="V84" s="133">
        <v>0.13075700208737578</v>
      </c>
      <c r="W84" s="133">
        <v>0.13113715456533831</v>
      </c>
      <c r="X84" s="133">
        <v>0.1315184122682922</v>
      </c>
      <c r="Y84" s="133">
        <v>0.13190077840948042</v>
      </c>
      <c r="Z84" s="133">
        <v>0.13228425621148787</v>
      </c>
      <c r="AA84" s="133">
        <v>0.13266884890626857</v>
      </c>
      <c r="AB84" s="133">
        <v>0.1330545597351728</v>
      </c>
      <c r="AC84" s="133">
        <v>0.13344139194897456</v>
      </c>
      <c r="AD84" s="133">
        <v>0.13382934880789885</v>
      </c>
      <c r="AE84" s="133">
        <v>0.13421843358164914</v>
      </c>
      <c r="AF84" s="133">
        <v>0.13460864954943511</v>
      </c>
      <c r="AG84" s="133">
        <v>0.13499999999999995</v>
      </c>
    </row>
    <row r="85" spans="1:33" s="117" customFormat="1" x14ac:dyDescent="0.35">
      <c r="A85" s="149"/>
      <c r="B85" s="128" t="s">
        <v>81</v>
      </c>
      <c r="C85" s="129"/>
      <c r="D85" s="132">
        <f>D63*T85</f>
        <v>5.616935999999999</v>
      </c>
      <c r="E85" s="132">
        <f t="shared" ref="E85:Q85" si="80">E63*U85</f>
        <v>6.4838751550723011</v>
      </c>
      <c r="F85" s="132">
        <f t="shared" si="80"/>
        <v>7.4846209795810141</v>
      </c>
      <c r="G85" s="132">
        <f t="shared" si="80"/>
        <v>8.6398257011720023</v>
      </c>
      <c r="H85" s="132">
        <f t="shared" si="80"/>
        <v>9.9733290904479368</v>
      </c>
      <c r="I85" s="132">
        <f t="shared" si="80"/>
        <v>11.512650438408988</v>
      </c>
      <c r="J85" s="132">
        <f t="shared" si="80"/>
        <v>13.289556467553179</v>
      </c>
      <c r="K85" s="132">
        <f t="shared" si="80"/>
        <v>15.340716896524816</v>
      </c>
      <c r="L85" s="132">
        <f t="shared" si="80"/>
        <v>17.708461187091171</v>
      </c>
      <c r="M85" s="132">
        <f t="shared" si="80"/>
        <v>20.44165209031091</v>
      </c>
      <c r="N85" s="132">
        <f t="shared" si="80"/>
        <v>23.596694019123365</v>
      </c>
      <c r="O85" s="132">
        <f t="shared" si="80"/>
        <v>27.238697056978605</v>
      </c>
      <c r="P85" s="132">
        <f t="shared" si="80"/>
        <v>31.44282062396379</v>
      </c>
      <c r="Q85" s="132">
        <f t="shared" si="80"/>
        <v>36.295824529443415</v>
      </c>
      <c r="R85" s="68">
        <f t="shared" si="75"/>
        <v>0.1543437837056176</v>
      </c>
      <c r="S85" s="128" t="s">
        <v>81</v>
      </c>
      <c r="T85" s="133">
        <v>1.9999999999999997E-2</v>
      </c>
      <c r="U85" s="133">
        <v>2.0216178348609781E-2</v>
      </c>
      <c r="V85" s="133">
        <v>2.0434693351139947E-2</v>
      </c>
      <c r="W85" s="133">
        <v>2.065557026428979E-2</v>
      </c>
      <c r="X85" s="133">
        <v>2.0878834617756165E-2</v>
      </c>
      <c r="Y85" s="133">
        <v>2.1104512217184332E-2</v>
      </c>
      <c r="Z85" s="133">
        <v>2.1332629147150631E-2</v>
      </c>
      <c r="AA85" s="133">
        <v>2.1563211774177433E-2</v>
      </c>
      <c r="AB85" s="133">
        <v>2.179628674978067E-2</v>
      </c>
      <c r="AC85" s="133">
        <v>2.2031881013550313E-2</v>
      </c>
      <c r="AD85" s="133">
        <v>2.2270021796264142E-2</v>
      </c>
      <c r="AE85" s="133">
        <v>2.2510736623035158E-2</v>
      </c>
      <c r="AF85" s="133">
        <v>2.275405331649304E-2</v>
      </c>
      <c r="AG85" s="133">
        <v>2.2999999999999961E-2</v>
      </c>
    </row>
    <row r="86" spans="1:33" s="117" customFormat="1" x14ac:dyDescent="0.35">
      <c r="A86" s="149"/>
      <c r="B86" s="128" t="s">
        <v>82</v>
      </c>
      <c r="C86" s="129"/>
      <c r="D86" s="132">
        <f>D63*T86</f>
        <v>33.701615999999966</v>
      </c>
      <c r="E86" s="132">
        <f t="shared" ref="E86:Q86" si="81">E63*U86</f>
        <v>37.677532674314683</v>
      </c>
      <c r="F86" s="132">
        <f t="shared" si="81"/>
        <v>42.097658252714169</v>
      </c>
      <c r="G86" s="132">
        <f t="shared" si="81"/>
        <v>47.007166558076989</v>
      </c>
      <c r="H86" s="132">
        <f t="shared" si="81"/>
        <v>52.4549817019305</v>
      </c>
      <c r="I86" s="132">
        <f t="shared" si="81"/>
        <v>58.493913912148741</v>
      </c>
      <c r="J86" s="132">
        <f t="shared" si="81"/>
        <v>65.1807555494578</v>
      </c>
      <c r="K86" s="132">
        <f t="shared" si="81"/>
        <v>72.576322851108657</v>
      </c>
      <c r="L86" s="132">
        <f t="shared" si="81"/>
        <v>80.745425572997661</v>
      </c>
      <c r="M86" s="132">
        <f t="shared" si="81"/>
        <v>89.756742660347527</v>
      </c>
      <c r="N86" s="132">
        <f t="shared" si="81"/>
        <v>99.682577236812236</v>
      </c>
      <c r="O86" s="132">
        <f t="shared" si="81"/>
        <v>110.59845841548095</v>
      </c>
      <c r="P86" s="132">
        <f t="shared" si="81"/>
        <v>122.58255052969552</v>
      </c>
      <c r="Q86" s="132">
        <f t="shared" si="81"/>
        <v>135.71482215357244</v>
      </c>
      <c r="R86" s="68">
        <f t="shared" si="75"/>
        <v>0.11140199325457667</v>
      </c>
      <c r="S86" s="128" t="s">
        <v>82</v>
      </c>
      <c r="T86" s="133">
        <f>1-SUM(T80:T85)</f>
        <v>0.11999999999999988</v>
      </c>
      <c r="U86" s="133">
        <f t="shared" ref="U86:AG86" si="82">1-SUM(U80:U85)</f>
        <v>0.1174753834801473</v>
      </c>
      <c r="V86" s="133">
        <f t="shared" si="82"/>
        <v>0.11493604546471725</v>
      </c>
      <c r="W86" s="133">
        <f t="shared" si="82"/>
        <v>0.11238187729109173</v>
      </c>
      <c r="X86" s="133">
        <f t="shared" si="82"/>
        <v>0.109812769427309</v>
      </c>
      <c r="Y86" s="133">
        <f t="shared" si="82"/>
        <v>0.10722861146477003</v>
      </c>
      <c r="Z86" s="133">
        <f t="shared" si="82"/>
        <v>0.10462929211088057</v>
      </c>
      <c r="AA86" s="133">
        <f t="shared" si="82"/>
        <v>0.10201469918163009</v>
      </c>
      <c r="AB86" s="133">
        <f t="shared" si="82"/>
        <v>9.9384719594103998E-2</v>
      </c>
      <c r="AC86" s="133">
        <f t="shared" si="82"/>
        <v>9.6739239358933582E-2</v>
      </c>
      <c r="AD86" s="133">
        <f t="shared" si="82"/>
        <v>9.4078143572675965E-2</v>
      </c>
      <c r="AE86" s="133">
        <f t="shared" si="82"/>
        <v>9.1401316410130717E-2</v>
      </c>
      <c r="AF86" s="133">
        <f t="shared" si="82"/>
        <v>8.8708641116586051E-2</v>
      </c>
      <c r="AG86" s="133">
        <f t="shared" si="82"/>
        <v>8.6000000000000743E-2</v>
      </c>
    </row>
    <row r="87" spans="1:33" x14ac:dyDescent="0.35">
      <c r="D87" t="b">
        <f>D63=SUM(D80:D86)</f>
        <v>1</v>
      </c>
      <c r="E87" t="b">
        <f t="shared" ref="E87:Q87" si="83">E63=SUM(E80:E86)</f>
        <v>1</v>
      </c>
      <c r="F87" t="b">
        <f t="shared" si="83"/>
        <v>1</v>
      </c>
      <c r="G87" t="b">
        <f t="shared" si="83"/>
        <v>1</v>
      </c>
      <c r="H87" t="b">
        <f t="shared" si="83"/>
        <v>1</v>
      </c>
      <c r="I87" t="b">
        <f t="shared" si="83"/>
        <v>0</v>
      </c>
      <c r="J87" t="b">
        <f t="shared" si="83"/>
        <v>1</v>
      </c>
      <c r="K87" t="b">
        <f t="shared" si="83"/>
        <v>1</v>
      </c>
      <c r="L87" t="b">
        <f t="shared" si="83"/>
        <v>1</v>
      </c>
      <c r="M87" t="b">
        <f t="shared" si="83"/>
        <v>1</v>
      </c>
      <c r="N87" t="b">
        <f t="shared" si="83"/>
        <v>1</v>
      </c>
      <c r="O87" t="b">
        <f t="shared" si="83"/>
        <v>1</v>
      </c>
      <c r="P87" t="b">
        <f t="shared" si="83"/>
        <v>1</v>
      </c>
      <c r="Q87" t="b">
        <f t="shared" si="83"/>
        <v>1</v>
      </c>
    </row>
    <row r="89" spans="1:33" ht="25" x14ac:dyDescent="0.5">
      <c r="A89" s="146" t="s">
        <v>92</v>
      </c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63"/>
    </row>
    <row r="90" spans="1:33" ht="23.5" thickBot="1" x14ac:dyDescent="0.55000000000000004">
      <c r="A90" s="63"/>
      <c r="B90" s="63"/>
      <c r="C90" s="63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</row>
    <row r="91" spans="1:33" ht="16" hidden="1" thickBot="1" x14ac:dyDescent="0.4">
      <c r="A91" s="42"/>
      <c r="B91" s="43"/>
      <c r="C91" s="93"/>
      <c r="D91" s="91">
        <v>2023</v>
      </c>
      <c r="E91" s="65">
        <v>2024</v>
      </c>
      <c r="F91" s="65">
        <v>2025</v>
      </c>
      <c r="G91" s="65">
        <v>2026</v>
      </c>
      <c r="H91" s="65">
        <v>2027</v>
      </c>
      <c r="I91" s="65">
        <v>2028</v>
      </c>
      <c r="J91" s="65">
        <v>2029</v>
      </c>
      <c r="K91" s="65">
        <v>2030</v>
      </c>
      <c r="L91" s="65">
        <v>2031</v>
      </c>
      <c r="M91" s="65">
        <v>2032</v>
      </c>
      <c r="N91" s="65">
        <v>2033</v>
      </c>
      <c r="O91" s="65">
        <v>2034</v>
      </c>
      <c r="P91" s="65">
        <v>2035</v>
      </c>
      <c r="Q91" s="65">
        <v>2036</v>
      </c>
      <c r="R91" s="66" t="s">
        <v>13</v>
      </c>
    </row>
    <row r="92" spans="1:33" ht="16" hidden="1" thickBot="1" x14ac:dyDescent="0.4">
      <c r="A92" s="25"/>
      <c r="B92" s="94"/>
      <c r="C92" s="95"/>
      <c r="D92" s="92" t="e">
        <f>#REF!</f>
        <v>#REF!</v>
      </c>
      <c r="E92" s="92" t="e">
        <f>#REF!</f>
        <v>#REF!</v>
      </c>
      <c r="F92" s="92" t="e">
        <f>#REF!</f>
        <v>#REF!</v>
      </c>
      <c r="G92" s="92" t="e">
        <f>#REF!</f>
        <v>#REF!</v>
      </c>
      <c r="H92" s="92" t="e">
        <f>#REF!</f>
        <v>#REF!</v>
      </c>
      <c r="I92" s="92" t="e">
        <f>#REF!</f>
        <v>#REF!</v>
      </c>
      <c r="J92" s="92" t="e">
        <f>#REF!</f>
        <v>#REF!</v>
      </c>
      <c r="K92" s="92" t="e">
        <f>#REF!</f>
        <v>#REF!</v>
      </c>
      <c r="L92" s="92" t="e">
        <f>#REF!</f>
        <v>#REF!</v>
      </c>
      <c r="M92" s="92" t="e">
        <f>#REF!</f>
        <v>#REF!</v>
      </c>
      <c r="N92" s="92" t="e">
        <f>#REF!</f>
        <v>#REF!</v>
      </c>
      <c r="O92" s="92" t="e">
        <f>#REF!</f>
        <v>#REF!</v>
      </c>
      <c r="P92" s="92" t="e">
        <f>#REF!</f>
        <v>#REF!</v>
      </c>
      <c r="Q92" s="92" t="e">
        <f>#REF!</f>
        <v>#REF!</v>
      </c>
      <c r="R92" s="68" t="e">
        <f>RATE(12,,-E92,Q92)</f>
        <v>#REF!</v>
      </c>
      <c r="T92" s="65">
        <v>2023</v>
      </c>
      <c r="U92" s="65">
        <v>2024</v>
      </c>
      <c r="V92" s="65">
        <v>2025</v>
      </c>
      <c r="W92" s="65">
        <v>2026</v>
      </c>
      <c r="X92" s="65">
        <v>2027</v>
      </c>
      <c r="Y92" s="65">
        <v>2028</v>
      </c>
      <c r="Z92" s="65">
        <v>2029</v>
      </c>
      <c r="AA92" s="65">
        <v>2030</v>
      </c>
      <c r="AB92" s="65">
        <v>2031</v>
      </c>
      <c r="AC92" s="65">
        <v>2032</v>
      </c>
      <c r="AD92" s="65">
        <v>2033</v>
      </c>
      <c r="AE92" s="65">
        <v>2034</v>
      </c>
      <c r="AF92" s="65">
        <v>2035</v>
      </c>
      <c r="AG92" s="65">
        <v>2036</v>
      </c>
    </row>
    <row r="93" spans="1:33" ht="15" hidden="1" thickBot="1" x14ac:dyDescent="0.4">
      <c r="A93" s="150" t="s">
        <v>49</v>
      </c>
      <c r="B93" s="52" t="s">
        <v>34</v>
      </c>
      <c r="C93" s="45"/>
      <c r="D93" s="79" t="e">
        <f t="shared" ref="D93:Q93" si="84">D92*T93</f>
        <v>#REF!</v>
      </c>
      <c r="E93" s="79" t="e">
        <f t="shared" si="84"/>
        <v>#REF!</v>
      </c>
      <c r="F93" s="79" t="e">
        <f t="shared" si="84"/>
        <v>#REF!</v>
      </c>
      <c r="G93" s="79" t="e">
        <f t="shared" si="84"/>
        <v>#REF!</v>
      </c>
      <c r="H93" s="79" t="e">
        <f t="shared" si="84"/>
        <v>#REF!</v>
      </c>
      <c r="I93" s="79" t="e">
        <f t="shared" si="84"/>
        <v>#REF!</v>
      </c>
      <c r="J93" s="79" t="e">
        <f t="shared" si="84"/>
        <v>#REF!</v>
      </c>
      <c r="K93" s="79" t="e">
        <f t="shared" si="84"/>
        <v>#REF!</v>
      </c>
      <c r="L93" s="79" t="e">
        <f t="shared" si="84"/>
        <v>#REF!</v>
      </c>
      <c r="M93" s="79" t="e">
        <f t="shared" si="84"/>
        <v>#REF!</v>
      </c>
      <c r="N93" s="79" t="e">
        <f t="shared" si="84"/>
        <v>#REF!</v>
      </c>
      <c r="O93" s="79" t="e">
        <f t="shared" si="84"/>
        <v>#REF!</v>
      </c>
      <c r="P93" s="79" t="e">
        <f t="shared" si="84"/>
        <v>#REF!</v>
      </c>
      <c r="Q93" s="79" t="e">
        <f t="shared" si="84"/>
        <v>#REF!</v>
      </c>
      <c r="R93" s="77" t="e">
        <f>RATE(12,,-E93,Q93)</f>
        <v>#REF!</v>
      </c>
      <c r="S93" s="52"/>
      <c r="T93" s="12">
        <v>0.56000000000000005</v>
      </c>
      <c r="U93" s="12">
        <v>0.56092161367703952</v>
      </c>
      <c r="V93" s="12">
        <v>0.56184474408938223</v>
      </c>
      <c r="W93" s="12">
        <v>0.56276939373317769</v>
      </c>
      <c r="X93" s="12">
        <v>0.56369556510868446</v>
      </c>
      <c r="Y93" s="12">
        <v>0.56462326072027491</v>
      </c>
      <c r="Z93" s="12">
        <v>0.56555248307644368</v>
      </c>
      <c r="AA93" s="12">
        <v>0.56648323468981299</v>
      </c>
      <c r="AB93" s="12">
        <v>0.56741551807714108</v>
      </c>
      <c r="AC93" s="12">
        <v>0.56834933575932756</v>
      </c>
      <c r="AD93" s="12">
        <v>0.56928469026142059</v>
      </c>
      <c r="AE93" s="12">
        <v>0.57022158411262425</v>
      </c>
      <c r="AF93" s="12">
        <v>0.57116001984630527</v>
      </c>
      <c r="AG93" s="12">
        <v>0.57209999999999905</v>
      </c>
    </row>
    <row r="94" spans="1:33" ht="15" hidden="1" thickBot="1" x14ac:dyDescent="0.4">
      <c r="A94" s="151"/>
      <c r="B94" s="53" t="s">
        <v>35</v>
      </c>
      <c r="C94" s="46"/>
      <c r="D94" s="80" t="e">
        <f t="shared" ref="D94:Q94" si="85">D92*T94</f>
        <v>#REF!</v>
      </c>
      <c r="E94" s="80" t="e">
        <f t="shared" si="85"/>
        <v>#REF!</v>
      </c>
      <c r="F94" s="80" t="e">
        <f t="shared" si="85"/>
        <v>#REF!</v>
      </c>
      <c r="G94" s="80" t="e">
        <f t="shared" si="85"/>
        <v>#REF!</v>
      </c>
      <c r="H94" s="80" t="e">
        <f t="shared" si="85"/>
        <v>#REF!</v>
      </c>
      <c r="I94" s="80" t="e">
        <f t="shared" si="85"/>
        <v>#REF!</v>
      </c>
      <c r="J94" s="80" t="e">
        <f t="shared" si="85"/>
        <v>#REF!</v>
      </c>
      <c r="K94" s="80" t="e">
        <f t="shared" si="85"/>
        <v>#REF!</v>
      </c>
      <c r="L94" s="80" t="e">
        <f t="shared" si="85"/>
        <v>#REF!</v>
      </c>
      <c r="M94" s="80" t="e">
        <f t="shared" si="85"/>
        <v>#REF!</v>
      </c>
      <c r="N94" s="80" t="e">
        <f t="shared" si="85"/>
        <v>#REF!</v>
      </c>
      <c r="O94" s="80" t="e">
        <f t="shared" si="85"/>
        <v>#REF!</v>
      </c>
      <c r="P94" s="80" t="e">
        <f t="shared" si="85"/>
        <v>#REF!</v>
      </c>
      <c r="Q94" s="80" t="e">
        <f t="shared" si="85"/>
        <v>#REF!</v>
      </c>
      <c r="R94" s="78" t="e">
        <f>RATE(12,,-E94,Q94)</f>
        <v>#REF!</v>
      </c>
      <c r="S94" s="53"/>
      <c r="T94" s="12">
        <f>1-T93</f>
        <v>0.43999999999999995</v>
      </c>
      <c r="U94" s="12">
        <f t="shared" ref="U94:AG94" si="86">1-U93</f>
        <v>0.43907838632296048</v>
      </c>
      <c r="V94" s="12">
        <f t="shared" si="86"/>
        <v>0.43815525591061777</v>
      </c>
      <c r="W94" s="12">
        <f t="shared" si="86"/>
        <v>0.43723060626682231</v>
      </c>
      <c r="X94" s="12">
        <f t="shared" si="86"/>
        <v>0.43630443489131554</v>
      </c>
      <c r="Y94" s="12">
        <f t="shared" si="86"/>
        <v>0.43537673927972509</v>
      </c>
      <c r="Z94" s="12">
        <f t="shared" si="86"/>
        <v>0.43444751692355632</v>
      </c>
      <c r="AA94" s="12">
        <f t="shared" si="86"/>
        <v>0.43351676531018701</v>
      </c>
      <c r="AB94" s="12">
        <f t="shared" si="86"/>
        <v>0.43258448192285892</v>
      </c>
      <c r="AC94" s="12">
        <f t="shared" si="86"/>
        <v>0.43165066424067244</v>
      </c>
      <c r="AD94" s="12">
        <f t="shared" si="86"/>
        <v>0.43071530973857941</v>
      </c>
      <c r="AE94" s="12">
        <f t="shared" si="86"/>
        <v>0.42977841588737575</v>
      </c>
      <c r="AF94" s="12">
        <f t="shared" si="86"/>
        <v>0.42883998015369473</v>
      </c>
      <c r="AG94" s="12">
        <f t="shared" si="86"/>
        <v>0.42790000000000095</v>
      </c>
    </row>
    <row r="95" spans="1:33" ht="15" hidden="1" thickBot="1" x14ac:dyDescent="0.4">
      <c r="A95" s="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21"/>
    </row>
    <row r="96" spans="1:33" ht="15" hidden="1" thickBot="1" x14ac:dyDescent="0.4">
      <c r="A96" s="150" t="s">
        <v>15</v>
      </c>
      <c r="B96" s="57" t="s">
        <v>16</v>
      </c>
      <c r="C96" s="47"/>
      <c r="D96" s="82" t="e">
        <f t="shared" ref="D96:Q96" si="87">D92*T96</f>
        <v>#REF!</v>
      </c>
      <c r="E96" s="82" t="e">
        <f t="shared" si="87"/>
        <v>#REF!</v>
      </c>
      <c r="F96" s="82" t="e">
        <f t="shared" si="87"/>
        <v>#REF!</v>
      </c>
      <c r="G96" s="82" t="e">
        <f t="shared" si="87"/>
        <v>#REF!</v>
      </c>
      <c r="H96" s="82" t="e">
        <f t="shared" si="87"/>
        <v>#REF!</v>
      </c>
      <c r="I96" s="82" t="e">
        <f t="shared" si="87"/>
        <v>#REF!</v>
      </c>
      <c r="J96" s="82" t="e">
        <f t="shared" si="87"/>
        <v>#REF!</v>
      </c>
      <c r="K96" s="82" t="e">
        <f t="shared" si="87"/>
        <v>#REF!</v>
      </c>
      <c r="L96" s="82" t="e">
        <f t="shared" si="87"/>
        <v>#REF!</v>
      </c>
      <c r="M96" s="82" t="e">
        <f t="shared" si="87"/>
        <v>#REF!</v>
      </c>
      <c r="N96" s="82" t="e">
        <f t="shared" si="87"/>
        <v>#REF!</v>
      </c>
      <c r="O96" s="82" t="e">
        <f t="shared" si="87"/>
        <v>#REF!</v>
      </c>
      <c r="P96" s="82" t="e">
        <f t="shared" si="87"/>
        <v>#REF!</v>
      </c>
      <c r="Q96" s="82" t="e">
        <f t="shared" si="87"/>
        <v>#REF!</v>
      </c>
      <c r="R96" s="69" t="e">
        <f>RATE(12,,-E96,Q96)</f>
        <v>#REF!</v>
      </c>
      <c r="S96" s="57"/>
      <c r="T96" s="12">
        <v>0.47099999999999992</v>
      </c>
      <c r="U96" s="12">
        <v>0.47038461538461535</v>
      </c>
      <c r="V96" s="12">
        <v>0.46976923076923072</v>
      </c>
      <c r="W96" s="12">
        <v>0.46915384615384609</v>
      </c>
      <c r="X96" s="12">
        <v>0.46853846153846151</v>
      </c>
      <c r="Y96" s="12">
        <v>0.46792307692307689</v>
      </c>
      <c r="Z96" s="12">
        <v>0.46730769230769226</v>
      </c>
      <c r="AA96" s="12">
        <v>0.46669230769230763</v>
      </c>
      <c r="AB96" s="12">
        <v>0.46607692307692306</v>
      </c>
      <c r="AC96" s="12">
        <v>0.46546153846153843</v>
      </c>
      <c r="AD96" s="12">
        <v>0.4648461538461538</v>
      </c>
      <c r="AE96" s="12">
        <v>0.46423076923076922</v>
      </c>
      <c r="AF96" s="12">
        <v>0.4636153846153846</v>
      </c>
      <c r="AG96" s="12">
        <v>0.46299999999999997</v>
      </c>
    </row>
    <row r="97" spans="1:33" ht="15" hidden="1" thickBot="1" x14ac:dyDescent="0.4">
      <c r="A97" s="151"/>
      <c r="B97" s="58" t="s">
        <v>17</v>
      </c>
      <c r="C97" s="48"/>
      <c r="D97" s="83" t="e">
        <f t="shared" ref="D97:Q97" si="88">D92*T97</f>
        <v>#REF!</v>
      </c>
      <c r="E97" s="83" t="e">
        <f t="shared" si="88"/>
        <v>#REF!</v>
      </c>
      <c r="F97" s="83" t="e">
        <f t="shared" si="88"/>
        <v>#REF!</v>
      </c>
      <c r="G97" s="83" t="e">
        <f t="shared" si="88"/>
        <v>#REF!</v>
      </c>
      <c r="H97" s="83" t="e">
        <f t="shared" si="88"/>
        <v>#REF!</v>
      </c>
      <c r="I97" s="83" t="e">
        <f t="shared" si="88"/>
        <v>#REF!</v>
      </c>
      <c r="J97" s="83" t="e">
        <f t="shared" si="88"/>
        <v>#REF!</v>
      </c>
      <c r="K97" s="83" t="e">
        <f t="shared" si="88"/>
        <v>#REF!</v>
      </c>
      <c r="L97" s="83" t="e">
        <f t="shared" si="88"/>
        <v>#REF!</v>
      </c>
      <c r="M97" s="83" t="e">
        <f t="shared" si="88"/>
        <v>#REF!</v>
      </c>
      <c r="N97" s="83" t="e">
        <f t="shared" si="88"/>
        <v>#REF!</v>
      </c>
      <c r="O97" s="83" t="e">
        <f t="shared" si="88"/>
        <v>#REF!</v>
      </c>
      <c r="P97" s="83" t="e">
        <f t="shared" si="88"/>
        <v>#REF!</v>
      </c>
      <c r="Q97" s="83" t="e">
        <f t="shared" si="88"/>
        <v>#REF!</v>
      </c>
      <c r="R97" s="70" t="e">
        <f>RATE(12,,-E97,Q97)</f>
        <v>#REF!</v>
      </c>
      <c r="S97" s="58"/>
      <c r="T97" s="12">
        <f>1-T96</f>
        <v>0.52900000000000014</v>
      </c>
      <c r="U97" s="12">
        <f t="shared" ref="U97:AG97" si="89">1-U96</f>
        <v>0.5296153846153846</v>
      </c>
      <c r="V97" s="12">
        <f t="shared" si="89"/>
        <v>0.53023076923076928</v>
      </c>
      <c r="W97" s="12">
        <f t="shared" si="89"/>
        <v>0.53084615384615397</v>
      </c>
      <c r="X97" s="12">
        <f t="shared" si="89"/>
        <v>0.53146153846153843</v>
      </c>
      <c r="Y97" s="12">
        <f t="shared" si="89"/>
        <v>0.53207692307692311</v>
      </c>
      <c r="Z97" s="12">
        <f t="shared" si="89"/>
        <v>0.5326923076923078</v>
      </c>
      <c r="AA97" s="12">
        <f t="shared" si="89"/>
        <v>0.53330769230769237</v>
      </c>
      <c r="AB97" s="12">
        <f t="shared" si="89"/>
        <v>0.53392307692307694</v>
      </c>
      <c r="AC97" s="12">
        <f t="shared" si="89"/>
        <v>0.53453846153846163</v>
      </c>
      <c r="AD97" s="12">
        <f t="shared" si="89"/>
        <v>0.5351538461538462</v>
      </c>
      <c r="AE97" s="12">
        <f t="shared" si="89"/>
        <v>0.53576923076923078</v>
      </c>
      <c r="AF97" s="12">
        <f t="shared" si="89"/>
        <v>0.53638461538461546</v>
      </c>
      <c r="AG97" s="12">
        <f t="shared" si="89"/>
        <v>0.53700000000000003</v>
      </c>
    </row>
    <row r="98" spans="1:33" ht="15" hidden="1" thickBot="1" x14ac:dyDescent="0.4">
      <c r="A98" s="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21"/>
    </row>
    <row r="99" spans="1:33" ht="15" hidden="1" thickBot="1" x14ac:dyDescent="0.4">
      <c r="A99" s="150" t="s">
        <v>18</v>
      </c>
      <c r="B99" s="54" t="s">
        <v>19</v>
      </c>
      <c r="C99" s="49"/>
      <c r="D99" s="84" t="e">
        <f t="shared" ref="D99:Q99" si="90">D92*T99</f>
        <v>#REF!</v>
      </c>
      <c r="E99" s="84" t="e">
        <f t="shared" si="90"/>
        <v>#REF!</v>
      </c>
      <c r="F99" s="84" t="e">
        <f t="shared" si="90"/>
        <v>#REF!</v>
      </c>
      <c r="G99" s="84" t="e">
        <f t="shared" si="90"/>
        <v>#REF!</v>
      </c>
      <c r="H99" s="84" t="e">
        <f t="shared" si="90"/>
        <v>#REF!</v>
      </c>
      <c r="I99" s="84" t="e">
        <f t="shared" si="90"/>
        <v>#REF!</v>
      </c>
      <c r="J99" s="84" t="e">
        <f t="shared" si="90"/>
        <v>#REF!</v>
      </c>
      <c r="K99" s="84" t="e">
        <f t="shared" si="90"/>
        <v>#REF!</v>
      </c>
      <c r="L99" s="84" t="e">
        <f t="shared" si="90"/>
        <v>#REF!</v>
      </c>
      <c r="M99" s="84" t="e">
        <f t="shared" si="90"/>
        <v>#REF!</v>
      </c>
      <c r="N99" s="84" t="e">
        <f t="shared" si="90"/>
        <v>#REF!</v>
      </c>
      <c r="O99" s="84" t="e">
        <f t="shared" si="90"/>
        <v>#REF!</v>
      </c>
      <c r="P99" s="84" t="e">
        <f t="shared" si="90"/>
        <v>#REF!</v>
      </c>
      <c r="Q99" s="84" t="e">
        <f t="shared" si="90"/>
        <v>#REF!</v>
      </c>
      <c r="R99" s="71" t="e">
        <f>RATE(12,,-E99,Q99)</f>
        <v>#REF!</v>
      </c>
      <c r="S99" s="54"/>
      <c r="T99" s="12">
        <v>0.40099999999999997</v>
      </c>
      <c r="U99" s="12">
        <v>0.40265090533119946</v>
      </c>
      <c r="V99" s="12">
        <v>0.40430860739160734</v>
      </c>
      <c r="W99" s="12">
        <v>0.40597313416316017</v>
      </c>
      <c r="X99" s="12">
        <v>0.40764451374299493</v>
      </c>
      <c r="Y99" s="12">
        <v>0.40932277434392395</v>
      </c>
      <c r="Z99" s="12">
        <v>0.41100794429491083</v>
      </c>
      <c r="AA99" s="12">
        <v>0.4127000520415488</v>
      </c>
      <c r="AB99" s="12">
        <v>0.41439912614654062</v>
      </c>
      <c r="AC99" s="12">
        <v>0.41610519529018092</v>
      </c>
      <c r="AD99" s="12">
        <v>0.41781828827084017</v>
      </c>
      <c r="AE99" s="12">
        <v>0.4195384340054511</v>
      </c>
      <c r="AF99" s="12">
        <v>0.4212656615299965</v>
      </c>
      <c r="AG99" s="12">
        <v>0.42299999999999938</v>
      </c>
    </row>
    <row r="100" spans="1:33" ht="15" hidden="1" thickBot="1" x14ac:dyDescent="0.4">
      <c r="A100" s="151"/>
      <c r="B100" s="56" t="s">
        <v>20</v>
      </c>
      <c r="C100" s="44"/>
      <c r="D100" s="85" t="e">
        <f t="shared" ref="D100:Q100" si="91">D92*T100</f>
        <v>#REF!</v>
      </c>
      <c r="E100" s="85" t="e">
        <f t="shared" si="91"/>
        <v>#REF!</v>
      </c>
      <c r="F100" s="85" t="e">
        <f t="shared" si="91"/>
        <v>#REF!</v>
      </c>
      <c r="G100" s="85" t="e">
        <f t="shared" si="91"/>
        <v>#REF!</v>
      </c>
      <c r="H100" s="85" t="e">
        <f t="shared" si="91"/>
        <v>#REF!</v>
      </c>
      <c r="I100" s="85" t="e">
        <f t="shared" si="91"/>
        <v>#REF!</v>
      </c>
      <c r="J100" s="85" t="e">
        <f t="shared" si="91"/>
        <v>#REF!</v>
      </c>
      <c r="K100" s="85" t="e">
        <f t="shared" si="91"/>
        <v>#REF!</v>
      </c>
      <c r="L100" s="85" t="e">
        <f t="shared" si="91"/>
        <v>#REF!</v>
      </c>
      <c r="M100" s="85" t="e">
        <f t="shared" si="91"/>
        <v>#REF!</v>
      </c>
      <c r="N100" s="85" t="e">
        <f t="shared" si="91"/>
        <v>#REF!</v>
      </c>
      <c r="O100" s="85" t="e">
        <f t="shared" si="91"/>
        <v>#REF!</v>
      </c>
      <c r="P100" s="85" t="e">
        <f t="shared" si="91"/>
        <v>#REF!</v>
      </c>
      <c r="Q100" s="85" t="e">
        <f t="shared" si="91"/>
        <v>#REF!</v>
      </c>
      <c r="R100" s="72" t="e">
        <f>RATE(12,,-E100,Q100)</f>
        <v>#REF!</v>
      </c>
      <c r="S100" s="56"/>
      <c r="T100" s="12">
        <f>1-T99</f>
        <v>0.59899999999999998</v>
      </c>
      <c r="U100" s="12">
        <f t="shared" ref="U100:AG100" si="92">1-U99</f>
        <v>0.59734909466880048</v>
      </c>
      <c r="V100" s="12">
        <f t="shared" si="92"/>
        <v>0.59569139260839266</v>
      </c>
      <c r="W100" s="12">
        <f t="shared" si="92"/>
        <v>0.59402686583683983</v>
      </c>
      <c r="X100" s="12">
        <f t="shared" si="92"/>
        <v>0.59235548625700507</v>
      </c>
      <c r="Y100" s="12">
        <f t="shared" si="92"/>
        <v>0.59067722565607605</v>
      </c>
      <c r="Z100" s="12">
        <f t="shared" si="92"/>
        <v>0.58899205570508917</v>
      </c>
      <c r="AA100" s="12">
        <f t="shared" si="92"/>
        <v>0.5872999479584512</v>
      </c>
      <c r="AB100" s="12">
        <f t="shared" si="92"/>
        <v>0.58560087385345938</v>
      </c>
      <c r="AC100" s="12">
        <f t="shared" si="92"/>
        <v>0.58389480470981914</v>
      </c>
      <c r="AD100" s="12">
        <f t="shared" si="92"/>
        <v>0.58218171172915989</v>
      </c>
      <c r="AE100" s="12">
        <f t="shared" si="92"/>
        <v>0.5804615659945489</v>
      </c>
      <c r="AF100" s="12">
        <f t="shared" si="92"/>
        <v>0.57873433847000344</v>
      </c>
      <c r="AG100" s="12">
        <f t="shared" si="92"/>
        <v>0.57700000000000062</v>
      </c>
    </row>
    <row r="101" spans="1:33" ht="15" hidden="1" thickBot="1" x14ac:dyDescent="0.4">
      <c r="A101" s="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21"/>
    </row>
    <row r="102" spans="1:33" ht="15" hidden="1" thickBot="1" x14ac:dyDescent="0.4">
      <c r="A102" s="150" t="s">
        <v>14</v>
      </c>
      <c r="B102" s="59" t="s">
        <v>21</v>
      </c>
      <c r="C102" s="50"/>
      <c r="D102" s="86" t="e">
        <f t="shared" ref="D102:Q102" si="93">D92*T102</f>
        <v>#REF!</v>
      </c>
      <c r="E102" s="86" t="e">
        <f t="shared" si="93"/>
        <v>#REF!</v>
      </c>
      <c r="F102" s="86" t="e">
        <f t="shared" si="93"/>
        <v>#REF!</v>
      </c>
      <c r="G102" s="86" t="e">
        <f t="shared" si="93"/>
        <v>#REF!</v>
      </c>
      <c r="H102" s="86" t="e">
        <f t="shared" si="93"/>
        <v>#REF!</v>
      </c>
      <c r="I102" s="86" t="e">
        <f t="shared" si="93"/>
        <v>#REF!</v>
      </c>
      <c r="J102" s="86" t="e">
        <f t="shared" si="93"/>
        <v>#REF!</v>
      </c>
      <c r="K102" s="86" t="e">
        <f t="shared" si="93"/>
        <v>#REF!</v>
      </c>
      <c r="L102" s="86" t="e">
        <f t="shared" si="93"/>
        <v>#REF!</v>
      </c>
      <c r="M102" s="86" t="e">
        <f t="shared" si="93"/>
        <v>#REF!</v>
      </c>
      <c r="N102" s="86" t="e">
        <f t="shared" si="93"/>
        <v>#REF!</v>
      </c>
      <c r="O102" s="86" t="e">
        <f t="shared" si="93"/>
        <v>#REF!</v>
      </c>
      <c r="P102" s="86" t="e">
        <f t="shared" si="93"/>
        <v>#REF!</v>
      </c>
      <c r="Q102" s="86" t="e">
        <f t="shared" si="93"/>
        <v>#REF!</v>
      </c>
      <c r="R102" s="73" t="e">
        <f t="shared" ref="R102:R107" si="94">RATE(12,,-E102,Q102)</f>
        <v>#REF!</v>
      </c>
      <c r="S102" s="59"/>
      <c r="T102" s="12">
        <v>0.25</v>
      </c>
      <c r="U102" s="12">
        <v>0.25155593539307364</v>
      </c>
      <c r="V102" s="12">
        <v>0.25312155452593693</v>
      </c>
      <c r="W102" s="12">
        <v>0.25469691766768382</v>
      </c>
      <c r="X102" s="12">
        <v>0.25628208546250747</v>
      </c>
      <c r="Y102" s="12">
        <v>0.2578771189320348</v>
      </c>
      <c r="Z102" s="12">
        <v>0.25948207947767565</v>
      </c>
      <c r="AA102" s="12">
        <v>0.2610970288829863</v>
      </c>
      <c r="AB102" s="12">
        <v>0.26272202931604799</v>
      </c>
      <c r="AC102" s="12">
        <v>0.26435714333185978</v>
      </c>
      <c r="AD102" s="12">
        <v>0.26600243387474731</v>
      </c>
      <c r="AE102" s="12">
        <v>0.26765796428078514</v>
      </c>
      <c r="AF102" s="12">
        <v>0.26932379828023517</v>
      </c>
      <c r="AG102" s="12">
        <v>0.27100000000000013</v>
      </c>
    </row>
    <row r="103" spans="1:33" ht="15" hidden="1" thickBot="1" x14ac:dyDescent="0.4">
      <c r="A103" s="155"/>
      <c r="B103" s="60" t="s">
        <v>22</v>
      </c>
      <c r="C103" s="41"/>
      <c r="D103" s="87" t="e">
        <f t="shared" ref="D103:Q103" si="95">D92*T103</f>
        <v>#REF!</v>
      </c>
      <c r="E103" s="87" t="e">
        <f t="shared" si="95"/>
        <v>#REF!</v>
      </c>
      <c r="F103" s="87" t="e">
        <f t="shared" si="95"/>
        <v>#REF!</v>
      </c>
      <c r="G103" s="87" t="e">
        <f t="shared" si="95"/>
        <v>#REF!</v>
      </c>
      <c r="H103" s="87" t="e">
        <f t="shared" si="95"/>
        <v>#REF!</v>
      </c>
      <c r="I103" s="87" t="e">
        <f t="shared" si="95"/>
        <v>#REF!</v>
      </c>
      <c r="J103" s="87" t="e">
        <f t="shared" si="95"/>
        <v>#REF!</v>
      </c>
      <c r="K103" s="87" t="e">
        <f t="shared" si="95"/>
        <v>#REF!</v>
      </c>
      <c r="L103" s="87" t="e">
        <f t="shared" si="95"/>
        <v>#REF!</v>
      </c>
      <c r="M103" s="87" t="e">
        <f t="shared" si="95"/>
        <v>#REF!</v>
      </c>
      <c r="N103" s="87" t="e">
        <f t="shared" si="95"/>
        <v>#REF!</v>
      </c>
      <c r="O103" s="87" t="e">
        <f t="shared" si="95"/>
        <v>#REF!</v>
      </c>
      <c r="P103" s="87" t="e">
        <f t="shared" si="95"/>
        <v>#REF!</v>
      </c>
      <c r="Q103" s="87" t="e">
        <f t="shared" si="95"/>
        <v>#REF!</v>
      </c>
      <c r="R103" s="74" t="e">
        <f t="shared" si="94"/>
        <v>#REF!</v>
      </c>
      <c r="S103" s="60"/>
      <c r="T103" s="12">
        <v>0.38</v>
      </c>
      <c r="U103" s="12">
        <v>0.38090988938047371</v>
      </c>
      <c r="V103" s="12">
        <v>0.38182195744169661</v>
      </c>
      <c r="W103" s="12">
        <v>0.38273620940040159</v>
      </c>
      <c r="X103" s="12">
        <v>0.38365265048581265</v>
      </c>
      <c r="Y103" s="12">
        <v>0.38457128593967477</v>
      </c>
      <c r="Z103" s="12">
        <v>0.38549212101628438</v>
      </c>
      <c r="AA103" s="12">
        <v>0.38641516098251855</v>
      </c>
      <c r="AB103" s="12">
        <v>0.38734041111786593</v>
      </c>
      <c r="AC103" s="12">
        <v>0.38826787671445667</v>
      </c>
      <c r="AD103" s="12">
        <v>0.38919756307709236</v>
      </c>
      <c r="AE103" s="12">
        <v>0.39012947552327681</v>
      </c>
      <c r="AF103" s="12">
        <v>0.3910636193832463</v>
      </c>
      <c r="AG103" s="12">
        <v>0.39200000000000002</v>
      </c>
    </row>
    <row r="104" spans="1:33" ht="15" hidden="1" thickBot="1" x14ac:dyDescent="0.4">
      <c r="A104" s="155"/>
      <c r="B104" s="61" t="s">
        <v>23</v>
      </c>
      <c r="C104" s="41"/>
      <c r="D104" s="88" t="e">
        <f t="shared" ref="D104:Q104" si="96">D103*T104</f>
        <v>#REF!</v>
      </c>
      <c r="E104" s="88" t="e">
        <f t="shared" si="96"/>
        <v>#REF!</v>
      </c>
      <c r="F104" s="88" t="e">
        <f t="shared" si="96"/>
        <v>#REF!</v>
      </c>
      <c r="G104" s="88" t="e">
        <f t="shared" si="96"/>
        <v>#REF!</v>
      </c>
      <c r="H104" s="88" t="e">
        <f t="shared" si="96"/>
        <v>#REF!</v>
      </c>
      <c r="I104" s="88" t="e">
        <f t="shared" si="96"/>
        <v>#REF!</v>
      </c>
      <c r="J104" s="88" t="e">
        <f t="shared" si="96"/>
        <v>#REF!</v>
      </c>
      <c r="K104" s="88" t="e">
        <f t="shared" si="96"/>
        <v>#REF!</v>
      </c>
      <c r="L104" s="88" t="e">
        <f t="shared" si="96"/>
        <v>#REF!</v>
      </c>
      <c r="M104" s="88" t="e">
        <f t="shared" si="96"/>
        <v>#REF!</v>
      </c>
      <c r="N104" s="88" t="e">
        <f t="shared" si="96"/>
        <v>#REF!</v>
      </c>
      <c r="O104" s="88" t="e">
        <f t="shared" si="96"/>
        <v>#REF!</v>
      </c>
      <c r="P104" s="88" t="e">
        <f t="shared" si="96"/>
        <v>#REF!</v>
      </c>
      <c r="Q104" s="88" t="e">
        <f t="shared" si="96"/>
        <v>#REF!</v>
      </c>
      <c r="R104" s="74" t="e">
        <f t="shared" si="94"/>
        <v>#REF!</v>
      </c>
      <c r="S104" s="61"/>
      <c r="T104" s="67">
        <v>0.34999999999999987</v>
      </c>
      <c r="U104" s="67">
        <v>0.34938588387166564</v>
      </c>
      <c r="V104" s="67">
        <v>0.34877284528224306</v>
      </c>
      <c r="W104" s="67">
        <v>0.34816088234106346</v>
      </c>
      <c r="X104" s="67">
        <v>0.34754999316077562</v>
      </c>
      <c r="Y104" s="67">
        <v>0.34694017585733994</v>
      </c>
      <c r="Z104" s="67">
        <v>0.34633142855002247</v>
      </c>
      <c r="AA104" s="67">
        <v>0.34572374936138933</v>
      </c>
      <c r="AB104" s="67">
        <v>0.34511713641730069</v>
      </c>
      <c r="AC104" s="67">
        <v>0.34451158784690528</v>
      </c>
      <c r="AD104" s="67">
        <v>0.34390710178263434</v>
      </c>
      <c r="AE104" s="67">
        <v>0.34330367636019604</v>
      </c>
      <c r="AF104" s="67">
        <v>0.34270130971856966</v>
      </c>
      <c r="AG104" s="67">
        <v>0.34209999999999979</v>
      </c>
    </row>
    <row r="105" spans="1:33" ht="15" hidden="1" thickBot="1" x14ac:dyDescent="0.4">
      <c r="A105" s="155"/>
      <c r="B105" s="61" t="s">
        <v>24</v>
      </c>
      <c r="C105" s="41"/>
      <c r="D105" s="88" t="e">
        <f t="shared" ref="D105:Q105" si="97">D103*T105</f>
        <v>#REF!</v>
      </c>
      <c r="E105" s="88" t="e">
        <f t="shared" si="97"/>
        <v>#REF!</v>
      </c>
      <c r="F105" s="88" t="e">
        <f t="shared" si="97"/>
        <v>#REF!</v>
      </c>
      <c r="G105" s="88" t="e">
        <f t="shared" si="97"/>
        <v>#REF!</v>
      </c>
      <c r="H105" s="88" t="e">
        <f t="shared" si="97"/>
        <v>#REF!</v>
      </c>
      <c r="I105" s="88" t="e">
        <f t="shared" si="97"/>
        <v>#REF!</v>
      </c>
      <c r="J105" s="88" t="e">
        <f t="shared" si="97"/>
        <v>#REF!</v>
      </c>
      <c r="K105" s="88" t="e">
        <f t="shared" si="97"/>
        <v>#REF!</v>
      </c>
      <c r="L105" s="88" t="e">
        <f t="shared" si="97"/>
        <v>#REF!</v>
      </c>
      <c r="M105" s="88" t="e">
        <f t="shared" si="97"/>
        <v>#REF!</v>
      </c>
      <c r="N105" s="88" t="e">
        <f t="shared" si="97"/>
        <v>#REF!</v>
      </c>
      <c r="O105" s="88" t="e">
        <f t="shared" si="97"/>
        <v>#REF!</v>
      </c>
      <c r="P105" s="88" t="e">
        <f t="shared" si="97"/>
        <v>#REF!</v>
      </c>
      <c r="Q105" s="88" t="e">
        <f t="shared" si="97"/>
        <v>#REF!</v>
      </c>
      <c r="R105" s="74" t="e">
        <f t="shared" si="94"/>
        <v>#REF!</v>
      </c>
      <c r="S105" s="61"/>
      <c r="T105" s="67">
        <v>0.28000000000000003</v>
      </c>
      <c r="U105" s="67">
        <v>0.28097918830490543</v>
      </c>
      <c r="V105" s="67">
        <v>0.28196180093029821</v>
      </c>
      <c r="W105" s="67">
        <v>0.28294784985137333</v>
      </c>
      <c r="X105" s="67">
        <v>0.28393734708520407</v>
      </c>
      <c r="Y105" s="67">
        <v>0.28493030469088876</v>
      </c>
      <c r="Z105" s="67">
        <v>0.28592673476969749</v>
      </c>
      <c r="AA105" s="67">
        <v>0.28692664946521995</v>
      </c>
      <c r="AB105" s="67">
        <v>0.28793006096351298</v>
      </c>
      <c r="AC105" s="67">
        <v>0.28893698149324931</v>
      </c>
      <c r="AD105" s="67">
        <v>0.28994742332586665</v>
      </c>
      <c r="AE105" s="67">
        <v>0.29096139877571725</v>
      </c>
      <c r="AF105" s="67">
        <v>0.29197892020021765</v>
      </c>
      <c r="AG105" s="67">
        <v>0.29299999999999965</v>
      </c>
    </row>
    <row r="106" spans="1:33" ht="15" hidden="1" thickBot="1" x14ac:dyDescent="0.4">
      <c r="A106" s="155"/>
      <c r="B106" s="61" t="s">
        <v>25</v>
      </c>
      <c r="C106" s="41"/>
      <c r="D106" s="88" t="e">
        <f t="shared" ref="D106:Q106" si="98">D103*T106</f>
        <v>#REF!</v>
      </c>
      <c r="E106" s="88" t="e">
        <f t="shared" si="98"/>
        <v>#REF!</v>
      </c>
      <c r="F106" s="88" t="e">
        <f t="shared" si="98"/>
        <v>#REF!</v>
      </c>
      <c r="G106" s="88" t="e">
        <f t="shared" si="98"/>
        <v>#REF!</v>
      </c>
      <c r="H106" s="88" t="e">
        <f t="shared" si="98"/>
        <v>#REF!</v>
      </c>
      <c r="I106" s="88" t="e">
        <f t="shared" si="98"/>
        <v>#REF!</v>
      </c>
      <c r="J106" s="88" t="e">
        <f t="shared" si="98"/>
        <v>#REF!</v>
      </c>
      <c r="K106" s="88" t="e">
        <f t="shared" si="98"/>
        <v>#REF!</v>
      </c>
      <c r="L106" s="88" t="e">
        <f t="shared" si="98"/>
        <v>#REF!</v>
      </c>
      <c r="M106" s="88" t="e">
        <f t="shared" si="98"/>
        <v>#REF!</v>
      </c>
      <c r="N106" s="88" t="e">
        <f t="shared" si="98"/>
        <v>#REF!</v>
      </c>
      <c r="O106" s="88" t="e">
        <f t="shared" si="98"/>
        <v>#REF!</v>
      </c>
      <c r="P106" s="88" t="e">
        <f t="shared" si="98"/>
        <v>#REF!</v>
      </c>
      <c r="Q106" s="88" t="e">
        <f t="shared" si="98"/>
        <v>#REF!</v>
      </c>
      <c r="R106" s="74" t="e">
        <f t="shared" si="94"/>
        <v>#REF!</v>
      </c>
      <c r="S106" s="61"/>
      <c r="T106" s="67">
        <f>1-SUM(T104:T105)</f>
        <v>0.37000000000000011</v>
      </c>
      <c r="U106" s="67">
        <f t="shared" ref="U106:AG106" si="99">1-SUM(U104:U105)</f>
        <v>0.36963492782342899</v>
      </c>
      <c r="V106" s="67">
        <f t="shared" si="99"/>
        <v>0.36926535378745873</v>
      </c>
      <c r="W106" s="67">
        <f t="shared" si="99"/>
        <v>0.36889126780756321</v>
      </c>
      <c r="X106" s="67">
        <f t="shared" si="99"/>
        <v>0.36851265975402026</v>
      </c>
      <c r="Y106" s="67">
        <f t="shared" si="99"/>
        <v>0.3681295194517713</v>
      </c>
      <c r="Z106" s="67">
        <f t="shared" si="99"/>
        <v>0.36774183668028004</v>
      </c>
      <c r="AA106" s="67">
        <f t="shared" si="99"/>
        <v>0.36734960117339077</v>
      </c>
      <c r="AB106" s="67">
        <f t="shared" si="99"/>
        <v>0.36695280261918639</v>
      </c>
      <c r="AC106" s="67">
        <f t="shared" si="99"/>
        <v>0.36655143065984541</v>
      </c>
      <c r="AD106" s="67">
        <f t="shared" si="99"/>
        <v>0.36614547489149896</v>
      </c>
      <c r="AE106" s="67">
        <f t="shared" si="99"/>
        <v>0.36573492486408665</v>
      </c>
      <c r="AF106" s="67">
        <f t="shared" si="99"/>
        <v>0.36531977008121275</v>
      </c>
      <c r="AG106" s="67">
        <f t="shared" si="99"/>
        <v>0.36490000000000056</v>
      </c>
    </row>
    <row r="107" spans="1:33" ht="15" hidden="1" thickBot="1" x14ac:dyDescent="0.4">
      <c r="A107" s="151"/>
      <c r="B107" s="62" t="s">
        <v>26</v>
      </c>
      <c r="C107" s="51"/>
      <c r="D107" s="89" t="e">
        <f t="shared" ref="D107:Q107" si="100">D92*T107</f>
        <v>#REF!</v>
      </c>
      <c r="E107" s="89" t="e">
        <f t="shared" si="100"/>
        <v>#REF!</v>
      </c>
      <c r="F107" s="89" t="e">
        <f t="shared" si="100"/>
        <v>#REF!</v>
      </c>
      <c r="G107" s="89" t="e">
        <f t="shared" si="100"/>
        <v>#REF!</v>
      </c>
      <c r="H107" s="89" t="e">
        <f t="shared" si="100"/>
        <v>#REF!</v>
      </c>
      <c r="I107" s="89" t="e">
        <f t="shared" si="100"/>
        <v>#REF!</v>
      </c>
      <c r="J107" s="89" t="e">
        <f t="shared" si="100"/>
        <v>#REF!</v>
      </c>
      <c r="K107" s="89" t="e">
        <f t="shared" si="100"/>
        <v>#REF!</v>
      </c>
      <c r="L107" s="89" t="e">
        <f t="shared" si="100"/>
        <v>#REF!</v>
      </c>
      <c r="M107" s="89" t="e">
        <f t="shared" si="100"/>
        <v>#REF!</v>
      </c>
      <c r="N107" s="89" t="e">
        <f t="shared" si="100"/>
        <v>#REF!</v>
      </c>
      <c r="O107" s="89" t="e">
        <f t="shared" si="100"/>
        <v>#REF!</v>
      </c>
      <c r="P107" s="89" t="e">
        <f t="shared" si="100"/>
        <v>#REF!</v>
      </c>
      <c r="Q107" s="89" t="e">
        <f t="shared" si="100"/>
        <v>#REF!</v>
      </c>
      <c r="R107" s="75" t="e">
        <f t="shared" si="94"/>
        <v>#REF!</v>
      </c>
      <c r="S107" s="62"/>
      <c r="T107" s="12">
        <f>1-SUM(T102+T103)</f>
        <v>0.37</v>
      </c>
      <c r="U107" s="12">
        <f t="shared" ref="U107:AG107" si="101">1-SUM(U102+U103)</f>
        <v>0.36753417522645271</v>
      </c>
      <c r="V107" s="12">
        <f t="shared" si="101"/>
        <v>0.36505648803236646</v>
      </c>
      <c r="W107" s="12">
        <f t="shared" si="101"/>
        <v>0.36256687293191459</v>
      </c>
      <c r="X107" s="12">
        <f t="shared" si="101"/>
        <v>0.36006526405167993</v>
      </c>
      <c r="Y107" s="12">
        <f t="shared" si="101"/>
        <v>0.35755159512829038</v>
      </c>
      <c r="Z107" s="12">
        <f t="shared" si="101"/>
        <v>0.35502579950603996</v>
      </c>
      <c r="AA107" s="12">
        <f t="shared" si="101"/>
        <v>0.35248781013449515</v>
      </c>
      <c r="AB107" s="12">
        <f t="shared" si="101"/>
        <v>0.34993755956608608</v>
      </c>
      <c r="AC107" s="12">
        <f t="shared" si="101"/>
        <v>0.3473749799536836</v>
      </c>
      <c r="AD107" s="12">
        <f t="shared" si="101"/>
        <v>0.34480000304816039</v>
      </c>
      <c r="AE107" s="12">
        <f t="shared" si="101"/>
        <v>0.34221256019593804</v>
      </c>
      <c r="AF107" s="12">
        <f t="shared" si="101"/>
        <v>0.33961258233651859</v>
      </c>
      <c r="AG107" s="12">
        <f t="shared" si="101"/>
        <v>0.33699999999999986</v>
      </c>
    </row>
    <row r="108" spans="1:33" ht="15" hidden="1" thickBot="1" x14ac:dyDescent="0.4">
      <c r="A108" s="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21"/>
    </row>
    <row r="109" spans="1:33" ht="15" hidden="1" thickBot="1" x14ac:dyDescent="0.4">
      <c r="A109" s="152" t="s">
        <v>27</v>
      </c>
      <c r="B109" s="54" t="s">
        <v>28</v>
      </c>
      <c r="C109" s="49"/>
      <c r="D109" s="84" t="e">
        <f t="shared" ref="D109:Q109" si="102">D92*T109</f>
        <v>#REF!</v>
      </c>
      <c r="E109" s="84" t="e">
        <f t="shared" si="102"/>
        <v>#REF!</v>
      </c>
      <c r="F109" s="84" t="e">
        <f t="shared" si="102"/>
        <v>#REF!</v>
      </c>
      <c r="G109" s="84" t="e">
        <f t="shared" si="102"/>
        <v>#REF!</v>
      </c>
      <c r="H109" s="84" t="e">
        <f t="shared" si="102"/>
        <v>#REF!</v>
      </c>
      <c r="I109" s="84" t="e">
        <f t="shared" si="102"/>
        <v>#REF!</v>
      </c>
      <c r="J109" s="84" t="e">
        <f t="shared" si="102"/>
        <v>#REF!</v>
      </c>
      <c r="K109" s="84" t="e">
        <f t="shared" si="102"/>
        <v>#REF!</v>
      </c>
      <c r="L109" s="84" t="e">
        <f t="shared" si="102"/>
        <v>#REF!</v>
      </c>
      <c r="M109" s="84" t="e">
        <f t="shared" si="102"/>
        <v>#REF!</v>
      </c>
      <c r="N109" s="84" t="e">
        <f t="shared" si="102"/>
        <v>#REF!</v>
      </c>
      <c r="O109" s="84" t="e">
        <f t="shared" si="102"/>
        <v>#REF!</v>
      </c>
      <c r="P109" s="84" t="e">
        <f t="shared" si="102"/>
        <v>#REF!</v>
      </c>
      <c r="Q109" s="84" t="e">
        <f t="shared" si="102"/>
        <v>#REF!</v>
      </c>
      <c r="R109" s="71" t="e">
        <f>RATE(12,,-E109,Q109)</f>
        <v>#REF!</v>
      </c>
      <c r="S109" s="54"/>
      <c r="T109" s="12">
        <v>0.40099999999999997</v>
      </c>
      <c r="U109" s="12">
        <v>0.40265090533119946</v>
      </c>
      <c r="V109" s="12">
        <v>0.40430860739160734</v>
      </c>
      <c r="W109" s="12">
        <v>0.40597313416316017</v>
      </c>
      <c r="X109" s="12">
        <v>0.40764451374299493</v>
      </c>
      <c r="Y109" s="12">
        <v>0.40932277434392395</v>
      </c>
      <c r="Z109" s="12">
        <v>0.41100794429491083</v>
      </c>
      <c r="AA109" s="12">
        <v>0.4127000520415488</v>
      </c>
      <c r="AB109" s="12">
        <v>0.41439912614654062</v>
      </c>
      <c r="AC109" s="12">
        <v>0.41610519529018092</v>
      </c>
      <c r="AD109" s="12">
        <v>0.41781828827084017</v>
      </c>
      <c r="AE109" s="12">
        <v>0.4195384340054511</v>
      </c>
      <c r="AF109" s="12">
        <v>0.4212656615299965</v>
      </c>
      <c r="AG109" s="12">
        <v>0.42299999999999938</v>
      </c>
    </row>
    <row r="110" spans="1:33" ht="15" hidden="1" thickBot="1" x14ac:dyDescent="0.4">
      <c r="A110" s="154"/>
      <c r="B110" s="55" t="s">
        <v>29</v>
      </c>
      <c r="C110" s="40"/>
      <c r="D110" s="90" t="e">
        <f t="shared" ref="D110:Q110" si="103">D92*T110</f>
        <v>#REF!</v>
      </c>
      <c r="E110" s="90" t="e">
        <f t="shared" si="103"/>
        <v>#REF!</v>
      </c>
      <c r="F110" s="90" t="e">
        <f t="shared" si="103"/>
        <v>#REF!</v>
      </c>
      <c r="G110" s="90" t="e">
        <f t="shared" si="103"/>
        <v>#REF!</v>
      </c>
      <c r="H110" s="90" t="e">
        <f t="shared" si="103"/>
        <v>#REF!</v>
      </c>
      <c r="I110" s="90" t="e">
        <f t="shared" si="103"/>
        <v>#REF!</v>
      </c>
      <c r="J110" s="90" t="e">
        <f t="shared" si="103"/>
        <v>#REF!</v>
      </c>
      <c r="K110" s="90" t="e">
        <f t="shared" si="103"/>
        <v>#REF!</v>
      </c>
      <c r="L110" s="90" t="e">
        <f t="shared" si="103"/>
        <v>#REF!</v>
      </c>
      <c r="M110" s="90" t="e">
        <f t="shared" si="103"/>
        <v>#REF!</v>
      </c>
      <c r="N110" s="90" t="e">
        <f t="shared" si="103"/>
        <v>#REF!</v>
      </c>
      <c r="O110" s="90" t="e">
        <f t="shared" si="103"/>
        <v>#REF!</v>
      </c>
      <c r="P110" s="90" t="e">
        <f t="shared" si="103"/>
        <v>#REF!</v>
      </c>
      <c r="Q110" s="90" t="e">
        <f t="shared" si="103"/>
        <v>#REF!</v>
      </c>
      <c r="R110" s="76" t="e">
        <f>RATE(12,,-E110,Q110)</f>
        <v>#REF!</v>
      </c>
      <c r="S110" s="55"/>
      <c r="T110" s="12">
        <v>0.43099999999999999</v>
      </c>
      <c r="U110" s="12">
        <v>0.43183634674261745</v>
      </c>
      <c r="V110" s="12">
        <v>0.43267431639909548</v>
      </c>
      <c r="W110" s="12">
        <v>0.43351391211866536</v>
      </c>
      <c r="X110" s="12">
        <v>0.43435513705666956</v>
      </c>
      <c r="Y110" s="12">
        <v>0.43519799437457324</v>
      </c>
      <c r="Z110" s="12">
        <v>0.43604248723997657</v>
      </c>
      <c r="AA110" s="12">
        <v>0.43688861882662616</v>
      </c>
      <c r="AB110" s="12">
        <v>0.43773639231442729</v>
      </c>
      <c r="AC110" s="12">
        <v>0.43858581088945586</v>
      </c>
      <c r="AD110" s="12">
        <v>0.43943687774397006</v>
      </c>
      <c r="AE110" s="12">
        <v>0.44028959607642287</v>
      </c>
      <c r="AF110" s="12">
        <v>0.44114396909147369</v>
      </c>
      <c r="AG110" s="12">
        <v>0.44200000000000028</v>
      </c>
    </row>
    <row r="111" spans="1:33" ht="15" hidden="1" thickBot="1" x14ac:dyDescent="0.4">
      <c r="A111" s="153"/>
      <c r="B111" s="56" t="s">
        <v>30</v>
      </c>
      <c r="C111" s="44"/>
      <c r="D111" s="85" t="e">
        <f t="shared" ref="D111:Q111" si="104">D92*T111</f>
        <v>#REF!</v>
      </c>
      <c r="E111" s="85" t="e">
        <f t="shared" si="104"/>
        <v>#REF!</v>
      </c>
      <c r="F111" s="85" t="e">
        <f t="shared" si="104"/>
        <v>#REF!</v>
      </c>
      <c r="G111" s="85" t="e">
        <f t="shared" si="104"/>
        <v>#REF!</v>
      </c>
      <c r="H111" s="85" t="e">
        <f t="shared" si="104"/>
        <v>#REF!</v>
      </c>
      <c r="I111" s="85" t="e">
        <f t="shared" si="104"/>
        <v>#REF!</v>
      </c>
      <c r="J111" s="85" t="e">
        <f t="shared" si="104"/>
        <v>#REF!</v>
      </c>
      <c r="K111" s="85" t="e">
        <f t="shared" si="104"/>
        <v>#REF!</v>
      </c>
      <c r="L111" s="85" t="e">
        <f t="shared" si="104"/>
        <v>#REF!</v>
      </c>
      <c r="M111" s="85" t="e">
        <f t="shared" si="104"/>
        <v>#REF!</v>
      </c>
      <c r="N111" s="85" t="e">
        <f t="shared" si="104"/>
        <v>#REF!</v>
      </c>
      <c r="O111" s="85" t="e">
        <f t="shared" si="104"/>
        <v>#REF!</v>
      </c>
      <c r="P111" s="85" t="e">
        <f t="shared" si="104"/>
        <v>#REF!</v>
      </c>
      <c r="Q111" s="85" t="e">
        <f t="shared" si="104"/>
        <v>#REF!</v>
      </c>
      <c r="R111" s="72" t="e">
        <f>RATE(12,,-E111,Q111)</f>
        <v>#REF!</v>
      </c>
      <c r="S111" s="56"/>
      <c r="T111" s="12">
        <f>1-SUM(T109:T110)</f>
        <v>0.16800000000000004</v>
      </c>
      <c r="U111" s="12">
        <f t="shared" ref="U111:AG111" si="105">1-SUM(U109:U110)</f>
        <v>0.16551274792618309</v>
      </c>
      <c r="V111" s="12">
        <f t="shared" si="105"/>
        <v>0.16301707620929717</v>
      </c>
      <c r="W111" s="12">
        <f t="shared" si="105"/>
        <v>0.16051295371817442</v>
      </c>
      <c r="X111" s="12">
        <f t="shared" si="105"/>
        <v>0.15800034920033545</v>
      </c>
      <c r="Y111" s="12">
        <f t="shared" si="105"/>
        <v>0.15547923128150276</v>
      </c>
      <c r="Z111" s="12">
        <f t="shared" si="105"/>
        <v>0.15294956846511254</v>
      </c>
      <c r="AA111" s="12">
        <f t="shared" si="105"/>
        <v>0.15041132913182498</v>
      </c>
      <c r="AB111" s="12">
        <f t="shared" si="105"/>
        <v>0.14786448153903209</v>
      </c>
      <c r="AC111" s="12">
        <f t="shared" si="105"/>
        <v>0.14530899382036322</v>
      </c>
      <c r="AD111" s="12">
        <f t="shared" si="105"/>
        <v>0.14274483398518978</v>
      </c>
      <c r="AE111" s="12">
        <f t="shared" si="105"/>
        <v>0.14017196991812608</v>
      </c>
      <c r="AF111" s="12">
        <f t="shared" si="105"/>
        <v>0.13759036937852986</v>
      </c>
      <c r="AG111" s="12">
        <f t="shared" si="105"/>
        <v>0.13500000000000034</v>
      </c>
    </row>
    <row r="112" spans="1:33" ht="15.5" x14ac:dyDescent="0.35">
      <c r="A112" s="42"/>
      <c r="B112" s="43"/>
      <c r="C112" s="93"/>
      <c r="D112" s="91">
        <v>2023</v>
      </c>
      <c r="E112" s="65">
        <v>2024</v>
      </c>
      <c r="F112" s="65">
        <v>2025</v>
      </c>
      <c r="G112" s="65">
        <v>2026</v>
      </c>
      <c r="H112" s="65">
        <v>2027</v>
      </c>
      <c r="I112" s="65">
        <v>2028</v>
      </c>
      <c r="J112" s="65">
        <v>2029</v>
      </c>
      <c r="K112" s="65">
        <v>2030</v>
      </c>
      <c r="L112" s="65">
        <v>2031</v>
      </c>
      <c r="M112" s="65">
        <v>2032</v>
      </c>
      <c r="N112" s="65">
        <v>2033</v>
      </c>
      <c r="O112" s="65">
        <v>2034</v>
      </c>
      <c r="P112" s="65">
        <v>2035</v>
      </c>
      <c r="Q112" s="65">
        <v>2036</v>
      </c>
      <c r="R112" s="66" t="s">
        <v>84</v>
      </c>
    </row>
    <row r="113" spans="1:33" ht="16" thickBot="1" x14ac:dyDescent="0.4">
      <c r="A113" s="1"/>
      <c r="C113" s="21"/>
      <c r="D113" s="92">
        <f>'Market Analysis '!C21</f>
        <v>175.52924999999999</v>
      </c>
      <c r="E113" s="92">
        <f>'Market Analysis '!D21</f>
        <v>198.34805250000002</v>
      </c>
      <c r="F113" s="92">
        <f>'Market Analysis '!E21</f>
        <v>224.38123439062505</v>
      </c>
      <c r="G113" s="92">
        <f>'Market Analysis '!F21</f>
        <v>254.1117479473829</v>
      </c>
      <c r="H113" s="92">
        <f>'Market Analysis '!G21</f>
        <v>288.09919423534535</v>
      </c>
      <c r="I113" s="92">
        <f>'Market Analysis '!H21</f>
        <v>326.992585457117</v>
      </c>
      <c r="J113" s="92">
        <f>'Market Analysis '!I21</f>
        <v>371.54532522564921</v>
      </c>
      <c r="K113" s="92">
        <f>'Market Analysis '!J21</f>
        <v>422.63280744417597</v>
      </c>
      <c r="L113" s="92">
        <f>'Market Analysis '!K21</f>
        <v>481.27310947705536</v>
      </c>
      <c r="M113" s="92">
        <f>'Market Analysis '!L21</f>
        <v>548.65134480384313</v>
      </c>
      <c r="N113" s="92">
        <f>'Market Analysis '!M21</f>
        <v>626.14834725738604</v>
      </c>
      <c r="O113" s="92">
        <f>'Market Analysis '!N21</f>
        <v>715.3744867415636</v>
      </c>
      <c r="P113" s="92">
        <f>'Market Analysis '!O21</f>
        <v>818.2095692106634</v>
      </c>
      <c r="Q113" s="92">
        <f>'Market Analysis '!P21</f>
        <v>936.84995674620961</v>
      </c>
      <c r="R113" s="68">
        <f t="shared" ref="R113:R118" si="106">RATE(9,,-H113,Q113)</f>
        <v>0.13999543125729591</v>
      </c>
      <c r="T113" s="65">
        <v>2023</v>
      </c>
      <c r="U113" s="65">
        <v>2024</v>
      </c>
      <c r="V113" s="65">
        <v>2025</v>
      </c>
      <c r="W113" s="65">
        <v>2026</v>
      </c>
      <c r="X113" s="65">
        <v>2027</v>
      </c>
      <c r="Y113" s="65">
        <v>2028</v>
      </c>
      <c r="Z113" s="65">
        <v>2029</v>
      </c>
      <c r="AA113" s="65">
        <v>2030</v>
      </c>
      <c r="AB113" s="65">
        <v>2031</v>
      </c>
      <c r="AC113" s="65">
        <v>2032</v>
      </c>
      <c r="AD113" s="65">
        <v>2033</v>
      </c>
      <c r="AE113" s="65">
        <v>2034</v>
      </c>
      <c r="AF113" s="65">
        <v>2035</v>
      </c>
      <c r="AG113" s="65">
        <v>2036</v>
      </c>
    </row>
    <row r="114" spans="1:33" s="121" customFormat="1" x14ac:dyDescent="0.35">
      <c r="A114" s="147" t="s">
        <v>59</v>
      </c>
      <c r="B114" s="118" t="s">
        <v>60</v>
      </c>
      <c r="C114" s="119"/>
      <c r="D114" s="120">
        <f>D113*T114</f>
        <v>61.435237499999985</v>
      </c>
      <c r="E114" s="120">
        <f t="shared" ref="E114" si="107">E113*U114</f>
        <v>70.138569494227511</v>
      </c>
      <c r="F114" s="120">
        <f>F113*V114</f>
        <v>80.16345286850904</v>
      </c>
      <c r="G114" s="120">
        <f t="shared" ref="G114:Q114" si="108">G113*W114</f>
        <v>91.722428510630479</v>
      </c>
      <c r="H114" s="120">
        <f t="shared" si="108"/>
        <v>105.06395953232004</v>
      </c>
      <c r="I114" s="120">
        <f t="shared" si="108"/>
        <v>120.47877539682555</v>
      </c>
      <c r="J114" s="120">
        <f t="shared" si="108"/>
        <v>138.3073816906747</v>
      </c>
      <c r="K114" s="120">
        <f t="shared" si="108"/>
        <v>158.94895757747415</v>
      </c>
      <c r="L114" s="120">
        <f t="shared" si="108"/>
        <v>182.87190669457041</v>
      </c>
      <c r="M114" s="120">
        <f t="shared" si="108"/>
        <v>210.62637985550282</v>
      </c>
      <c r="N114" s="120">
        <f t="shared" si="108"/>
        <v>242.8591512581875</v>
      </c>
      <c r="O114" s="120">
        <f t="shared" si="108"/>
        <v>280.33130622491399</v>
      </c>
      <c r="P114" s="120">
        <f t="shared" si="108"/>
        <v>323.93929055598733</v>
      </c>
      <c r="Q114" s="120">
        <f t="shared" si="108"/>
        <v>374.73998269848397</v>
      </c>
      <c r="R114" s="68">
        <f t="shared" si="106"/>
        <v>0.15176540532042093</v>
      </c>
      <c r="S114" s="118" t="s">
        <v>60</v>
      </c>
      <c r="T114" s="116">
        <v>0.34999999999999992</v>
      </c>
      <c r="U114" s="116">
        <v>0.35361360300841621</v>
      </c>
      <c r="V114" s="116">
        <v>0.35726451495026795</v>
      </c>
      <c r="W114" s="116">
        <v>0.36095312102462412</v>
      </c>
      <c r="X114" s="116">
        <v>0.36467981040757214</v>
      </c>
      <c r="Y114" s="116">
        <v>0.36844497629327921</v>
      </c>
      <c r="Z114" s="116">
        <v>0.37224901593547705</v>
      </c>
      <c r="AA114" s="116">
        <v>0.37609233068937542</v>
      </c>
      <c r="AB114" s="116">
        <v>0.37997532605400802</v>
      </c>
      <c r="AC114" s="116">
        <v>0.38389841171501571</v>
      </c>
      <c r="AD114" s="116">
        <v>0.38786200158787171</v>
      </c>
      <c r="AE114" s="116">
        <v>0.39186651386155258</v>
      </c>
      <c r="AF114" s="116">
        <v>0.39591237104266019</v>
      </c>
      <c r="AG114" s="116">
        <v>0.40000000000000013</v>
      </c>
    </row>
    <row r="115" spans="1:33" s="117" customFormat="1" x14ac:dyDescent="0.35">
      <c r="A115" s="148"/>
      <c r="B115" s="113" t="s">
        <v>61</v>
      </c>
      <c r="C115" s="114"/>
      <c r="D115" s="115">
        <f>D113*T115</f>
        <v>52.658775000000006</v>
      </c>
      <c r="E115" s="115">
        <f t="shared" ref="E115:Q115" si="109">E113*U115</f>
        <v>59.534837341736448</v>
      </c>
      <c r="F115" s="115">
        <f t="shared" si="109"/>
        <v>67.383216762842707</v>
      </c>
      <c r="G115" s="115">
        <f t="shared" si="109"/>
        <v>76.350507182363188</v>
      </c>
      <c r="H115" s="115">
        <f t="shared" si="109"/>
        <v>86.606642479247256</v>
      </c>
      <c r="I115" s="115">
        <f t="shared" si="109"/>
        <v>98.348794274693034</v>
      </c>
      <c r="J115" s="115">
        <f t="shared" si="109"/>
        <v>111.80594900091245</v>
      </c>
      <c r="K115" s="115">
        <f t="shared" si="109"/>
        <v>127.24428730154992</v>
      </c>
      <c r="L115" s="115">
        <f t="shared" si="109"/>
        <v>144.97351189994353</v>
      </c>
      <c r="M115" s="115">
        <f t="shared" si="109"/>
        <v>165.35429763964549</v>
      </c>
      <c r="N115" s="115">
        <f t="shared" si="109"/>
        <v>188.80707034205619</v>
      </c>
      <c r="O115" s="115">
        <f t="shared" si="109"/>
        <v>215.82236051764505</v>
      </c>
      <c r="P115" s="115">
        <f t="shared" si="109"/>
        <v>246.9730251119378</v>
      </c>
      <c r="Q115" s="115">
        <f t="shared" si="109"/>
        <v>282.92868693735562</v>
      </c>
      <c r="R115" s="68">
        <f t="shared" si="106"/>
        <v>0.1405782531383257</v>
      </c>
      <c r="S115" s="113" t="s">
        <v>61</v>
      </c>
      <c r="T115" s="116">
        <v>0.30000000000000004</v>
      </c>
      <c r="U115" s="116">
        <v>0.30015337479422161</v>
      </c>
      <c r="V115" s="116">
        <v>0.30030682800120145</v>
      </c>
      <c r="W115" s="116">
        <v>0.30046035966102813</v>
      </c>
      <c r="X115" s="116">
        <v>0.30061396981381056</v>
      </c>
      <c r="Y115" s="116">
        <v>0.30076765849967829</v>
      </c>
      <c r="Z115" s="116">
        <v>0.30092142575878128</v>
      </c>
      <c r="AA115" s="116">
        <v>0.30107527163128989</v>
      </c>
      <c r="AB115" s="116">
        <v>0.30122919615739541</v>
      </c>
      <c r="AC115" s="116">
        <v>0.30138319937730923</v>
      </c>
      <c r="AD115" s="116">
        <v>0.30153728133126367</v>
      </c>
      <c r="AE115" s="116">
        <v>0.30169144205951126</v>
      </c>
      <c r="AF115" s="116">
        <v>0.3018456816023255</v>
      </c>
      <c r="AG115" s="116">
        <v>0.30200000000000032</v>
      </c>
    </row>
    <row r="116" spans="1:33" s="117" customFormat="1" x14ac:dyDescent="0.35">
      <c r="A116" s="148"/>
      <c r="B116" s="113" t="s">
        <v>62</v>
      </c>
      <c r="C116" s="114"/>
      <c r="D116" s="115">
        <f>D113*T116</f>
        <v>26.329387499999999</v>
      </c>
      <c r="E116" s="115">
        <f t="shared" ref="E116:Q116" si="110">E113*U116</f>
        <v>29.797563324869991</v>
      </c>
      <c r="F116" s="115">
        <f t="shared" si="110"/>
        <v>33.759880080419563</v>
      </c>
      <c r="G116" s="115">
        <f t="shared" si="110"/>
        <v>38.291348195864984</v>
      </c>
      <c r="H116" s="115">
        <f t="shared" si="110"/>
        <v>43.478996241697679</v>
      </c>
      <c r="I116" s="115">
        <f t="shared" si="110"/>
        <v>49.423889796905712</v>
      </c>
      <c r="J116" s="115">
        <f t="shared" si="110"/>
        <v>56.243504111713193</v>
      </c>
      <c r="K116" s="115">
        <f t="shared" si="110"/>
        <v>64.074514990807103</v>
      </c>
      <c r="L116" s="115">
        <f t="shared" si="110"/>
        <v>73.076084473254127</v>
      </c>
      <c r="M116" s="115">
        <f t="shared" si="110"/>
        <v>83.433732404065694</v>
      </c>
      <c r="N116" s="115">
        <f t="shared" si="110"/>
        <v>95.363902354086648</v>
      </c>
      <c r="O116" s="115">
        <f t="shared" si="110"/>
        <v>109.11935112322276</v>
      </c>
      <c r="P116" s="115">
        <f t="shared" si="110"/>
        <v>124.99551594969664</v>
      </c>
      <c r="Q116" s="115">
        <f t="shared" si="110"/>
        <v>143.33804338216987</v>
      </c>
      <c r="R116" s="68">
        <f t="shared" si="106"/>
        <v>0.14173328567235072</v>
      </c>
      <c r="S116" s="113" t="s">
        <v>62</v>
      </c>
      <c r="T116" s="116">
        <v>0.15</v>
      </c>
      <c r="U116" s="116">
        <v>0.15022866597023929</v>
      </c>
      <c r="V116" s="116">
        <v>0.15045768052798492</v>
      </c>
      <c r="W116" s="116">
        <v>0.15068704420463749</v>
      </c>
      <c r="X116" s="116">
        <v>0.15091675753240782</v>
      </c>
      <c r="Y116" s="116">
        <v>0.15114682104431795</v>
      </c>
      <c r="Z116" s="116">
        <v>0.15137723527420252</v>
      </c>
      <c r="AA116" s="116">
        <v>0.15160800075670999</v>
      </c>
      <c r="AB116" s="116">
        <v>0.15183911802730382</v>
      </c>
      <c r="AC116" s="116">
        <v>0.1520705876222638</v>
      </c>
      <c r="AD116" s="116">
        <v>0.15230241007868719</v>
      </c>
      <c r="AE116" s="116">
        <v>0.15253458593449007</v>
      </c>
      <c r="AF116" s="116">
        <v>0.15276711572840845</v>
      </c>
      <c r="AG116" s="116">
        <v>0.15299999999999978</v>
      </c>
    </row>
    <row r="117" spans="1:33" s="117" customFormat="1" x14ac:dyDescent="0.35">
      <c r="A117" s="148"/>
      <c r="B117" s="113" t="s">
        <v>63</v>
      </c>
      <c r="C117" s="114"/>
      <c r="D117" s="115">
        <f>D113*T117</f>
        <v>21.063510000000004</v>
      </c>
      <c r="E117" s="115">
        <f t="shared" ref="E117:Q117" si="111">E113*U117</f>
        <v>23.832049131241419</v>
      </c>
      <c r="F117" s="115">
        <f t="shared" si="111"/>
        <v>26.994306618091393</v>
      </c>
      <c r="G117" s="115">
        <f t="shared" si="111"/>
        <v>30.609947594364627</v>
      </c>
      <c r="H117" s="115">
        <f t="shared" si="111"/>
        <v>34.748181792556487</v>
      </c>
      <c r="I117" s="115">
        <f t="shared" si="111"/>
        <v>39.489364552798712</v>
      </c>
      <c r="J117" s="115">
        <f t="shared" si="111"/>
        <v>44.926878013412178</v>
      </c>
      <c r="K117" s="115">
        <f t="shared" si="111"/>
        <v>51.169343436359028</v>
      </c>
      <c r="L117" s="115">
        <f t="shared" si="111"/>
        <v>58.343225219197365</v>
      </c>
      <c r="M117" s="115">
        <f t="shared" si="111"/>
        <v>66.595898611308272</v>
      </c>
      <c r="N117" s="115">
        <f t="shared" si="111"/>
        <v>76.099266860861789</v>
      </c>
      <c r="O117" s="115">
        <f t="shared" si="111"/>
        <v>87.054029922196975</v>
      </c>
      <c r="P117" s="115">
        <f t="shared" si="111"/>
        <v>99.694726496684297</v>
      </c>
      <c r="Q117" s="115">
        <f t="shared" si="111"/>
        <v>114.29569472303743</v>
      </c>
      <c r="R117" s="68">
        <f t="shared" si="106"/>
        <v>0.14144583997775037</v>
      </c>
      <c r="S117" s="113" t="s">
        <v>63</v>
      </c>
      <c r="T117" s="116">
        <v>0.12000000000000002</v>
      </c>
      <c r="U117" s="116">
        <v>0.12015267521339246</v>
      </c>
      <c r="V117" s="116">
        <v>0.12030554467445809</v>
      </c>
      <c r="W117" s="116">
        <v>0.12045860863033696</v>
      </c>
      <c r="X117" s="116">
        <v>0.12061186732848356</v>
      </c>
      <c r="Y117" s="116">
        <v>0.12076532101666719</v>
      </c>
      <c r="Z117" s="116">
        <v>0.1209189699429724</v>
      </c>
      <c r="AA117" s="116">
        <v>0.12107281435579939</v>
      </c>
      <c r="AB117" s="116">
        <v>0.12122685450386435</v>
      </c>
      <c r="AC117" s="116">
        <v>0.12138109063619994</v>
      </c>
      <c r="AD117" s="116">
        <v>0.12153552300215566</v>
      </c>
      <c r="AE117" s="116">
        <v>0.12169015185139827</v>
      </c>
      <c r="AF117" s="116">
        <v>0.12184497743391219</v>
      </c>
      <c r="AG117" s="116">
        <v>0.12199999999999984</v>
      </c>
    </row>
    <row r="118" spans="1:33" s="117" customFormat="1" x14ac:dyDescent="0.35">
      <c r="A118" s="148"/>
      <c r="B118" s="113" t="s">
        <v>64</v>
      </c>
      <c r="C118" s="114"/>
      <c r="D118" s="115">
        <f>D113*T118</f>
        <v>14.042340000000012</v>
      </c>
      <c r="E118" s="115">
        <f t="shared" ref="E118:G118" si="112">E113*U118</f>
        <v>15.045033207924654</v>
      </c>
      <c r="F118" s="115">
        <f t="shared" si="112"/>
        <v>16.080378060762357</v>
      </c>
      <c r="G118" s="115">
        <f t="shared" si="112"/>
        <v>17.137516464159614</v>
      </c>
      <c r="H118" s="115">
        <f>H113*X118</f>
        <v>18.201414189523849</v>
      </c>
      <c r="I118" s="115">
        <f t="shared" ref="I118:Q118" si="113">I113*Y118</f>
        <v>19.251761435894014</v>
      </c>
      <c r="J118" s="115">
        <f t="shared" si="113"/>
        <v>20.261612408936703</v>
      </c>
      <c r="K118" s="115">
        <f t="shared" si="113"/>
        <v>21.195704137985761</v>
      </c>
      <c r="L118" s="115">
        <f t="shared" si="113"/>
        <v>22.008381190089953</v>
      </c>
      <c r="M118" s="115">
        <f t="shared" si="113"/>
        <v>22.641036293320845</v>
      </c>
      <c r="N118" s="115">
        <f t="shared" si="113"/>
        <v>23.018956442193964</v>
      </c>
      <c r="O118" s="115">
        <f t="shared" si="113"/>
        <v>23.047438953584784</v>
      </c>
      <c r="P118" s="115">
        <f t="shared" si="113"/>
        <v>22.607011096357358</v>
      </c>
      <c r="Q118" s="115">
        <f t="shared" si="113"/>
        <v>21.547549005162736</v>
      </c>
      <c r="R118" s="68">
        <f t="shared" si="106"/>
        <v>1.8928332047211172E-2</v>
      </c>
      <c r="S118" s="113" t="s">
        <v>64</v>
      </c>
      <c r="T118" s="116">
        <f>1-SUM(T114:T117)</f>
        <v>8.0000000000000071E-2</v>
      </c>
      <c r="U118" s="116">
        <f t="shared" ref="U118:AG118" si="114">1-SUM(U114:U117)</f>
        <v>7.585168101373041E-2</v>
      </c>
      <c r="V118" s="116">
        <f t="shared" si="114"/>
        <v>7.1665431846087646E-2</v>
      </c>
      <c r="W118" s="116">
        <f t="shared" si="114"/>
        <v>6.7440866479373307E-2</v>
      </c>
      <c r="X118" s="116">
        <f t="shared" si="114"/>
        <v>6.3177594917725788E-2</v>
      </c>
      <c r="Y118" s="116">
        <f t="shared" si="114"/>
        <v>5.887522314605742E-2</v>
      </c>
      <c r="Z118" s="116">
        <f t="shared" si="114"/>
        <v>5.4533353088566772E-2</v>
      </c>
      <c r="AA118" s="116">
        <f t="shared" si="114"/>
        <v>5.0151582566825281E-2</v>
      </c>
      <c r="AB118" s="116">
        <f t="shared" si="114"/>
        <v>4.5729505257428471E-2</v>
      </c>
      <c r="AC118" s="116">
        <f t="shared" si="114"/>
        <v>4.126671064921128E-2</v>
      </c>
      <c r="AD118" s="116">
        <f t="shared" si="114"/>
        <v>3.6762784000021864E-2</v>
      </c>
      <c r="AE118" s="116">
        <f t="shared" si="114"/>
        <v>3.2217306293047754E-2</v>
      </c>
      <c r="AF118" s="116">
        <f t="shared" si="114"/>
        <v>2.7629854192693704E-2</v>
      </c>
      <c r="AG118" s="116">
        <f t="shared" si="114"/>
        <v>2.2999999999999909E-2</v>
      </c>
    </row>
    <row r="119" spans="1:33" x14ac:dyDescent="0.35">
      <c r="A119" s="1"/>
      <c r="D119" s="81" t="b">
        <f>D113=SUM(D114:D118)</f>
        <v>1</v>
      </c>
      <c r="E119" s="81" t="b">
        <f t="shared" ref="E119:Q119" si="115">E113=SUM(E114:E118)</f>
        <v>1</v>
      </c>
      <c r="F119" s="81" t="b">
        <f t="shared" si="115"/>
        <v>1</v>
      </c>
      <c r="G119" s="81" t="b">
        <f t="shared" si="115"/>
        <v>1</v>
      </c>
      <c r="H119" s="81" t="b">
        <f t="shared" si="115"/>
        <v>1</v>
      </c>
      <c r="I119" s="81" t="b">
        <f t="shared" si="115"/>
        <v>1</v>
      </c>
      <c r="J119" s="81" t="b">
        <f t="shared" si="115"/>
        <v>1</v>
      </c>
      <c r="K119" s="81" t="b">
        <f t="shared" si="115"/>
        <v>1</v>
      </c>
      <c r="L119" s="81" t="b">
        <f t="shared" si="115"/>
        <v>1</v>
      </c>
      <c r="M119" s="81" t="b">
        <f t="shared" si="115"/>
        <v>1</v>
      </c>
      <c r="N119" s="81" t="b">
        <f t="shared" si="115"/>
        <v>1</v>
      </c>
      <c r="O119" s="81" t="b">
        <f t="shared" si="115"/>
        <v>0</v>
      </c>
      <c r="P119" s="81" t="b">
        <f t="shared" si="115"/>
        <v>1</v>
      </c>
      <c r="Q119" s="81" t="b">
        <f t="shared" si="115"/>
        <v>1</v>
      </c>
      <c r="R119" s="21"/>
    </row>
    <row r="120" spans="1:33" s="117" customFormat="1" x14ac:dyDescent="0.35">
      <c r="A120" s="149" t="s">
        <v>65</v>
      </c>
      <c r="B120" s="122" t="s">
        <v>66</v>
      </c>
      <c r="C120" s="123"/>
      <c r="D120" s="124">
        <f>D113*T120</f>
        <v>122.870475</v>
      </c>
      <c r="E120" s="124">
        <f t="shared" ref="E120:Q120" si="116">E113*U120</f>
        <v>138.91967411011683</v>
      </c>
      <c r="F120" s="124">
        <f t="shared" si="116"/>
        <v>157.23894570783469</v>
      </c>
      <c r="G120" s="124">
        <f t="shared" si="116"/>
        <v>178.17062729205861</v>
      </c>
      <c r="H120" s="124">
        <f t="shared" si="116"/>
        <v>202.11157399173112</v>
      </c>
      <c r="I120" s="124">
        <f t="shared" si="116"/>
        <v>229.52226495784257</v>
      </c>
      <c r="J120" s="124">
        <f t="shared" si="116"/>
        <v>260.93749708972581</v>
      </c>
      <c r="K120" s="124">
        <f t="shared" si="116"/>
        <v>296.97895367827317</v>
      </c>
      <c r="L120" s="124">
        <f t="shared" si="116"/>
        <v>338.36998952692642</v>
      </c>
      <c r="M120" s="124">
        <f t="shared" si="116"/>
        <v>385.95303855756748</v>
      </c>
      <c r="N120" s="124">
        <f t="shared" si="116"/>
        <v>440.71012691549305</v>
      </c>
      <c r="O120" s="124">
        <f t="shared" si="116"/>
        <v>503.78706667870995</v>
      </c>
      <c r="P120" s="124">
        <f t="shared" si="116"/>
        <v>576.52201549638846</v>
      </c>
      <c r="Q120" s="124">
        <f t="shared" si="116"/>
        <v>660.47921950607895</v>
      </c>
      <c r="R120" s="68">
        <f>RATE(9,,-H120,Q120)</f>
        <v>0.14061974681817141</v>
      </c>
      <c r="S120" s="122" t="s">
        <v>66</v>
      </c>
      <c r="T120" s="116">
        <v>0.70000000000000007</v>
      </c>
      <c r="U120" s="116">
        <v>0.70038335319736411</v>
      </c>
      <c r="V120" s="116">
        <v>0.70076691633711929</v>
      </c>
      <c r="W120" s="116">
        <v>0.70115068953424042</v>
      </c>
      <c r="X120" s="116">
        <v>0.70153467290376448</v>
      </c>
      <c r="Y120" s="116">
        <v>0.70191886656079228</v>
      </c>
      <c r="Z120" s="116">
        <v>0.70230327062048659</v>
      </c>
      <c r="AA120" s="116">
        <v>0.70268788519807479</v>
      </c>
      <c r="AB120" s="116">
        <v>0.70307271040884567</v>
      </c>
      <c r="AC120" s="116">
        <v>0.70345774636815217</v>
      </c>
      <c r="AD120" s="116">
        <v>0.70384299319141008</v>
      </c>
      <c r="AE120" s="116">
        <v>0.70422845099409903</v>
      </c>
      <c r="AF120" s="116">
        <v>0.70461411989176093</v>
      </c>
      <c r="AG120" s="116">
        <v>0.70500000000000129</v>
      </c>
    </row>
    <row r="121" spans="1:33" s="117" customFormat="1" x14ac:dyDescent="0.35">
      <c r="A121" s="149"/>
      <c r="B121" s="122" t="s">
        <v>67</v>
      </c>
      <c r="C121" s="123"/>
      <c r="D121" s="124">
        <f>D113*T121</f>
        <v>35.105850000000004</v>
      </c>
      <c r="E121" s="124">
        <f t="shared" ref="E121:Q121" si="117">E113*U121</f>
        <v>39.699985642413203</v>
      </c>
      <c r="F121" s="124">
        <f t="shared" si="117"/>
        <v>44.944996948831637</v>
      </c>
      <c r="G121" s="124">
        <f t="shared" si="117"/>
        <v>50.939183490711045</v>
      </c>
      <c r="H121" s="124">
        <f t="shared" si="117"/>
        <v>57.79652039526119</v>
      </c>
      <c r="I121" s="124">
        <f t="shared" si="117"/>
        <v>65.649280042873286</v>
      </c>
      <c r="J121" s="124">
        <f t="shared" si="117"/>
        <v>74.651111299018822</v>
      </c>
      <c r="K121" s="124">
        <f t="shared" si="117"/>
        <v>84.980659267902482</v>
      </c>
      <c r="L121" s="124">
        <f t="shared" si="117"/>
        <v>96.845824148490379</v>
      </c>
      <c r="M121" s="124">
        <f t="shared" si="117"/>
        <v>110.48877639405922</v>
      </c>
      <c r="N121" s="124">
        <f t="shared" si="117"/>
        <v>126.1918676299189</v>
      </c>
      <c r="O121" s="124">
        <f t="shared" si="117"/>
        <v>144.28460340096913</v>
      </c>
      <c r="P121" s="124">
        <f t="shared" si="117"/>
        <v>165.15187568287871</v>
      </c>
      <c r="Q121" s="124">
        <f t="shared" si="117"/>
        <v>189.24369126273464</v>
      </c>
      <c r="R121" s="68">
        <f>RATE(9,,-H121,Q121)</f>
        <v>0.14086832925304013</v>
      </c>
      <c r="S121" s="122" t="s">
        <v>67</v>
      </c>
      <c r="T121" s="116">
        <v>0.20000000000000004</v>
      </c>
      <c r="U121" s="116">
        <v>0.2001531406133327</v>
      </c>
      <c r="V121" s="116">
        <v>0.2003063984869026</v>
      </c>
      <c r="W121" s="116">
        <v>0.20045977371049628</v>
      </c>
      <c r="X121" s="116">
        <v>0.20061326637396906</v>
      </c>
      <c r="Y121" s="116">
        <v>0.2007668765672449</v>
      </c>
      <c r="Z121" s="116">
        <v>0.20092060438031684</v>
      </c>
      <c r="AA121" s="116">
        <v>0.20107444990324672</v>
      </c>
      <c r="AB121" s="116">
        <v>0.20122841322616528</v>
      </c>
      <c r="AC121" s="116">
        <v>0.20138249443927231</v>
      </c>
      <c r="AD121" s="116">
        <v>0.20153669363283677</v>
      </c>
      <c r="AE121" s="116">
        <v>0.2016910108971966</v>
      </c>
      <c r="AF121" s="116">
        <v>0.20184544632275897</v>
      </c>
      <c r="AG121" s="116">
        <v>0.20200000000000032</v>
      </c>
    </row>
    <row r="122" spans="1:33" s="117" customFormat="1" x14ac:dyDescent="0.35">
      <c r="A122" s="149"/>
      <c r="B122" s="122" t="s">
        <v>68</v>
      </c>
      <c r="C122" s="123"/>
      <c r="D122" s="124">
        <f>D113*T122</f>
        <v>17.552924999999977</v>
      </c>
      <c r="E122" s="124">
        <f t="shared" ref="E122:L122" si="118">E113*U122</f>
        <v>19.728392747469993</v>
      </c>
      <c r="F122" s="124">
        <f t="shared" si="118"/>
        <v>22.197291733958721</v>
      </c>
      <c r="G122" s="124">
        <f t="shared" si="118"/>
        <v>25.001937164613231</v>
      </c>
      <c r="H122" s="124">
        <f t="shared" si="118"/>
        <v>28.191099848353062</v>
      </c>
      <c r="I122" s="124">
        <f t="shared" si="118"/>
        <v>31.821040456401139</v>
      </c>
      <c r="J122" s="124">
        <f t="shared" si="118"/>
        <v>35.956716836904555</v>
      </c>
      <c r="K122" s="124">
        <f t="shared" si="118"/>
        <v>40.673194498000306</v>
      </c>
      <c r="L122" s="124">
        <f t="shared" si="118"/>
        <v>46.057295801638574</v>
      </c>
      <c r="M122" s="124">
        <f>M113*AC122</f>
        <v>52.209529852216406</v>
      </c>
      <c r="N122" s="124">
        <f t="shared" ref="N122:Q122" si="119">N113*AD122</f>
        <v>59.246352711974097</v>
      </c>
      <c r="O122" s="124">
        <f t="shared" si="119"/>
        <v>67.302816661884549</v>
      </c>
      <c r="P122" s="124">
        <f t="shared" si="119"/>
        <v>76.535678031396301</v>
      </c>
      <c r="Q122" s="124">
        <f t="shared" si="119"/>
        <v>87.127045977396008</v>
      </c>
      <c r="R122" s="68">
        <f>RATE(9,,-H122,Q122)</f>
        <v>0.13357170413246877</v>
      </c>
      <c r="S122" s="122" t="s">
        <v>68</v>
      </c>
      <c r="T122" s="116">
        <f>1-SUM(T120:T121)</f>
        <v>9.9999999999999867E-2</v>
      </c>
      <c r="U122" s="116">
        <f t="shared" ref="U122:AG122" si="120">1-SUM(U120:U121)</f>
        <v>9.9463506189303219E-2</v>
      </c>
      <c r="V122" s="116">
        <f t="shared" si="120"/>
        <v>9.8926685175978135E-2</v>
      </c>
      <c r="W122" s="116">
        <f t="shared" si="120"/>
        <v>9.8389536755263296E-2</v>
      </c>
      <c r="X122" s="116">
        <f t="shared" si="120"/>
        <v>9.7852060722266487E-2</v>
      </c>
      <c r="Y122" s="116">
        <f t="shared" si="120"/>
        <v>9.7314256871962823E-2</v>
      </c>
      <c r="Z122" s="116">
        <f t="shared" si="120"/>
        <v>9.6776124999196522E-2</v>
      </c>
      <c r="AA122" s="116">
        <f t="shared" si="120"/>
        <v>9.6237664898678466E-2</v>
      </c>
      <c r="AB122" s="116">
        <f t="shared" si="120"/>
        <v>9.5698876364989083E-2</v>
      </c>
      <c r="AC122" s="116">
        <f t="shared" si="120"/>
        <v>9.5159759192575466E-2</v>
      </c>
      <c r="AD122" s="116">
        <f t="shared" si="120"/>
        <v>9.4620313175753146E-2</v>
      </c>
      <c r="AE122" s="116">
        <f t="shared" si="120"/>
        <v>9.4080538108704426E-2</v>
      </c>
      <c r="AF122" s="116">
        <f t="shared" si="120"/>
        <v>9.3540433785480159E-2</v>
      </c>
      <c r="AG122" s="116">
        <f t="shared" si="120"/>
        <v>9.2999999999998417E-2</v>
      </c>
    </row>
    <row r="123" spans="1:33" x14ac:dyDescent="0.35">
      <c r="A123" s="1"/>
      <c r="D123" s="81" t="b">
        <f>D113=SUM(D120:D122)</f>
        <v>1</v>
      </c>
      <c r="E123" s="81" t="b">
        <f t="shared" ref="E123:Q123" si="121">E113=SUM(E120:E122)</f>
        <v>1</v>
      </c>
      <c r="F123" s="81" t="b">
        <f t="shared" si="121"/>
        <v>1</v>
      </c>
      <c r="G123" s="81" t="b">
        <f t="shared" si="121"/>
        <v>1</v>
      </c>
      <c r="H123" s="81" t="b">
        <f t="shared" si="121"/>
        <v>1</v>
      </c>
      <c r="I123" s="81" t="b">
        <f t="shared" si="121"/>
        <v>1</v>
      </c>
      <c r="J123" s="81" t="b">
        <f t="shared" si="121"/>
        <v>1</v>
      </c>
      <c r="K123" s="81" t="b">
        <f t="shared" si="121"/>
        <v>1</v>
      </c>
      <c r="L123" s="81" t="b">
        <f t="shared" si="121"/>
        <v>1</v>
      </c>
      <c r="M123" s="81" t="b">
        <f t="shared" si="121"/>
        <v>1</v>
      </c>
      <c r="N123" s="81" t="b">
        <f t="shared" si="121"/>
        <v>1</v>
      </c>
      <c r="O123" s="81" t="b">
        <f t="shared" si="121"/>
        <v>1</v>
      </c>
      <c r="P123" s="81" t="b">
        <f t="shared" si="121"/>
        <v>0</v>
      </c>
      <c r="Q123" s="81" t="b">
        <f t="shared" si="121"/>
        <v>1</v>
      </c>
      <c r="R123" s="21"/>
    </row>
    <row r="124" spans="1:33" s="117" customFormat="1" x14ac:dyDescent="0.35">
      <c r="A124" s="149" t="s">
        <v>69</v>
      </c>
      <c r="B124" s="125" t="s">
        <v>70</v>
      </c>
      <c r="C124" s="126"/>
      <c r="D124" s="127">
        <f>D113*T124</f>
        <v>73.722284999999999</v>
      </c>
      <c r="E124" s="127">
        <f t="shared" ref="E124:Q124" si="122">E113*U124</f>
        <v>83.321422851515294</v>
      </c>
      <c r="F124" s="127">
        <f t="shared" si="122"/>
        <v>94.274603911747121</v>
      </c>
      <c r="G124" s="127">
        <f t="shared" si="122"/>
        <v>106.7855216850764</v>
      </c>
      <c r="H124" s="127">
        <f t="shared" si="122"/>
        <v>121.09023452292078</v>
      </c>
      <c r="I124" s="127">
        <f t="shared" si="122"/>
        <v>137.46256025240987</v>
      </c>
      <c r="J124" s="127">
        <f t="shared" si="122"/>
        <v>156.22040926193236</v>
      </c>
      <c r="K124" s="127">
        <f t="shared" si="122"/>
        <v>177.73322574378977</v>
      </c>
      <c r="L124" s="127">
        <f t="shared" si="122"/>
        <v>202.43073858845295</v>
      </c>
      <c r="M124" s="127">
        <f t="shared" si="122"/>
        <v>230.81326137431918</v>
      </c>
      <c r="N124" s="127">
        <f t="shared" si="122"/>
        <v>263.46382622986056</v>
      </c>
      <c r="O124" s="127">
        <f t="shared" si="122"/>
        <v>301.06249054235087</v>
      </c>
      <c r="P124" s="127">
        <f t="shared" si="122"/>
        <v>344.40322033514565</v>
      </c>
      <c r="Q124" s="127">
        <f t="shared" si="122"/>
        <v>394.41383179015406</v>
      </c>
      <c r="R124" s="68">
        <f>RATE(9,,-H124,Q124)</f>
        <v>0.14020399253850577</v>
      </c>
      <c r="S124" s="125" t="s">
        <v>70</v>
      </c>
      <c r="T124" s="116">
        <v>0.42</v>
      </c>
      <c r="U124" s="116">
        <v>0.42007683867486062</v>
      </c>
      <c r="V124" s="116">
        <v>0.4201536914072973</v>
      </c>
      <c r="W124" s="116">
        <v>0.42023055819988187</v>
      </c>
      <c r="X124" s="116">
        <v>0.42030743905518658</v>
      </c>
      <c r="Y124" s="116">
        <v>0.42038433397578434</v>
      </c>
      <c r="Z124" s="116">
        <v>0.42046124296424836</v>
      </c>
      <c r="AA124" s="116">
        <v>0.42053816602315214</v>
      </c>
      <c r="AB124" s="116">
        <v>0.42061510315507006</v>
      </c>
      <c r="AC124" s="116">
        <v>0.42069205436257667</v>
      </c>
      <c r="AD124" s="116">
        <v>0.4207690196482472</v>
      </c>
      <c r="AE124" s="116">
        <v>0.42084599901465702</v>
      </c>
      <c r="AF124" s="116">
        <v>0.42092299246438242</v>
      </c>
      <c r="AG124" s="137">
        <v>0.42099999999999982</v>
      </c>
    </row>
    <row r="125" spans="1:33" s="117" customFormat="1" x14ac:dyDescent="0.35">
      <c r="A125" s="149"/>
      <c r="B125" s="125" t="s">
        <v>71</v>
      </c>
      <c r="C125" s="126"/>
      <c r="D125" s="127">
        <f>D113*T125</f>
        <v>40.371727500000006</v>
      </c>
      <c r="E125" s="127">
        <f t="shared" ref="E125:Q125" si="123">E113*U125</f>
        <v>45.650445369779355</v>
      </c>
      <c r="F125" s="127">
        <f t="shared" si="123"/>
        <v>51.676471645763236</v>
      </c>
      <c r="G125" s="127">
        <f t="shared" si="123"/>
        <v>58.562594123959201</v>
      </c>
      <c r="H125" s="127">
        <f t="shared" si="123"/>
        <v>66.439575434162364</v>
      </c>
      <c r="I125" s="127">
        <f t="shared" si="123"/>
        <v>75.459157549188703</v>
      </c>
      <c r="J125" s="127">
        <f t="shared" si="123"/>
        <v>85.797590350461832</v>
      </c>
      <c r="K125" s="127">
        <f t="shared" si="123"/>
        <v>97.659779253680938</v>
      </c>
      <c r="L125" s="127">
        <f t="shared" si="123"/>
        <v>111.28416474068865</v>
      </c>
      <c r="M125" s="127">
        <f t="shared" si="123"/>
        <v>126.94846794820585</v>
      </c>
      <c r="N125" s="127">
        <f t="shared" si="123"/>
        <v>144.97646192332539</v>
      </c>
      <c r="O125" s="127">
        <f t="shared" si="123"/>
        <v>165.74595860460443</v>
      </c>
      <c r="P125" s="127">
        <f t="shared" si="123"/>
        <v>189.69823803393805</v>
      </c>
      <c r="Q125" s="127">
        <f t="shared" si="123"/>
        <v>217.34918996512079</v>
      </c>
      <c r="R125" s="68">
        <f>RATE(9,,-H125,Q125)</f>
        <v>0.14075492660062058</v>
      </c>
      <c r="S125" s="125" t="s">
        <v>71</v>
      </c>
      <c r="T125" s="116">
        <v>0.23000000000000007</v>
      </c>
      <c r="U125" s="116">
        <v>0.230153232131076</v>
      </c>
      <c r="V125" s="116">
        <v>0.23030656634948232</v>
      </c>
      <c r="W125" s="116">
        <v>0.23046000272323239</v>
      </c>
      <c r="X125" s="116">
        <v>0.23061354132038475</v>
      </c>
      <c r="Y125" s="116">
        <v>0.23076718220904338</v>
      </c>
      <c r="Z125" s="116">
        <v>0.23092092545735762</v>
      </c>
      <c r="AA125" s="116">
        <v>0.23107477113352223</v>
      </c>
      <c r="AB125" s="116">
        <v>0.23122871930577729</v>
      </c>
      <c r="AC125" s="116">
        <v>0.23138277004240856</v>
      </c>
      <c r="AD125" s="116">
        <v>0.23153692341174703</v>
      </c>
      <c r="AE125" s="116">
        <v>0.23169117948216938</v>
      </c>
      <c r="AF125" s="116">
        <v>0.23184553832209787</v>
      </c>
      <c r="AG125" s="137">
        <v>0.23200000000000018</v>
      </c>
    </row>
    <row r="126" spans="1:33" s="117" customFormat="1" x14ac:dyDescent="0.35">
      <c r="A126" s="149"/>
      <c r="B126" s="125" t="s">
        <v>72</v>
      </c>
      <c r="C126" s="126"/>
      <c r="D126" s="127">
        <f>D113*T126</f>
        <v>35.105849999999997</v>
      </c>
      <c r="E126" s="127">
        <f t="shared" ref="E126:Q126" si="124">E113*U126</f>
        <v>39.684832945227448</v>
      </c>
      <c r="F126" s="127">
        <f t="shared" si="124"/>
        <v>44.910694268443926</v>
      </c>
      <c r="G126" s="127">
        <f t="shared" si="124"/>
        <v>50.880878321978592</v>
      </c>
      <c r="H126" s="127">
        <f t="shared" si="124"/>
        <v>57.708331758669139</v>
      </c>
      <c r="I126" s="127">
        <f t="shared" si="124"/>
        <v>65.524090502937312</v>
      </c>
      <c r="J126" s="127">
        <f t="shared" si="124"/>
        <v>74.480317251186591</v>
      </c>
      <c r="K126" s="127">
        <f t="shared" si="124"/>
        <v>84.753871055685138</v>
      </c>
      <c r="L126" s="127">
        <f t="shared" si="124"/>
        <v>96.550505841019017</v>
      </c>
      <c r="M126" s="127">
        <f t="shared" si="124"/>
        <v>110.10981296095594</v>
      </c>
      <c r="N126" s="127">
        <f t="shared" si="124"/>
        <v>125.71104471822375</v>
      </c>
      <c r="O126" s="127">
        <f t="shared" si="124"/>
        <v>143.6799818540452</v>
      </c>
      <c r="P126" s="127">
        <f t="shared" si="124"/>
        <v>164.39703922942954</v>
      </c>
      <c r="Q126" s="127">
        <f t="shared" si="124"/>
        <v>188.30684130598789</v>
      </c>
      <c r="R126" s="68">
        <f>RATE(9,,-H126,Q126)</f>
        <v>0.14043288243861235</v>
      </c>
      <c r="S126" s="125" t="s">
        <v>72</v>
      </c>
      <c r="T126" s="116">
        <v>0.19999999999999998</v>
      </c>
      <c r="U126" s="116">
        <v>0.20007674612901705</v>
      </c>
      <c r="V126" s="116">
        <v>0.20015352170787573</v>
      </c>
      <c r="W126" s="116">
        <v>0.2002303267478768</v>
      </c>
      <c r="X126" s="116">
        <v>0.20030716126032544</v>
      </c>
      <c r="Y126" s="116">
        <v>0.20038402525653101</v>
      </c>
      <c r="Z126" s="116">
        <v>0.20046091874780753</v>
      </c>
      <c r="AA126" s="116">
        <v>0.20053784174547304</v>
      </c>
      <c r="AB126" s="116">
        <v>0.20061479426085005</v>
      </c>
      <c r="AC126" s="116">
        <v>0.20069177630526541</v>
      </c>
      <c r="AD126" s="116">
        <v>0.20076878789005037</v>
      </c>
      <c r="AE126" s="116">
        <v>0.20084582902654041</v>
      </c>
      <c r="AF126" s="116">
        <v>0.20092289972607549</v>
      </c>
      <c r="AG126" s="137">
        <v>0.20099999999999973</v>
      </c>
    </row>
    <row r="127" spans="1:33" s="117" customFormat="1" x14ac:dyDescent="0.35">
      <c r="A127" s="149"/>
      <c r="B127" s="125" t="s">
        <v>73</v>
      </c>
      <c r="C127" s="126"/>
      <c r="D127" s="127">
        <f>D113*T127</f>
        <v>17.552924999999998</v>
      </c>
      <c r="E127" s="127">
        <f t="shared" ref="E127:Q127" si="125">E113*U127</f>
        <v>19.865042216579994</v>
      </c>
      <c r="F127" s="127">
        <f t="shared" si="125"/>
        <v>22.50658672027971</v>
      </c>
      <c r="G127" s="127">
        <f t="shared" si="125"/>
        <v>25.527565463909994</v>
      </c>
      <c r="H127" s="127">
        <f t="shared" si="125"/>
        <v>28.985997494465121</v>
      </c>
      <c r="I127" s="127">
        <f t="shared" si="125"/>
        <v>32.94925986460381</v>
      </c>
      <c r="J127" s="127">
        <f t="shared" si="125"/>
        <v>37.495669407808791</v>
      </c>
      <c r="K127" s="127">
        <f t="shared" si="125"/>
        <v>42.716343327204733</v>
      </c>
      <c r="L127" s="127">
        <f t="shared" si="125"/>
        <v>48.71738964883609</v>
      </c>
      <c r="M127" s="127">
        <f t="shared" si="125"/>
        <v>55.622488269377129</v>
      </c>
      <c r="N127" s="127">
        <f t="shared" si="125"/>
        <v>63.575934902724427</v>
      </c>
      <c r="O127" s="127">
        <f t="shared" si="125"/>
        <v>72.746234082148504</v>
      </c>
      <c r="P127" s="127">
        <f t="shared" si="125"/>
        <v>83.330343966464426</v>
      </c>
      <c r="Q127" s="127">
        <f t="shared" si="125"/>
        <v>95.558695588113238</v>
      </c>
      <c r="R127" s="68">
        <f>RATE(9,,-H127,Q127)</f>
        <v>0.14173328567235091</v>
      </c>
      <c r="S127" s="125" t="s">
        <v>73</v>
      </c>
      <c r="T127" s="116">
        <v>9.9999999999999992E-2</v>
      </c>
      <c r="U127" s="116">
        <v>0.10015244398015953</v>
      </c>
      <c r="V127" s="116">
        <v>0.10030512035198993</v>
      </c>
      <c r="W127" s="116">
        <v>0.10045802946975833</v>
      </c>
      <c r="X127" s="116">
        <v>0.10061117168827188</v>
      </c>
      <c r="Y127" s="116">
        <v>0.10076454736287864</v>
      </c>
      <c r="Z127" s="116">
        <v>0.10091815684946834</v>
      </c>
      <c r="AA127" s="116">
        <v>0.10107200050447333</v>
      </c>
      <c r="AB127" s="116">
        <v>0.10122607868486923</v>
      </c>
      <c r="AC127" s="116">
        <v>0.10138039174817587</v>
      </c>
      <c r="AD127" s="116">
        <v>0.10153494005245813</v>
      </c>
      <c r="AE127" s="116">
        <v>0.10168972395632671</v>
      </c>
      <c r="AF127" s="116">
        <v>0.10184474381893897</v>
      </c>
      <c r="AG127" s="137">
        <v>0.10199999999999985</v>
      </c>
    </row>
    <row r="128" spans="1:33" s="117" customFormat="1" x14ac:dyDescent="0.35">
      <c r="A128" s="149"/>
      <c r="B128" s="125" t="s">
        <v>74</v>
      </c>
      <c r="C128" s="126"/>
      <c r="D128" s="127">
        <f>D113*T128</f>
        <v>8.776462500000008</v>
      </c>
      <c r="E128" s="127">
        <f t="shared" ref="E128:Q128" si="126">E113*U128</f>
        <v>9.8263091168979226</v>
      </c>
      <c r="F128" s="127">
        <f t="shared" si="126"/>
        <v>11.012877844391076</v>
      </c>
      <c r="G128" s="127">
        <f t="shared" si="126"/>
        <v>12.355188352458706</v>
      </c>
      <c r="H128" s="127">
        <f t="shared" si="126"/>
        <v>13.875055025127928</v>
      </c>
      <c r="I128" s="127">
        <f t="shared" si="126"/>
        <v>15.597517287977317</v>
      </c>
      <c r="J128" s="127">
        <f t="shared" si="126"/>
        <v>17.551338954259585</v>
      </c>
      <c r="K128" s="127">
        <f t="shared" si="126"/>
        <v>19.769588063815416</v>
      </c>
      <c r="L128" s="127">
        <f t="shared" si="126"/>
        <v>22.290310658058619</v>
      </c>
      <c r="M128" s="127">
        <f t="shared" si="126"/>
        <v>25.157314250985067</v>
      </c>
      <c r="N128" s="127">
        <f t="shared" si="126"/>
        <v>28.42107948325193</v>
      </c>
      <c r="O128" s="127">
        <f t="shared" si="126"/>
        <v>32.139821658414661</v>
      </c>
      <c r="P128" s="127">
        <f t="shared" si="126"/>
        <v>36.380727645685731</v>
      </c>
      <c r="Q128" s="127">
        <f t="shared" si="126"/>
        <v>41.221398096833575</v>
      </c>
      <c r="R128" s="68">
        <f>RATE(9,,-H128,Q128)</f>
        <v>0.12860796649385417</v>
      </c>
      <c r="S128" s="125" t="s">
        <v>74</v>
      </c>
      <c r="T128" s="116">
        <f>1-SUM(T124:T127)</f>
        <v>5.0000000000000044E-2</v>
      </c>
      <c r="U128" s="116">
        <f t="shared" ref="U128:AG128" si="127">1-SUM(U124:U127)</f>
        <v>4.9540739084886765E-2</v>
      </c>
      <c r="V128" s="116">
        <f t="shared" si="127"/>
        <v>4.9081100183354764E-2</v>
      </c>
      <c r="W128" s="116">
        <f t="shared" si="127"/>
        <v>4.8621082859250597E-2</v>
      </c>
      <c r="X128" s="116">
        <f t="shared" si="127"/>
        <v>4.8160686675831288E-2</v>
      </c>
      <c r="Y128" s="116">
        <f t="shared" si="127"/>
        <v>4.7699911195762668E-2</v>
      </c>
      <c r="Z128" s="116">
        <f t="shared" si="127"/>
        <v>4.7238755981118041E-2</v>
      </c>
      <c r="AA128" s="116">
        <f t="shared" si="127"/>
        <v>4.6777220593379298E-2</v>
      </c>
      <c r="AB128" s="116">
        <f t="shared" si="127"/>
        <v>4.631530459343336E-2</v>
      </c>
      <c r="AC128" s="116">
        <f t="shared" si="127"/>
        <v>4.5853007541573509E-2</v>
      </c>
      <c r="AD128" s="116">
        <f t="shared" si="127"/>
        <v>4.5390328997497287E-2</v>
      </c>
      <c r="AE128" s="116">
        <f t="shared" si="127"/>
        <v>4.4927268520306485E-2</v>
      </c>
      <c r="AF128" s="116">
        <f t="shared" si="127"/>
        <v>4.4463825668505264E-2</v>
      </c>
      <c r="AG128" s="116">
        <f t="shared" si="127"/>
        <v>4.4000000000000372E-2</v>
      </c>
    </row>
    <row r="129" spans="1:33" x14ac:dyDescent="0.35">
      <c r="A129" s="2"/>
      <c r="D129" s="81" t="b">
        <f>D113=SUM(D124:D128)</f>
        <v>1</v>
      </c>
      <c r="E129" s="81" t="b">
        <f t="shared" ref="E129:Q129" si="128">E113=SUM(E124:E128)</f>
        <v>1</v>
      </c>
      <c r="F129" s="81" t="b">
        <f t="shared" si="128"/>
        <v>1</v>
      </c>
      <c r="G129" s="81" t="b">
        <f t="shared" si="128"/>
        <v>1</v>
      </c>
      <c r="H129" s="81" t="b">
        <f t="shared" si="128"/>
        <v>1</v>
      </c>
      <c r="I129" s="81" t="b">
        <f t="shared" si="128"/>
        <v>1</v>
      </c>
      <c r="J129" s="81" t="b">
        <f t="shared" si="128"/>
        <v>1</v>
      </c>
      <c r="K129" s="81" t="b">
        <f t="shared" si="128"/>
        <v>1</v>
      </c>
      <c r="L129" s="81" t="b">
        <f t="shared" si="128"/>
        <v>1</v>
      </c>
      <c r="M129" s="81" t="b">
        <f t="shared" si="128"/>
        <v>1</v>
      </c>
      <c r="N129" s="81" t="b">
        <f t="shared" si="128"/>
        <v>1</v>
      </c>
      <c r="O129" s="81" t="b">
        <f t="shared" si="128"/>
        <v>1</v>
      </c>
      <c r="P129" s="81" t="b">
        <f t="shared" si="128"/>
        <v>1</v>
      </c>
      <c r="Q129" s="81" t="b">
        <f t="shared" si="128"/>
        <v>1</v>
      </c>
      <c r="R129" s="21"/>
    </row>
    <row r="130" spans="1:33" s="117" customFormat="1" x14ac:dyDescent="0.35">
      <c r="A130" s="149" t="s">
        <v>75</v>
      </c>
      <c r="B130" s="128" t="s">
        <v>76</v>
      </c>
      <c r="C130" s="129"/>
      <c r="D130" s="130">
        <f>D113*T130</f>
        <v>38.616435000000003</v>
      </c>
      <c r="E130" s="130">
        <f t="shared" ref="E130:P130" si="129">E113*U130</f>
        <v>43.712070509732541</v>
      </c>
      <c r="F130" s="130">
        <f t="shared" si="129"/>
        <v>49.534835733568457</v>
      </c>
      <c r="G130" s="130">
        <f t="shared" si="129"/>
        <v>56.195261244121205</v>
      </c>
      <c r="H130" s="130">
        <f t="shared" si="129"/>
        <v>63.821609347623877</v>
      </c>
      <c r="I130" s="130">
        <f t="shared" si="129"/>
        <v>72.562856297710482</v>
      </c>
      <c r="J130" s="130">
        <f t="shared" si="129"/>
        <v>82.592197713676043</v>
      </c>
      <c r="K130" s="130">
        <f t="shared" si="129"/>
        <v>94.111172578838847</v>
      </c>
      <c r="L130" s="130">
        <f t="shared" si="129"/>
        <v>107.3545192018685</v>
      </c>
      <c r="M130" s="130">
        <f t="shared" si="129"/>
        <v>122.59589804312164</v>
      </c>
      <c r="N130" s="130">
        <f t="shared" si="129"/>
        <v>140.15464204506995</v>
      </c>
      <c r="O130" s="130">
        <f t="shared" si="129"/>
        <v>160.40372591270713</v>
      </c>
      <c r="P130" s="130">
        <f t="shared" si="129"/>
        <v>183.77918269523343</v>
      </c>
      <c r="Q130" s="130">
        <f>Q113*AG130</f>
        <v>210.79124026789734</v>
      </c>
      <c r="R130" s="68">
        <f t="shared" ref="R130:R135" si="130">RATE(9,,-H130,Q130)</f>
        <v>0.14196782428371463</v>
      </c>
      <c r="S130" s="134" t="s">
        <v>76</v>
      </c>
      <c r="T130" s="116">
        <v>0.22000000000000003</v>
      </c>
      <c r="U130" s="116">
        <v>0.22038063877502673</v>
      </c>
      <c r="V130" s="116">
        <v>0.22076193612222184</v>
      </c>
      <c r="W130" s="116">
        <v>0.22114389318103134</v>
      </c>
      <c r="X130" s="116">
        <v>0.22152651109287255</v>
      </c>
      <c r="Y130" s="116">
        <v>0.22190979100113767</v>
      </c>
      <c r="Z130" s="116">
        <v>0.22229373405119721</v>
      </c>
      <c r="AA130" s="116">
        <v>0.22267834139040343</v>
      </c>
      <c r="AB130" s="116">
        <v>0.2230636141680935</v>
      </c>
      <c r="AC130" s="116">
        <v>0.22344955353559337</v>
      </c>
      <c r="AD130" s="116">
        <v>0.22383616064622086</v>
      </c>
      <c r="AE130" s="116">
        <v>0.22422343665528938</v>
      </c>
      <c r="AF130" s="116">
        <v>0.22461138272011094</v>
      </c>
      <c r="AG130" s="116">
        <v>0.22500000000000017</v>
      </c>
    </row>
    <row r="131" spans="1:33" s="117" customFormat="1" x14ac:dyDescent="0.35">
      <c r="A131" s="149"/>
      <c r="B131" s="128" t="s">
        <v>77</v>
      </c>
      <c r="C131" s="129"/>
      <c r="D131" s="130">
        <f>D113*T131</f>
        <v>66.701115000000001</v>
      </c>
      <c r="E131" s="130">
        <f t="shared" ref="E131:Q131" si="131">E113*U131</f>
        <v>75.372259950000014</v>
      </c>
      <c r="F131" s="130">
        <f t="shared" si="131"/>
        <v>85.26486906843752</v>
      </c>
      <c r="G131" s="130">
        <f t="shared" si="131"/>
        <v>96.562464220005495</v>
      </c>
      <c r="H131" s="130">
        <f t="shared" si="131"/>
        <v>109.47769380943123</v>
      </c>
      <c r="I131" s="130">
        <f t="shared" si="131"/>
        <v>124.25718247370446</v>
      </c>
      <c r="J131" s="130">
        <f t="shared" si="131"/>
        <v>141.18722358574669</v>
      </c>
      <c r="K131" s="130">
        <f t="shared" si="131"/>
        <v>160.60046682878686</v>
      </c>
      <c r="L131" s="130">
        <f t="shared" si="131"/>
        <v>182.88378160128104</v>
      </c>
      <c r="M131" s="130">
        <f t="shared" si="131"/>
        <v>208.48751102546038</v>
      </c>
      <c r="N131" s="130">
        <f t="shared" si="131"/>
        <v>237.9363719578067</v>
      </c>
      <c r="O131" s="130">
        <f t="shared" si="131"/>
        <v>271.84230496179418</v>
      </c>
      <c r="P131" s="130">
        <f t="shared" si="131"/>
        <v>310.9196363000521</v>
      </c>
      <c r="Q131" s="130">
        <f t="shared" si="131"/>
        <v>356.00298356355967</v>
      </c>
      <c r="R131" s="68">
        <f t="shared" si="130"/>
        <v>0.13999543125729599</v>
      </c>
      <c r="S131" s="134" t="s">
        <v>77</v>
      </c>
      <c r="T131" s="116">
        <v>0.38</v>
      </c>
      <c r="U131" s="116">
        <v>0.38</v>
      </c>
      <c r="V131" s="116">
        <v>0.38</v>
      </c>
      <c r="W131" s="116">
        <v>0.38</v>
      </c>
      <c r="X131" s="116">
        <v>0.38</v>
      </c>
      <c r="Y131" s="116">
        <v>0.38</v>
      </c>
      <c r="Z131" s="116">
        <v>0.38</v>
      </c>
      <c r="AA131" s="116">
        <v>0.38</v>
      </c>
      <c r="AB131" s="116">
        <v>0.38</v>
      </c>
      <c r="AC131" s="116">
        <v>0.38</v>
      </c>
      <c r="AD131" s="116">
        <v>0.38</v>
      </c>
      <c r="AE131" s="116">
        <v>0.38</v>
      </c>
      <c r="AF131" s="116">
        <v>0.38</v>
      </c>
      <c r="AG131" s="116">
        <v>0.38</v>
      </c>
    </row>
    <row r="132" spans="1:33" s="117" customFormat="1" x14ac:dyDescent="0.35">
      <c r="A132" s="149"/>
      <c r="B132" s="128" t="s">
        <v>78</v>
      </c>
      <c r="C132" s="129"/>
      <c r="D132" s="132">
        <f>D113*T132</f>
        <v>29.839972499999995</v>
      </c>
      <c r="E132" s="132">
        <f t="shared" ref="E132:Q132" si="132">E113*U132</f>
        <v>33.882188226711044</v>
      </c>
      <c r="F132" s="132">
        <f t="shared" si="132"/>
        <v>38.51453259543824</v>
      </c>
      <c r="G132" s="132">
        <f t="shared" si="132"/>
        <v>43.828583122225012</v>
      </c>
      <c r="H132" s="132">
        <f t="shared" si="132"/>
        <v>49.930891456310995</v>
      </c>
      <c r="I132" s="132">
        <f t="shared" si="132"/>
        <v>56.945547156838344</v>
      </c>
      <c r="J132" s="132">
        <f t="shared" si="132"/>
        <v>65.017198908614247</v>
      </c>
      <c r="K132" s="132">
        <f t="shared" si="132"/>
        <v>74.314617911717008</v>
      </c>
      <c r="L132" s="132">
        <f t="shared" si="132"/>
        <v>85.034904425128374</v>
      </c>
      <c r="M132" s="132">
        <f t="shared" si="132"/>
        <v>97.408457905305426</v>
      </c>
      <c r="N132" s="132">
        <f t="shared" si="132"/>
        <v>111.70485451222358</v>
      </c>
      <c r="O132" s="132">
        <f t="shared" si="132"/>
        <v>128.23980375090034</v>
      </c>
      <c r="P132" s="132">
        <f t="shared" si="132"/>
        <v>147.38338963571849</v>
      </c>
      <c r="Q132" s="132">
        <f t="shared" si="132"/>
        <v>169.56984217106364</v>
      </c>
      <c r="R132" s="68">
        <f t="shared" si="130"/>
        <v>0.14550687371822957</v>
      </c>
      <c r="S132" s="134" t="s">
        <v>78</v>
      </c>
      <c r="T132" s="116">
        <v>0.16999999999999998</v>
      </c>
      <c r="U132" s="116">
        <v>0.17082188506343435</v>
      </c>
      <c r="V132" s="116">
        <v>0.17164774362720694</v>
      </c>
      <c r="W132" s="116">
        <v>0.17247759490167405</v>
      </c>
      <c r="X132" s="116">
        <v>0.17331145819006682</v>
      </c>
      <c r="Y132" s="116">
        <v>0.17414935288894001</v>
      </c>
      <c r="Z132" s="116">
        <v>0.17499129848862341</v>
      </c>
      <c r="AA132" s="116">
        <v>0.17583731457367507</v>
      </c>
      <c r="AB132" s="116">
        <v>0.17668742082333691</v>
      </c>
      <c r="AC132" s="116">
        <v>0.17754163701199244</v>
      </c>
      <c r="AD132" s="116">
        <v>0.17839998300962681</v>
      </c>
      <c r="AE132" s="116">
        <v>0.17926247878228888</v>
      </c>
      <c r="AF132" s="116">
        <v>0.18012914439255584</v>
      </c>
      <c r="AG132" s="116">
        <v>0.18099999999999969</v>
      </c>
    </row>
    <row r="133" spans="1:33" s="117" customFormat="1" x14ac:dyDescent="0.35">
      <c r="A133" s="149"/>
      <c r="B133" s="128" t="s">
        <v>79</v>
      </c>
      <c r="C133" s="129"/>
      <c r="D133" s="132">
        <f>D113*T133</f>
        <v>24.574095</v>
      </c>
      <c r="E133" s="132">
        <f t="shared" ref="E133:Q133" si="133">E113*U133</f>
        <v>27.783934822023369</v>
      </c>
      <c r="F133" s="132">
        <f t="shared" si="133"/>
        <v>31.44778914156694</v>
      </c>
      <c r="G133" s="132">
        <f t="shared" si="133"/>
        <v>35.634125458411731</v>
      </c>
      <c r="H133" s="132">
        <f t="shared" si="133"/>
        <v>40.422314798346228</v>
      </c>
      <c r="I133" s="132">
        <f t="shared" si="133"/>
        <v>45.904452991568512</v>
      </c>
      <c r="J133" s="132">
        <f t="shared" si="133"/>
        <v>52.187499417945162</v>
      </c>
      <c r="K133" s="132">
        <f t="shared" si="133"/>
        <v>59.395790735654629</v>
      </c>
      <c r="L133" s="132">
        <f t="shared" si="133"/>
        <v>67.673997905385278</v>
      </c>
      <c r="M133" s="132">
        <f t="shared" si="133"/>
        <v>77.190607711513493</v>
      </c>
      <c r="N133" s="132">
        <f t="shared" si="133"/>
        <v>88.142025383098613</v>
      </c>
      <c r="O133" s="132">
        <f t="shared" si="133"/>
        <v>100.757413335742</v>
      </c>
      <c r="P133" s="132">
        <f t="shared" si="133"/>
        <v>115.30440309927768</v>
      </c>
      <c r="Q133" s="132">
        <f t="shared" si="133"/>
        <v>132.0958439012158</v>
      </c>
      <c r="R133" s="68">
        <f t="shared" si="130"/>
        <v>0.14061974681817124</v>
      </c>
      <c r="S133" s="134" t="s">
        <v>79</v>
      </c>
      <c r="T133" s="116">
        <v>0.14000000000000001</v>
      </c>
      <c r="U133" s="116">
        <v>0.14007667063947282</v>
      </c>
      <c r="V133" s="116">
        <v>0.14015338326742385</v>
      </c>
      <c r="W133" s="116">
        <v>0.1402301379068481</v>
      </c>
      <c r="X133" s="116">
        <v>0.14030693458075291</v>
      </c>
      <c r="Y133" s="116">
        <v>0.14038377331215846</v>
      </c>
      <c r="Z133" s="116">
        <v>0.14046065412409731</v>
      </c>
      <c r="AA133" s="116">
        <v>0.14053757703961495</v>
      </c>
      <c r="AB133" s="116">
        <v>0.14061454208176913</v>
      </c>
      <c r="AC133" s="116">
        <v>0.14069154927363042</v>
      </c>
      <c r="AD133" s="116">
        <v>0.14076859863828203</v>
      </c>
      <c r="AE133" s="116">
        <v>0.14084569019881982</v>
      </c>
      <c r="AF133" s="116">
        <v>0.14092282397835218</v>
      </c>
      <c r="AG133" s="116">
        <v>0.14100000000000026</v>
      </c>
    </row>
    <row r="134" spans="1:33" s="117" customFormat="1" x14ac:dyDescent="0.35">
      <c r="A134" s="149"/>
      <c r="B134" s="128" t="s">
        <v>80</v>
      </c>
      <c r="C134" s="129"/>
      <c r="D134" s="132">
        <f>D113*T134</f>
        <v>7.021170000000005</v>
      </c>
      <c r="E134" s="132">
        <f t="shared" ref="E134:Q134" si="134">E113*U134</f>
        <v>7.3573447461597112</v>
      </c>
      <c r="F134" s="132">
        <f t="shared" si="134"/>
        <v>7.7181439289384857</v>
      </c>
      <c r="G134" s="132">
        <f t="shared" si="134"/>
        <v>8.1055830178913144</v>
      </c>
      <c r="H134" s="132">
        <f t="shared" si="134"/>
        <v>8.5218666232773916</v>
      </c>
      <c r="I134" s="132">
        <f t="shared" si="134"/>
        <v>8.9694077741268181</v>
      </c>
      <c r="J134" s="132">
        <f t="shared" si="134"/>
        <v>9.4508493272971812</v>
      </c>
      <c r="K134" s="132">
        <f t="shared" si="134"/>
        <v>9.9690877584512361</v>
      </c>
      <c r="L134" s="132">
        <f t="shared" si="134"/>
        <v>10.527299617228676</v>
      </c>
      <c r="M134" s="132">
        <f t="shared" si="134"/>
        <v>11.128970964345086</v>
      </c>
      <c r="N134" s="132">
        <f t="shared" si="134"/>
        <v>11.777930148496537</v>
      </c>
      <c r="O134" s="132">
        <f t="shared" si="134"/>
        <v>12.478384326427715</v>
      </c>
      <c r="P134" s="132">
        <f t="shared" si="134"/>
        <v>13.234960181076959</v>
      </c>
      <c r="Q134" s="132">
        <f t="shared" si="134"/>
        <v>14.052749351193148</v>
      </c>
      <c r="R134" s="68">
        <f t="shared" si="130"/>
        <v>5.7149199499342475E-2</v>
      </c>
      <c r="S134" s="134" t="s">
        <v>80</v>
      </c>
      <c r="T134" s="116">
        <v>4.0000000000000029E-2</v>
      </c>
      <c r="U134" s="116">
        <v>3.7093103024844219E-2</v>
      </c>
      <c r="V134" s="116">
        <v>3.4397457300292665E-2</v>
      </c>
      <c r="W134" s="116">
        <v>3.1897710685810869E-2</v>
      </c>
      <c r="X134" s="116">
        <v>2.9579626718136409E-2</v>
      </c>
      <c r="Y134" s="116">
        <v>2.7430003532306693E-2</v>
      </c>
      <c r="Z134" s="116">
        <v>2.543659867489231E-2</v>
      </c>
      <c r="AA134" s="116">
        <v>2.3588059381234896E-2</v>
      </c>
      <c r="AB134" s="116">
        <v>2.1873857919607213E-2</v>
      </c>
      <c r="AC134" s="116">
        <v>2.0284231634069862E-2</v>
      </c>
      <c r="AD134" s="116">
        <v>1.8810127344558929E-2</v>
      </c>
      <c r="AE134" s="116">
        <v>1.7443149787554083E-2</v>
      </c>
      <c r="AF134" s="116">
        <v>1.617551380368832E-2</v>
      </c>
      <c r="AG134" s="116">
        <v>1.5000000000000005E-2</v>
      </c>
    </row>
    <row r="135" spans="1:33" s="117" customFormat="1" x14ac:dyDescent="0.35">
      <c r="A135" s="149"/>
      <c r="B135" s="128" t="s">
        <v>81</v>
      </c>
      <c r="C135" s="129"/>
      <c r="D135" s="132">
        <f>D113*T135</f>
        <v>3.5105850000000003</v>
      </c>
      <c r="E135" s="132">
        <f t="shared" ref="E135:Q135" si="135">E113*U135</f>
        <v>3.9961519087801101</v>
      </c>
      <c r="F135" s="132">
        <f t="shared" si="135"/>
        <v>4.553911999158796</v>
      </c>
      <c r="G135" s="132">
        <f t="shared" si="135"/>
        <v>5.1952553390449498</v>
      </c>
      <c r="H135" s="132">
        <f t="shared" si="135"/>
        <v>5.9334631583193094</v>
      </c>
      <c r="I135" s="132">
        <f t="shared" si="135"/>
        <v>6.7840363198868268</v>
      </c>
      <c r="J135" s="132">
        <f t="shared" si="135"/>
        <v>7.7650831980235031</v>
      </c>
      <c r="K135" s="132">
        <f t="shared" si="135"/>
        <v>8.8977781114375816</v>
      </c>
      <c r="L135" s="132">
        <f t="shared" si="135"/>
        <v>10.206903622217945</v>
      </c>
      <c r="M135" s="132">
        <f t="shared" si="135"/>
        <v>11.721492608966596</v>
      </c>
      <c r="N135" s="132">
        <f t="shared" si="135"/>
        <v>13.475589142281343</v>
      </c>
      <c r="O135" s="132">
        <f t="shared" si="135"/>
        <v>15.509150941688031</v>
      </c>
      <c r="P135" s="132">
        <f t="shared" si="135"/>
        <v>17.869120706502365</v>
      </c>
      <c r="Q135" s="132">
        <f t="shared" si="135"/>
        <v>20.610699048416617</v>
      </c>
      <c r="R135" s="68">
        <f t="shared" si="130"/>
        <v>0.14838408071675524</v>
      </c>
      <c r="S135" s="134" t="s">
        <v>81</v>
      </c>
      <c r="T135" s="116">
        <v>2.0000000000000004E-2</v>
      </c>
      <c r="U135" s="116">
        <v>2.0147169878464571E-2</v>
      </c>
      <c r="V135" s="116">
        <v>2.0295422705585511E-2</v>
      </c>
      <c r="W135" s="116">
        <v>2.0444766450233912E-2</v>
      </c>
      <c r="X135" s="116">
        <v>2.0595209139919784E-2</v>
      </c>
      <c r="Y135" s="116">
        <v>2.0746758861223506E-2</v>
      </c>
      <c r="Z135" s="116">
        <v>2.0899423760230504E-2</v>
      </c>
      <c r="AA135" s="116">
        <v>2.1053212042969137E-2</v>
      </c>
      <c r="AB135" s="116">
        <v>2.1208131975851766E-2</v>
      </c>
      <c r="AC135" s="116">
        <v>2.1364191886119096E-2</v>
      </c>
      <c r="AD135" s="116">
        <v>2.1521400162287797E-2</v>
      </c>
      <c r="AE135" s="116">
        <v>2.1679765254601358E-2</v>
      </c>
      <c r="AF135" s="116">
        <v>2.1839295675484361E-2</v>
      </c>
      <c r="AG135" s="116">
        <v>2.2000000000000006E-2</v>
      </c>
    </row>
    <row r="136" spans="1:33" s="117" customFormat="1" x14ac:dyDescent="0.35">
      <c r="A136" s="149"/>
      <c r="B136" s="128" t="s">
        <v>82</v>
      </c>
      <c r="C136" s="129"/>
      <c r="D136" s="132">
        <f>D113*T136</f>
        <v>5.2658774999999851</v>
      </c>
      <c r="E136" s="132">
        <f t="shared" ref="E136:Q136" si="136">E113*U136</f>
        <v>6.2441023365932304</v>
      </c>
      <c r="F136" s="132">
        <f t="shared" si="136"/>
        <v>7.3471519235166287</v>
      </c>
      <c r="G136" s="132">
        <f t="shared" si="136"/>
        <v>8.5904755456831889</v>
      </c>
      <c r="H136" s="132">
        <f t="shared" si="136"/>
        <v>9.9913550420362931</v>
      </c>
      <c r="I136" s="132">
        <f t="shared" si="136"/>
        <v>11.569102443281558</v>
      </c>
      <c r="J136" s="132">
        <f t="shared" si="136"/>
        <v>13.345273074346368</v>
      </c>
      <c r="K136" s="132">
        <f t="shared" si="136"/>
        <v>15.343893519289825</v>
      </c>
      <c r="L136" s="132">
        <f t="shared" si="136"/>
        <v>17.591703103945541</v>
      </c>
      <c r="M136" s="132">
        <f t="shared" si="136"/>
        <v>20.118406545130544</v>
      </c>
      <c r="N136" s="132">
        <f t="shared" si="136"/>
        <v>22.956934068409399</v>
      </c>
      <c r="O136" s="132">
        <f t="shared" si="136"/>
        <v>26.143703512304118</v>
      </c>
      <c r="P136" s="132">
        <f t="shared" si="136"/>
        <v>29.71887659280231</v>
      </c>
      <c r="Q136" s="132">
        <f t="shared" si="136"/>
        <v>33.72659844286337</v>
      </c>
      <c r="R136" s="68">
        <f>RATE(9,,-H136,Q136)</f>
        <v>0.1447360240930341</v>
      </c>
      <c r="S136" s="134" t="s">
        <v>82</v>
      </c>
      <c r="T136" s="116">
        <f>1-SUM(T130:T135)</f>
        <v>2.9999999999999916E-2</v>
      </c>
      <c r="U136" s="116">
        <f t="shared" ref="U136:AG136" si="137">1-SUM(U130:U135)</f>
        <v>3.1480532618757273E-2</v>
      </c>
      <c r="V136" s="116">
        <f t="shared" si="137"/>
        <v>3.2744056977269231E-2</v>
      </c>
      <c r="W136" s="116">
        <f t="shared" si="137"/>
        <v>3.380589687440172E-2</v>
      </c>
      <c r="X136" s="116">
        <f t="shared" si="137"/>
        <v>3.468026027825144E-2</v>
      </c>
      <c r="Y136" s="116">
        <f t="shared" si="137"/>
        <v>3.5380320404233667E-2</v>
      </c>
      <c r="Z136" s="116">
        <f t="shared" si="137"/>
        <v>3.5918290900959216E-2</v>
      </c>
      <c r="AA136" s="116">
        <f t="shared" si="137"/>
        <v>3.6305495572102608E-2</v>
      </c>
      <c r="AB136" s="116">
        <f t="shared" si="137"/>
        <v>3.655243303134148E-2</v>
      </c>
      <c r="AC136" s="116">
        <f t="shared" si="137"/>
        <v>3.6668836658594883E-2</v>
      </c>
      <c r="AD136" s="116">
        <f t="shared" si="137"/>
        <v>3.6663730199023692E-2</v>
      </c>
      <c r="AE136" s="116">
        <f t="shared" si="137"/>
        <v>3.6545479321446361E-2</v>
      </c>
      <c r="AF136" s="116">
        <f t="shared" si="137"/>
        <v>3.6321839429808267E-2</v>
      </c>
      <c r="AG136" s="116">
        <f t="shared" si="137"/>
        <v>3.599999999999981E-2</v>
      </c>
    </row>
    <row r="137" spans="1:33" x14ac:dyDescent="0.35">
      <c r="D137" t="b">
        <f>D113=SUM(D130:D136)</f>
        <v>1</v>
      </c>
      <c r="E137" t="b">
        <f t="shared" ref="E137:Q137" si="138">E113=SUM(E130:E136)</f>
        <v>1</v>
      </c>
      <c r="F137" t="b">
        <f t="shared" si="138"/>
        <v>1</v>
      </c>
      <c r="G137" t="b">
        <f t="shared" si="138"/>
        <v>1</v>
      </c>
      <c r="H137" t="b">
        <f t="shared" si="138"/>
        <v>1</v>
      </c>
      <c r="I137" t="b">
        <f t="shared" si="138"/>
        <v>1</v>
      </c>
      <c r="J137" t="b">
        <f t="shared" si="138"/>
        <v>1</v>
      </c>
      <c r="K137" t="b">
        <f t="shared" si="138"/>
        <v>1</v>
      </c>
      <c r="L137" t="b">
        <f t="shared" si="138"/>
        <v>1</v>
      </c>
      <c r="M137" t="b">
        <f t="shared" si="138"/>
        <v>1</v>
      </c>
      <c r="N137" t="b">
        <f t="shared" si="138"/>
        <v>1</v>
      </c>
      <c r="O137" t="b">
        <f t="shared" si="138"/>
        <v>0</v>
      </c>
      <c r="P137" t="b">
        <f t="shared" si="138"/>
        <v>1</v>
      </c>
      <c r="Q137" t="b">
        <f t="shared" si="138"/>
        <v>1</v>
      </c>
    </row>
    <row r="139" spans="1:33" ht="25" x14ac:dyDescent="0.5">
      <c r="A139" s="146" t="s">
        <v>87</v>
      </c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63"/>
    </row>
    <row r="140" spans="1:33" ht="23.5" thickBot="1" x14ac:dyDescent="0.55000000000000004">
      <c r="A140" s="63"/>
      <c r="B140" s="63"/>
      <c r="C140" s="63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</row>
    <row r="141" spans="1:33" ht="16" hidden="1" thickBot="1" x14ac:dyDescent="0.4">
      <c r="A141" s="42"/>
      <c r="B141" s="43"/>
      <c r="C141" s="93"/>
      <c r="D141" s="91">
        <v>2023</v>
      </c>
      <c r="E141" s="65">
        <v>2024</v>
      </c>
      <c r="F141" s="65">
        <v>2025</v>
      </c>
      <c r="G141" s="65">
        <v>2026</v>
      </c>
      <c r="H141" s="65">
        <v>2027</v>
      </c>
      <c r="I141" s="65">
        <v>2028</v>
      </c>
      <c r="J141" s="65">
        <v>2029</v>
      </c>
      <c r="K141" s="65">
        <v>2030</v>
      </c>
      <c r="L141" s="65">
        <v>2031</v>
      </c>
      <c r="M141" s="65">
        <v>2032</v>
      </c>
      <c r="N141" s="65">
        <v>2033</v>
      </c>
      <c r="O141" s="65">
        <v>2034</v>
      </c>
      <c r="P141" s="65">
        <v>2035</v>
      </c>
      <c r="Q141" s="65">
        <v>2036</v>
      </c>
      <c r="R141" s="66" t="s">
        <v>13</v>
      </c>
    </row>
    <row r="142" spans="1:33" ht="16" hidden="1" thickBot="1" x14ac:dyDescent="0.4">
      <c r="A142" s="25"/>
      <c r="B142" s="94"/>
      <c r="C142" s="95"/>
      <c r="D142" s="92" t="e">
        <f>#REF!</f>
        <v>#REF!</v>
      </c>
      <c r="E142" s="92" t="e">
        <f>#REF!</f>
        <v>#REF!</v>
      </c>
      <c r="F142" s="92" t="e">
        <f>#REF!</f>
        <v>#REF!</v>
      </c>
      <c r="G142" s="92" t="e">
        <f>#REF!</f>
        <v>#REF!</v>
      </c>
      <c r="H142" s="92" t="e">
        <f>#REF!</f>
        <v>#REF!</v>
      </c>
      <c r="I142" s="92" t="e">
        <f>#REF!</f>
        <v>#REF!</v>
      </c>
      <c r="J142" s="92" t="e">
        <f>#REF!</f>
        <v>#REF!</v>
      </c>
      <c r="K142" s="92" t="e">
        <f>#REF!</f>
        <v>#REF!</v>
      </c>
      <c r="L142" s="92" t="e">
        <f>#REF!</f>
        <v>#REF!</v>
      </c>
      <c r="M142" s="92" t="e">
        <f>#REF!</f>
        <v>#REF!</v>
      </c>
      <c r="N142" s="92" t="e">
        <f>#REF!</f>
        <v>#REF!</v>
      </c>
      <c r="O142" s="92" t="e">
        <f>#REF!</f>
        <v>#REF!</v>
      </c>
      <c r="P142" s="92" t="e">
        <f>#REF!</f>
        <v>#REF!</v>
      </c>
      <c r="Q142" s="92" t="e">
        <f>#REF!</f>
        <v>#REF!</v>
      </c>
      <c r="R142" s="68" t="e">
        <f>RATE(12,,-E142,Q142)</f>
        <v>#REF!</v>
      </c>
      <c r="T142" s="65">
        <v>2023</v>
      </c>
      <c r="U142" s="65">
        <v>2024</v>
      </c>
      <c r="V142" s="65">
        <v>2025</v>
      </c>
      <c r="W142" s="65">
        <v>2026</v>
      </c>
      <c r="X142" s="65">
        <v>2027</v>
      </c>
      <c r="Y142" s="65">
        <v>2028</v>
      </c>
      <c r="Z142" s="65">
        <v>2029</v>
      </c>
      <c r="AA142" s="65">
        <v>2030</v>
      </c>
      <c r="AB142" s="65">
        <v>2031</v>
      </c>
      <c r="AC142" s="65">
        <v>2032</v>
      </c>
      <c r="AD142" s="65">
        <v>2033</v>
      </c>
      <c r="AE142" s="65">
        <v>2034</v>
      </c>
      <c r="AF142" s="65">
        <v>2035</v>
      </c>
      <c r="AG142" s="65">
        <v>2036</v>
      </c>
    </row>
    <row r="143" spans="1:33" ht="15" hidden="1" thickBot="1" x14ac:dyDescent="0.4">
      <c r="A143" s="150" t="s">
        <v>49</v>
      </c>
      <c r="B143" s="52" t="s">
        <v>34</v>
      </c>
      <c r="C143" s="45"/>
      <c r="D143" s="79" t="e">
        <f t="shared" ref="D143" si="139">D142*T143</f>
        <v>#REF!</v>
      </c>
      <c r="E143" s="79" t="e">
        <f t="shared" ref="E143" si="140">E142*U143</f>
        <v>#REF!</v>
      </c>
      <c r="F143" s="79" t="e">
        <f t="shared" ref="F143" si="141">F142*V143</f>
        <v>#REF!</v>
      </c>
      <c r="G143" s="79" t="e">
        <f t="shared" ref="G143" si="142">G142*W143</f>
        <v>#REF!</v>
      </c>
      <c r="H143" s="79" t="e">
        <f t="shared" ref="H143" si="143">H142*X143</f>
        <v>#REF!</v>
      </c>
      <c r="I143" s="79" t="e">
        <f t="shared" ref="I143" si="144">I142*Y143</f>
        <v>#REF!</v>
      </c>
      <c r="J143" s="79" t="e">
        <f t="shared" ref="J143" si="145">J142*Z143</f>
        <v>#REF!</v>
      </c>
      <c r="K143" s="79" t="e">
        <f t="shared" ref="K143" si="146">K142*AA143</f>
        <v>#REF!</v>
      </c>
      <c r="L143" s="79" t="e">
        <f t="shared" ref="L143" si="147">L142*AB143</f>
        <v>#REF!</v>
      </c>
      <c r="M143" s="79" t="e">
        <f t="shared" ref="M143" si="148">M142*AC143</f>
        <v>#REF!</v>
      </c>
      <c r="N143" s="79" t="e">
        <f t="shared" ref="N143" si="149">N142*AD143</f>
        <v>#REF!</v>
      </c>
      <c r="O143" s="79" t="e">
        <f t="shared" ref="O143" si="150">O142*AE143</f>
        <v>#REF!</v>
      </c>
      <c r="P143" s="79" t="e">
        <f t="shared" ref="P143" si="151">P142*AF143</f>
        <v>#REF!</v>
      </c>
      <c r="Q143" s="79" t="e">
        <f t="shared" ref="Q143" si="152">Q142*AG143</f>
        <v>#REF!</v>
      </c>
      <c r="R143" s="77" t="e">
        <f>RATE(12,,-E143,Q143)</f>
        <v>#REF!</v>
      </c>
      <c r="S143" s="52"/>
      <c r="T143" s="12">
        <v>0.56000000000000005</v>
      </c>
      <c r="U143" s="12">
        <v>0.56092161367703952</v>
      </c>
      <c r="V143" s="12">
        <v>0.56184474408938223</v>
      </c>
      <c r="W143" s="12">
        <v>0.56276939373317769</v>
      </c>
      <c r="X143" s="12">
        <v>0.56369556510868446</v>
      </c>
      <c r="Y143" s="12">
        <v>0.56462326072027491</v>
      </c>
      <c r="Z143" s="12">
        <v>0.56555248307644368</v>
      </c>
      <c r="AA143" s="12">
        <v>0.56648323468981299</v>
      </c>
      <c r="AB143" s="12">
        <v>0.56741551807714108</v>
      </c>
      <c r="AC143" s="12">
        <v>0.56834933575932756</v>
      </c>
      <c r="AD143" s="12">
        <v>0.56928469026142059</v>
      </c>
      <c r="AE143" s="12">
        <v>0.57022158411262425</v>
      </c>
      <c r="AF143" s="12">
        <v>0.57116001984630527</v>
      </c>
      <c r="AG143" s="12">
        <v>0.57209999999999905</v>
      </c>
    </row>
    <row r="144" spans="1:33" ht="15" hidden="1" thickBot="1" x14ac:dyDescent="0.4">
      <c r="A144" s="151"/>
      <c r="B144" s="53" t="s">
        <v>35</v>
      </c>
      <c r="C144" s="46"/>
      <c r="D144" s="80" t="e">
        <f t="shared" ref="D144" si="153">D142*T144</f>
        <v>#REF!</v>
      </c>
      <c r="E144" s="80" t="e">
        <f t="shared" ref="E144" si="154">E142*U144</f>
        <v>#REF!</v>
      </c>
      <c r="F144" s="80" t="e">
        <f t="shared" ref="F144" si="155">F142*V144</f>
        <v>#REF!</v>
      </c>
      <c r="G144" s="80" t="e">
        <f t="shared" ref="G144" si="156">G142*W144</f>
        <v>#REF!</v>
      </c>
      <c r="H144" s="80" t="e">
        <f t="shared" ref="H144" si="157">H142*X144</f>
        <v>#REF!</v>
      </c>
      <c r="I144" s="80" t="e">
        <f t="shared" ref="I144" si="158">I142*Y144</f>
        <v>#REF!</v>
      </c>
      <c r="J144" s="80" t="e">
        <f t="shared" ref="J144" si="159">J142*Z144</f>
        <v>#REF!</v>
      </c>
      <c r="K144" s="80" t="e">
        <f t="shared" ref="K144" si="160">K142*AA144</f>
        <v>#REF!</v>
      </c>
      <c r="L144" s="80" t="e">
        <f t="shared" ref="L144" si="161">L142*AB144</f>
        <v>#REF!</v>
      </c>
      <c r="M144" s="80" t="e">
        <f t="shared" ref="M144" si="162">M142*AC144</f>
        <v>#REF!</v>
      </c>
      <c r="N144" s="80" t="e">
        <f t="shared" ref="N144" si="163">N142*AD144</f>
        <v>#REF!</v>
      </c>
      <c r="O144" s="80" t="e">
        <f t="shared" ref="O144" si="164">O142*AE144</f>
        <v>#REF!</v>
      </c>
      <c r="P144" s="80" t="e">
        <f t="shared" ref="P144" si="165">P142*AF144</f>
        <v>#REF!</v>
      </c>
      <c r="Q144" s="80" t="e">
        <f t="shared" ref="Q144" si="166">Q142*AG144</f>
        <v>#REF!</v>
      </c>
      <c r="R144" s="78" t="e">
        <f>RATE(12,,-E144,Q144)</f>
        <v>#REF!</v>
      </c>
      <c r="S144" s="53"/>
      <c r="T144" s="12">
        <f>1-T143</f>
        <v>0.43999999999999995</v>
      </c>
      <c r="U144" s="12">
        <f t="shared" ref="U144:AG144" si="167">1-U143</f>
        <v>0.43907838632296048</v>
      </c>
      <c r="V144" s="12">
        <f t="shared" si="167"/>
        <v>0.43815525591061777</v>
      </c>
      <c r="W144" s="12">
        <f t="shared" si="167"/>
        <v>0.43723060626682231</v>
      </c>
      <c r="X144" s="12">
        <f t="shared" si="167"/>
        <v>0.43630443489131554</v>
      </c>
      <c r="Y144" s="12">
        <f t="shared" si="167"/>
        <v>0.43537673927972509</v>
      </c>
      <c r="Z144" s="12">
        <f t="shared" si="167"/>
        <v>0.43444751692355632</v>
      </c>
      <c r="AA144" s="12">
        <f t="shared" si="167"/>
        <v>0.43351676531018701</v>
      </c>
      <c r="AB144" s="12">
        <f t="shared" si="167"/>
        <v>0.43258448192285892</v>
      </c>
      <c r="AC144" s="12">
        <f t="shared" si="167"/>
        <v>0.43165066424067244</v>
      </c>
      <c r="AD144" s="12">
        <f t="shared" si="167"/>
        <v>0.43071530973857941</v>
      </c>
      <c r="AE144" s="12">
        <f t="shared" si="167"/>
        <v>0.42977841588737575</v>
      </c>
      <c r="AF144" s="12">
        <f t="shared" si="167"/>
        <v>0.42883998015369473</v>
      </c>
      <c r="AG144" s="12">
        <f t="shared" si="167"/>
        <v>0.42790000000000095</v>
      </c>
    </row>
    <row r="145" spans="1:33" ht="15" hidden="1" thickBot="1" x14ac:dyDescent="0.4">
      <c r="A145" s="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21"/>
    </row>
    <row r="146" spans="1:33" ht="15" hidden="1" thickBot="1" x14ac:dyDescent="0.4">
      <c r="A146" s="150" t="s">
        <v>15</v>
      </c>
      <c r="B146" s="57" t="s">
        <v>16</v>
      </c>
      <c r="C146" s="47"/>
      <c r="D146" s="82" t="e">
        <f t="shared" ref="D146" si="168">D142*T146</f>
        <v>#REF!</v>
      </c>
      <c r="E146" s="82" t="e">
        <f t="shared" ref="E146" si="169">E142*U146</f>
        <v>#REF!</v>
      </c>
      <c r="F146" s="82" t="e">
        <f t="shared" ref="F146" si="170">F142*V146</f>
        <v>#REF!</v>
      </c>
      <c r="G146" s="82" t="e">
        <f t="shared" ref="G146" si="171">G142*W146</f>
        <v>#REF!</v>
      </c>
      <c r="H146" s="82" t="e">
        <f t="shared" ref="H146" si="172">H142*X146</f>
        <v>#REF!</v>
      </c>
      <c r="I146" s="82" t="e">
        <f t="shared" ref="I146" si="173">I142*Y146</f>
        <v>#REF!</v>
      </c>
      <c r="J146" s="82" t="e">
        <f t="shared" ref="J146" si="174">J142*Z146</f>
        <v>#REF!</v>
      </c>
      <c r="K146" s="82" t="e">
        <f t="shared" ref="K146" si="175">K142*AA146</f>
        <v>#REF!</v>
      </c>
      <c r="L146" s="82" t="e">
        <f t="shared" ref="L146" si="176">L142*AB146</f>
        <v>#REF!</v>
      </c>
      <c r="M146" s="82" t="e">
        <f t="shared" ref="M146" si="177">M142*AC146</f>
        <v>#REF!</v>
      </c>
      <c r="N146" s="82" t="e">
        <f t="shared" ref="N146" si="178">N142*AD146</f>
        <v>#REF!</v>
      </c>
      <c r="O146" s="82" t="e">
        <f t="shared" ref="O146" si="179">O142*AE146</f>
        <v>#REF!</v>
      </c>
      <c r="P146" s="82" t="e">
        <f t="shared" ref="P146" si="180">P142*AF146</f>
        <v>#REF!</v>
      </c>
      <c r="Q146" s="82" t="e">
        <f t="shared" ref="Q146" si="181">Q142*AG146</f>
        <v>#REF!</v>
      </c>
      <c r="R146" s="69" t="e">
        <f>RATE(12,,-E146,Q146)</f>
        <v>#REF!</v>
      </c>
      <c r="S146" s="57"/>
      <c r="T146" s="12">
        <v>0.47099999999999992</v>
      </c>
      <c r="U146" s="12">
        <v>0.47038461538461535</v>
      </c>
      <c r="V146" s="12">
        <v>0.46976923076923072</v>
      </c>
      <c r="W146" s="12">
        <v>0.46915384615384609</v>
      </c>
      <c r="X146" s="12">
        <v>0.46853846153846151</v>
      </c>
      <c r="Y146" s="12">
        <v>0.46792307692307689</v>
      </c>
      <c r="Z146" s="12">
        <v>0.46730769230769226</v>
      </c>
      <c r="AA146" s="12">
        <v>0.46669230769230763</v>
      </c>
      <c r="AB146" s="12">
        <v>0.46607692307692306</v>
      </c>
      <c r="AC146" s="12">
        <v>0.46546153846153843</v>
      </c>
      <c r="AD146" s="12">
        <v>0.4648461538461538</v>
      </c>
      <c r="AE146" s="12">
        <v>0.46423076923076922</v>
      </c>
      <c r="AF146" s="12">
        <v>0.4636153846153846</v>
      </c>
      <c r="AG146" s="12">
        <v>0.46299999999999997</v>
      </c>
    </row>
    <row r="147" spans="1:33" ht="15" hidden="1" thickBot="1" x14ac:dyDescent="0.4">
      <c r="A147" s="151"/>
      <c r="B147" s="58" t="s">
        <v>17</v>
      </c>
      <c r="C147" s="48"/>
      <c r="D147" s="83" t="e">
        <f t="shared" ref="D147" si="182">D142*T147</f>
        <v>#REF!</v>
      </c>
      <c r="E147" s="83" t="e">
        <f t="shared" ref="E147" si="183">E142*U147</f>
        <v>#REF!</v>
      </c>
      <c r="F147" s="83" t="e">
        <f t="shared" ref="F147" si="184">F142*V147</f>
        <v>#REF!</v>
      </c>
      <c r="G147" s="83" t="e">
        <f t="shared" ref="G147" si="185">G142*W147</f>
        <v>#REF!</v>
      </c>
      <c r="H147" s="83" t="e">
        <f t="shared" ref="H147" si="186">H142*X147</f>
        <v>#REF!</v>
      </c>
      <c r="I147" s="83" t="e">
        <f t="shared" ref="I147" si="187">I142*Y147</f>
        <v>#REF!</v>
      </c>
      <c r="J147" s="83" t="e">
        <f t="shared" ref="J147" si="188">J142*Z147</f>
        <v>#REF!</v>
      </c>
      <c r="K147" s="83" t="e">
        <f t="shared" ref="K147" si="189">K142*AA147</f>
        <v>#REF!</v>
      </c>
      <c r="L147" s="83" t="e">
        <f t="shared" ref="L147" si="190">L142*AB147</f>
        <v>#REF!</v>
      </c>
      <c r="M147" s="83" t="e">
        <f t="shared" ref="M147" si="191">M142*AC147</f>
        <v>#REF!</v>
      </c>
      <c r="N147" s="83" t="e">
        <f t="shared" ref="N147" si="192">N142*AD147</f>
        <v>#REF!</v>
      </c>
      <c r="O147" s="83" t="e">
        <f t="shared" ref="O147" si="193">O142*AE147</f>
        <v>#REF!</v>
      </c>
      <c r="P147" s="83" t="e">
        <f t="shared" ref="P147" si="194">P142*AF147</f>
        <v>#REF!</v>
      </c>
      <c r="Q147" s="83" t="e">
        <f t="shared" ref="Q147" si="195">Q142*AG147</f>
        <v>#REF!</v>
      </c>
      <c r="R147" s="70" t="e">
        <f>RATE(12,,-E147,Q147)</f>
        <v>#REF!</v>
      </c>
      <c r="S147" s="58"/>
      <c r="T147" s="12">
        <f>1-T146</f>
        <v>0.52900000000000014</v>
      </c>
      <c r="U147" s="12">
        <f t="shared" ref="U147:AG147" si="196">1-U146</f>
        <v>0.5296153846153846</v>
      </c>
      <c r="V147" s="12">
        <f t="shared" si="196"/>
        <v>0.53023076923076928</v>
      </c>
      <c r="W147" s="12">
        <f t="shared" si="196"/>
        <v>0.53084615384615397</v>
      </c>
      <c r="X147" s="12">
        <f t="shared" si="196"/>
        <v>0.53146153846153843</v>
      </c>
      <c r="Y147" s="12">
        <f t="shared" si="196"/>
        <v>0.53207692307692311</v>
      </c>
      <c r="Z147" s="12">
        <f t="shared" si="196"/>
        <v>0.5326923076923078</v>
      </c>
      <c r="AA147" s="12">
        <f t="shared" si="196"/>
        <v>0.53330769230769237</v>
      </c>
      <c r="AB147" s="12">
        <f t="shared" si="196"/>
        <v>0.53392307692307694</v>
      </c>
      <c r="AC147" s="12">
        <f t="shared" si="196"/>
        <v>0.53453846153846163</v>
      </c>
      <c r="AD147" s="12">
        <f t="shared" si="196"/>
        <v>0.5351538461538462</v>
      </c>
      <c r="AE147" s="12">
        <f t="shared" si="196"/>
        <v>0.53576923076923078</v>
      </c>
      <c r="AF147" s="12">
        <f t="shared" si="196"/>
        <v>0.53638461538461546</v>
      </c>
      <c r="AG147" s="12">
        <f t="shared" si="196"/>
        <v>0.53700000000000003</v>
      </c>
    </row>
    <row r="148" spans="1:33" ht="15" hidden="1" thickBot="1" x14ac:dyDescent="0.4">
      <c r="A148" s="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21"/>
    </row>
    <row r="149" spans="1:33" ht="15" hidden="1" thickBot="1" x14ac:dyDescent="0.4">
      <c r="A149" s="150" t="s">
        <v>18</v>
      </c>
      <c r="B149" s="54" t="s">
        <v>19</v>
      </c>
      <c r="C149" s="49"/>
      <c r="D149" s="84" t="e">
        <f t="shared" ref="D149" si="197">D142*T149</f>
        <v>#REF!</v>
      </c>
      <c r="E149" s="84" t="e">
        <f t="shared" ref="E149" si="198">E142*U149</f>
        <v>#REF!</v>
      </c>
      <c r="F149" s="84" t="e">
        <f t="shared" ref="F149" si="199">F142*V149</f>
        <v>#REF!</v>
      </c>
      <c r="G149" s="84" t="e">
        <f t="shared" ref="G149" si="200">G142*W149</f>
        <v>#REF!</v>
      </c>
      <c r="H149" s="84" t="e">
        <f t="shared" ref="H149" si="201">H142*X149</f>
        <v>#REF!</v>
      </c>
      <c r="I149" s="84" t="e">
        <f t="shared" ref="I149" si="202">I142*Y149</f>
        <v>#REF!</v>
      </c>
      <c r="J149" s="84" t="e">
        <f t="shared" ref="J149" si="203">J142*Z149</f>
        <v>#REF!</v>
      </c>
      <c r="K149" s="84" t="e">
        <f t="shared" ref="K149" si="204">K142*AA149</f>
        <v>#REF!</v>
      </c>
      <c r="L149" s="84" t="e">
        <f t="shared" ref="L149" si="205">L142*AB149</f>
        <v>#REF!</v>
      </c>
      <c r="M149" s="84" t="e">
        <f t="shared" ref="M149" si="206">M142*AC149</f>
        <v>#REF!</v>
      </c>
      <c r="N149" s="84" t="e">
        <f t="shared" ref="N149" si="207">N142*AD149</f>
        <v>#REF!</v>
      </c>
      <c r="O149" s="84" t="e">
        <f t="shared" ref="O149" si="208">O142*AE149</f>
        <v>#REF!</v>
      </c>
      <c r="P149" s="84" t="e">
        <f t="shared" ref="P149" si="209">P142*AF149</f>
        <v>#REF!</v>
      </c>
      <c r="Q149" s="84" t="e">
        <f t="shared" ref="Q149" si="210">Q142*AG149</f>
        <v>#REF!</v>
      </c>
      <c r="R149" s="71" t="e">
        <f>RATE(12,,-E149,Q149)</f>
        <v>#REF!</v>
      </c>
      <c r="S149" s="54"/>
      <c r="T149" s="12">
        <v>0.40099999999999997</v>
      </c>
      <c r="U149" s="12">
        <v>0.40265090533119946</v>
      </c>
      <c r="V149" s="12">
        <v>0.40430860739160734</v>
      </c>
      <c r="W149" s="12">
        <v>0.40597313416316017</v>
      </c>
      <c r="X149" s="12">
        <v>0.40764451374299493</v>
      </c>
      <c r="Y149" s="12">
        <v>0.40932277434392395</v>
      </c>
      <c r="Z149" s="12">
        <v>0.41100794429491083</v>
      </c>
      <c r="AA149" s="12">
        <v>0.4127000520415488</v>
      </c>
      <c r="AB149" s="12">
        <v>0.41439912614654062</v>
      </c>
      <c r="AC149" s="12">
        <v>0.41610519529018092</v>
      </c>
      <c r="AD149" s="12">
        <v>0.41781828827084017</v>
      </c>
      <c r="AE149" s="12">
        <v>0.4195384340054511</v>
      </c>
      <c r="AF149" s="12">
        <v>0.4212656615299965</v>
      </c>
      <c r="AG149" s="12">
        <v>0.42299999999999938</v>
      </c>
    </row>
    <row r="150" spans="1:33" ht="15" hidden="1" thickBot="1" x14ac:dyDescent="0.4">
      <c r="A150" s="151"/>
      <c r="B150" s="56" t="s">
        <v>20</v>
      </c>
      <c r="C150" s="44"/>
      <c r="D150" s="85" t="e">
        <f t="shared" ref="D150" si="211">D142*T150</f>
        <v>#REF!</v>
      </c>
      <c r="E150" s="85" t="e">
        <f t="shared" ref="E150" si="212">E142*U150</f>
        <v>#REF!</v>
      </c>
      <c r="F150" s="85" t="e">
        <f t="shared" ref="F150" si="213">F142*V150</f>
        <v>#REF!</v>
      </c>
      <c r="G150" s="85" t="e">
        <f t="shared" ref="G150" si="214">G142*W150</f>
        <v>#REF!</v>
      </c>
      <c r="H150" s="85" t="e">
        <f t="shared" ref="H150" si="215">H142*X150</f>
        <v>#REF!</v>
      </c>
      <c r="I150" s="85" t="e">
        <f t="shared" ref="I150" si="216">I142*Y150</f>
        <v>#REF!</v>
      </c>
      <c r="J150" s="85" t="e">
        <f t="shared" ref="J150" si="217">J142*Z150</f>
        <v>#REF!</v>
      </c>
      <c r="K150" s="85" t="e">
        <f t="shared" ref="K150" si="218">K142*AA150</f>
        <v>#REF!</v>
      </c>
      <c r="L150" s="85" t="e">
        <f t="shared" ref="L150" si="219">L142*AB150</f>
        <v>#REF!</v>
      </c>
      <c r="M150" s="85" t="e">
        <f t="shared" ref="M150" si="220">M142*AC150</f>
        <v>#REF!</v>
      </c>
      <c r="N150" s="85" t="e">
        <f t="shared" ref="N150" si="221">N142*AD150</f>
        <v>#REF!</v>
      </c>
      <c r="O150" s="85" t="e">
        <f t="shared" ref="O150" si="222">O142*AE150</f>
        <v>#REF!</v>
      </c>
      <c r="P150" s="85" t="e">
        <f t="shared" ref="P150" si="223">P142*AF150</f>
        <v>#REF!</v>
      </c>
      <c r="Q150" s="85" t="e">
        <f t="shared" ref="Q150" si="224">Q142*AG150</f>
        <v>#REF!</v>
      </c>
      <c r="R150" s="72" t="e">
        <f>RATE(12,,-E150,Q150)</f>
        <v>#REF!</v>
      </c>
      <c r="S150" s="56"/>
      <c r="T150" s="12">
        <f>1-T149</f>
        <v>0.59899999999999998</v>
      </c>
      <c r="U150" s="12">
        <f t="shared" ref="U150:AG150" si="225">1-U149</f>
        <v>0.59734909466880048</v>
      </c>
      <c r="V150" s="12">
        <f t="shared" si="225"/>
        <v>0.59569139260839266</v>
      </c>
      <c r="W150" s="12">
        <f t="shared" si="225"/>
        <v>0.59402686583683983</v>
      </c>
      <c r="X150" s="12">
        <f t="shared" si="225"/>
        <v>0.59235548625700507</v>
      </c>
      <c r="Y150" s="12">
        <f t="shared" si="225"/>
        <v>0.59067722565607605</v>
      </c>
      <c r="Z150" s="12">
        <f t="shared" si="225"/>
        <v>0.58899205570508917</v>
      </c>
      <c r="AA150" s="12">
        <f t="shared" si="225"/>
        <v>0.5872999479584512</v>
      </c>
      <c r="AB150" s="12">
        <f t="shared" si="225"/>
        <v>0.58560087385345938</v>
      </c>
      <c r="AC150" s="12">
        <f t="shared" si="225"/>
        <v>0.58389480470981914</v>
      </c>
      <c r="AD150" s="12">
        <f t="shared" si="225"/>
        <v>0.58218171172915989</v>
      </c>
      <c r="AE150" s="12">
        <f t="shared" si="225"/>
        <v>0.5804615659945489</v>
      </c>
      <c r="AF150" s="12">
        <f t="shared" si="225"/>
        <v>0.57873433847000344</v>
      </c>
      <c r="AG150" s="12">
        <f t="shared" si="225"/>
        <v>0.57700000000000062</v>
      </c>
    </row>
    <row r="151" spans="1:33" ht="15" hidden="1" thickBot="1" x14ac:dyDescent="0.4">
      <c r="A151" s="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21"/>
    </row>
    <row r="152" spans="1:33" ht="15" hidden="1" thickBot="1" x14ac:dyDescent="0.4">
      <c r="A152" s="150" t="s">
        <v>14</v>
      </c>
      <c r="B152" s="59" t="s">
        <v>21</v>
      </c>
      <c r="C152" s="50"/>
      <c r="D152" s="86" t="e">
        <f t="shared" ref="D152" si="226">D142*T152</f>
        <v>#REF!</v>
      </c>
      <c r="E152" s="86" t="e">
        <f t="shared" ref="E152" si="227">E142*U152</f>
        <v>#REF!</v>
      </c>
      <c r="F152" s="86" t="e">
        <f t="shared" ref="F152" si="228">F142*V152</f>
        <v>#REF!</v>
      </c>
      <c r="G152" s="86" t="e">
        <f t="shared" ref="G152" si="229">G142*W152</f>
        <v>#REF!</v>
      </c>
      <c r="H152" s="86" t="e">
        <f t="shared" ref="H152" si="230">H142*X152</f>
        <v>#REF!</v>
      </c>
      <c r="I152" s="86" t="e">
        <f t="shared" ref="I152" si="231">I142*Y152</f>
        <v>#REF!</v>
      </c>
      <c r="J152" s="86" t="e">
        <f t="shared" ref="J152" si="232">J142*Z152</f>
        <v>#REF!</v>
      </c>
      <c r="K152" s="86" t="e">
        <f t="shared" ref="K152" si="233">K142*AA152</f>
        <v>#REF!</v>
      </c>
      <c r="L152" s="86" t="e">
        <f t="shared" ref="L152" si="234">L142*AB152</f>
        <v>#REF!</v>
      </c>
      <c r="M152" s="86" t="e">
        <f t="shared" ref="M152" si="235">M142*AC152</f>
        <v>#REF!</v>
      </c>
      <c r="N152" s="86" t="e">
        <f t="shared" ref="N152" si="236">N142*AD152</f>
        <v>#REF!</v>
      </c>
      <c r="O152" s="86" t="e">
        <f t="shared" ref="O152" si="237">O142*AE152</f>
        <v>#REF!</v>
      </c>
      <c r="P152" s="86" t="e">
        <f t="shared" ref="P152" si="238">P142*AF152</f>
        <v>#REF!</v>
      </c>
      <c r="Q152" s="86" t="e">
        <f t="shared" ref="Q152" si="239">Q142*AG152</f>
        <v>#REF!</v>
      </c>
      <c r="R152" s="73" t="e">
        <f t="shared" ref="R152:R157" si="240">RATE(12,,-E152,Q152)</f>
        <v>#REF!</v>
      </c>
      <c r="S152" s="59"/>
      <c r="T152" s="12">
        <v>0.25</v>
      </c>
      <c r="U152" s="12">
        <v>0.25155593539307364</v>
      </c>
      <c r="V152" s="12">
        <v>0.25312155452593693</v>
      </c>
      <c r="W152" s="12">
        <v>0.25469691766768382</v>
      </c>
      <c r="X152" s="12">
        <v>0.25628208546250747</v>
      </c>
      <c r="Y152" s="12">
        <v>0.2578771189320348</v>
      </c>
      <c r="Z152" s="12">
        <v>0.25948207947767565</v>
      </c>
      <c r="AA152" s="12">
        <v>0.2610970288829863</v>
      </c>
      <c r="AB152" s="12">
        <v>0.26272202931604799</v>
      </c>
      <c r="AC152" s="12">
        <v>0.26435714333185978</v>
      </c>
      <c r="AD152" s="12">
        <v>0.26600243387474731</v>
      </c>
      <c r="AE152" s="12">
        <v>0.26765796428078514</v>
      </c>
      <c r="AF152" s="12">
        <v>0.26932379828023517</v>
      </c>
      <c r="AG152" s="12">
        <v>0.27100000000000013</v>
      </c>
    </row>
    <row r="153" spans="1:33" ht="15" hidden="1" thickBot="1" x14ac:dyDescent="0.4">
      <c r="A153" s="155"/>
      <c r="B153" s="60" t="s">
        <v>22</v>
      </c>
      <c r="C153" s="41"/>
      <c r="D153" s="87" t="e">
        <f t="shared" ref="D153" si="241">D142*T153</f>
        <v>#REF!</v>
      </c>
      <c r="E153" s="87" t="e">
        <f t="shared" ref="E153" si="242">E142*U153</f>
        <v>#REF!</v>
      </c>
      <c r="F153" s="87" t="e">
        <f t="shared" ref="F153" si="243">F142*V153</f>
        <v>#REF!</v>
      </c>
      <c r="G153" s="87" t="e">
        <f t="shared" ref="G153" si="244">G142*W153</f>
        <v>#REF!</v>
      </c>
      <c r="H153" s="87" t="e">
        <f t="shared" ref="H153" si="245">H142*X153</f>
        <v>#REF!</v>
      </c>
      <c r="I153" s="87" t="e">
        <f t="shared" ref="I153" si="246">I142*Y153</f>
        <v>#REF!</v>
      </c>
      <c r="J153" s="87" t="e">
        <f t="shared" ref="J153" si="247">J142*Z153</f>
        <v>#REF!</v>
      </c>
      <c r="K153" s="87" t="e">
        <f t="shared" ref="K153" si="248">K142*AA153</f>
        <v>#REF!</v>
      </c>
      <c r="L153" s="87" t="e">
        <f t="shared" ref="L153" si="249">L142*AB153</f>
        <v>#REF!</v>
      </c>
      <c r="M153" s="87" t="e">
        <f t="shared" ref="M153" si="250">M142*AC153</f>
        <v>#REF!</v>
      </c>
      <c r="N153" s="87" t="e">
        <f t="shared" ref="N153" si="251">N142*AD153</f>
        <v>#REF!</v>
      </c>
      <c r="O153" s="87" t="e">
        <f t="shared" ref="O153" si="252">O142*AE153</f>
        <v>#REF!</v>
      </c>
      <c r="P153" s="87" t="e">
        <f t="shared" ref="P153" si="253">P142*AF153</f>
        <v>#REF!</v>
      </c>
      <c r="Q153" s="87" t="e">
        <f t="shared" ref="Q153" si="254">Q142*AG153</f>
        <v>#REF!</v>
      </c>
      <c r="R153" s="74" t="e">
        <f t="shared" si="240"/>
        <v>#REF!</v>
      </c>
      <c r="S153" s="60"/>
      <c r="T153" s="12">
        <v>0.38</v>
      </c>
      <c r="U153" s="12">
        <v>0.38090988938047371</v>
      </c>
      <c r="V153" s="12">
        <v>0.38182195744169661</v>
      </c>
      <c r="W153" s="12">
        <v>0.38273620940040159</v>
      </c>
      <c r="X153" s="12">
        <v>0.38365265048581265</v>
      </c>
      <c r="Y153" s="12">
        <v>0.38457128593967477</v>
      </c>
      <c r="Z153" s="12">
        <v>0.38549212101628438</v>
      </c>
      <c r="AA153" s="12">
        <v>0.38641516098251855</v>
      </c>
      <c r="AB153" s="12">
        <v>0.38734041111786593</v>
      </c>
      <c r="AC153" s="12">
        <v>0.38826787671445667</v>
      </c>
      <c r="AD153" s="12">
        <v>0.38919756307709236</v>
      </c>
      <c r="AE153" s="12">
        <v>0.39012947552327681</v>
      </c>
      <c r="AF153" s="12">
        <v>0.3910636193832463</v>
      </c>
      <c r="AG153" s="12">
        <v>0.39200000000000002</v>
      </c>
    </row>
    <row r="154" spans="1:33" ht="15" hidden="1" thickBot="1" x14ac:dyDescent="0.4">
      <c r="A154" s="155"/>
      <c r="B154" s="61" t="s">
        <v>23</v>
      </c>
      <c r="C154" s="41"/>
      <c r="D154" s="88" t="e">
        <f t="shared" ref="D154" si="255">D153*T154</f>
        <v>#REF!</v>
      </c>
      <c r="E154" s="88" t="e">
        <f t="shared" ref="E154" si="256">E153*U154</f>
        <v>#REF!</v>
      </c>
      <c r="F154" s="88" t="e">
        <f t="shared" ref="F154" si="257">F153*V154</f>
        <v>#REF!</v>
      </c>
      <c r="G154" s="88" t="e">
        <f t="shared" ref="G154" si="258">G153*W154</f>
        <v>#REF!</v>
      </c>
      <c r="H154" s="88" t="e">
        <f t="shared" ref="H154" si="259">H153*X154</f>
        <v>#REF!</v>
      </c>
      <c r="I154" s="88" t="e">
        <f t="shared" ref="I154" si="260">I153*Y154</f>
        <v>#REF!</v>
      </c>
      <c r="J154" s="88" t="e">
        <f t="shared" ref="J154" si="261">J153*Z154</f>
        <v>#REF!</v>
      </c>
      <c r="K154" s="88" t="e">
        <f t="shared" ref="K154" si="262">K153*AA154</f>
        <v>#REF!</v>
      </c>
      <c r="L154" s="88" t="e">
        <f t="shared" ref="L154" si="263">L153*AB154</f>
        <v>#REF!</v>
      </c>
      <c r="M154" s="88" t="e">
        <f t="shared" ref="M154" si="264">M153*AC154</f>
        <v>#REF!</v>
      </c>
      <c r="N154" s="88" t="e">
        <f t="shared" ref="N154" si="265">N153*AD154</f>
        <v>#REF!</v>
      </c>
      <c r="O154" s="88" t="e">
        <f t="shared" ref="O154" si="266">O153*AE154</f>
        <v>#REF!</v>
      </c>
      <c r="P154" s="88" t="e">
        <f t="shared" ref="P154" si="267">P153*AF154</f>
        <v>#REF!</v>
      </c>
      <c r="Q154" s="88" t="e">
        <f t="shared" ref="Q154" si="268">Q153*AG154</f>
        <v>#REF!</v>
      </c>
      <c r="R154" s="74" t="e">
        <f t="shared" si="240"/>
        <v>#REF!</v>
      </c>
      <c r="S154" s="61"/>
      <c r="T154" s="67">
        <v>0.34999999999999987</v>
      </c>
      <c r="U154" s="67">
        <v>0.34938588387166564</v>
      </c>
      <c r="V154" s="67">
        <v>0.34877284528224306</v>
      </c>
      <c r="W154" s="67">
        <v>0.34816088234106346</v>
      </c>
      <c r="X154" s="67">
        <v>0.34754999316077562</v>
      </c>
      <c r="Y154" s="67">
        <v>0.34694017585733994</v>
      </c>
      <c r="Z154" s="67">
        <v>0.34633142855002247</v>
      </c>
      <c r="AA154" s="67">
        <v>0.34572374936138933</v>
      </c>
      <c r="AB154" s="67">
        <v>0.34511713641730069</v>
      </c>
      <c r="AC154" s="67">
        <v>0.34451158784690528</v>
      </c>
      <c r="AD154" s="67">
        <v>0.34390710178263434</v>
      </c>
      <c r="AE154" s="67">
        <v>0.34330367636019604</v>
      </c>
      <c r="AF154" s="67">
        <v>0.34270130971856966</v>
      </c>
      <c r="AG154" s="67">
        <v>0.34209999999999979</v>
      </c>
    </row>
    <row r="155" spans="1:33" ht="15" hidden="1" thickBot="1" x14ac:dyDescent="0.4">
      <c r="A155" s="155"/>
      <c r="B155" s="61" t="s">
        <v>24</v>
      </c>
      <c r="C155" s="41"/>
      <c r="D155" s="88" t="e">
        <f t="shared" ref="D155" si="269">D153*T155</f>
        <v>#REF!</v>
      </c>
      <c r="E155" s="88" t="e">
        <f t="shared" ref="E155" si="270">E153*U155</f>
        <v>#REF!</v>
      </c>
      <c r="F155" s="88" t="e">
        <f t="shared" ref="F155" si="271">F153*V155</f>
        <v>#REF!</v>
      </c>
      <c r="G155" s="88" t="e">
        <f t="shared" ref="G155" si="272">G153*W155</f>
        <v>#REF!</v>
      </c>
      <c r="H155" s="88" t="e">
        <f t="shared" ref="H155" si="273">H153*X155</f>
        <v>#REF!</v>
      </c>
      <c r="I155" s="88" t="e">
        <f t="shared" ref="I155" si="274">I153*Y155</f>
        <v>#REF!</v>
      </c>
      <c r="J155" s="88" t="e">
        <f t="shared" ref="J155" si="275">J153*Z155</f>
        <v>#REF!</v>
      </c>
      <c r="K155" s="88" t="e">
        <f t="shared" ref="K155" si="276">K153*AA155</f>
        <v>#REF!</v>
      </c>
      <c r="L155" s="88" t="e">
        <f t="shared" ref="L155" si="277">L153*AB155</f>
        <v>#REF!</v>
      </c>
      <c r="M155" s="88" t="e">
        <f t="shared" ref="M155" si="278">M153*AC155</f>
        <v>#REF!</v>
      </c>
      <c r="N155" s="88" t="e">
        <f t="shared" ref="N155" si="279">N153*AD155</f>
        <v>#REF!</v>
      </c>
      <c r="O155" s="88" t="e">
        <f t="shared" ref="O155" si="280">O153*AE155</f>
        <v>#REF!</v>
      </c>
      <c r="P155" s="88" t="e">
        <f t="shared" ref="P155" si="281">P153*AF155</f>
        <v>#REF!</v>
      </c>
      <c r="Q155" s="88" t="e">
        <f t="shared" ref="Q155" si="282">Q153*AG155</f>
        <v>#REF!</v>
      </c>
      <c r="R155" s="74" t="e">
        <f t="shared" si="240"/>
        <v>#REF!</v>
      </c>
      <c r="S155" s="61"/>
      <c r="T155" s="67">
        <v>0.28000000000000003</v>
      </c>
      <c r="U155" s="67">
        <v>0.28097918830490543</v>
      </c>
      <c r="V155" s="67">
        <v>0.28196180093029821</v>
      </c>
      <c r="W155" s="67">
        <v>0.28294784985137333</v>
      </c>
      <c r="X155" s="67">
        <v>0.28393734708520407</v>
      </c>
      <c r="Y155" s="67">
        <v>0.28493030469088876</v>
      </c>
      <c r="Z155" s="67">
        <v>0.28592673476969749</v>
      </c>
      <c r="AA155" s="67">
        <v>0.28692664946521995</v>
      </c>
      <c r="AB155" s="67">
        <v>0.28793006096351298</v>
      </c>
      <c r="AC155" s="67">
        <v>0.28893698149324931</v>
      </c>
      <c r="AD155" s="67">
        <v>0.28994742332586665</v>
      </c>
      <c r="AE155" s="67">
        <v>0.29096139877571725</v>
      </c>
      <c r="AF155" s="67">
        <v>0.29197892020021765</v>
      </c>
      <c r="AG155" s="67">
        <v>0.29299999999999965</v>
      </c>
    </row>
    <row r="156" spans="1:33" ht="15" hidden="1" thickBot="1" x14ac:dyDescent="0.4">
      <c r="A156" s="155"/>
      <c r="B156" s="61" t="s">
        <v>25</v>
      </c>
      <c r="C156" s="41"/>
      <c r="D156" s="88" t="e">
        <f t="shared" ref="D156" si="283">D153*T156</f>
        <v>#REF!</v>
      </c>
      <c r="E156" s="88" t="e">
        <f t="shared" ref="E156" si="284">E153*U156</f>
        <v>#REF!</v>
      </c>
      <c r="F156" s="88" t="e">
        <f t="shared" ref="F156" si="285">F153*V156</f>
        <v>#REF!</v>
      </c>
      <c r="G156" s="88" t="e">
        <f t="shared" ref="G156" si="286">G153*W156</f>
        <v>#REF!</v>
      </c>
      <c r="H156" s="88" t="e">
        <f t="shared" ref="H156" si="287">H153*X156</f>
        <v>#REF!</v>
      </c>
      <c r="I156" s="88" t="e">
        <f t="shared" ref="I156" si="288">I153*Y156</f>
        <v>#REF!</v>
      </c>
      <c r="J156" s="88" t="e">
        <f t="shared" ref="J156" si="289">J153*Z156</f>
        <v>#REF!</v>
      </c>
      <c r="K156" s="88" t="e">
        <f t="shared" ref="K156" si="290">K153*AA156</f>
        <v>#REF!</v>
      </c>
      <c r="L156" s="88" t="e">
        <f t="shared" ref="L156" si="291">L153*AB156</f>
        <v>#REF!</v>
      </c>
      <c r="M156" s="88" t="e">
        <f t="shared" ref="M156" si="292">M153*AC156</f>
        <v>#REF!</v>
      </c>
      <c r="N156" s="88" t="e">
        <f t="shared" ref="N156" si="293">N153*AD156</f>
        <v>#REF!</v>
      </c>
      <c r="O156" s="88" t="e">
        <f t="shared" ref="O156" si="294">O153*AE156</f>
        <v>#REF!</v>
      </c>
      <c r="P156" s="88" t="e">
        <f t="shared" ref="P156" si="295">P153*AF156</f>
        <v>#REF!</v>
      </c>
      <c r="Q156" s="88" t="e">
        <f t="shared" ref="Q156" si="296">Q153*AG156</f>
        <v>#REF!</v>
      </c>
      <c r="R156" s="74" t="e">
        <f t="shared" si="240"/>
        <v>#REF!</v>
      </c>
      <c r="S156" s="61"/>
      <c r="T156" s="67">
        <f>1-SUM(T154:T155)</f>
        <v>0.37000000000000011</v>
      </c>
      <c r="U156" s="67">
        <f t="shared" ref="U156:AG156" si="297">1-SUM(U154:U155)</f>
        <v>0.36963492782342899</v>
      </c>
      <c r="V156" s="67">
        <f t="shared" si="297"/>
        <v>0.36926535378745873</v>
      </c>
      <c r="W156" s="67">
        <f t="shared" si="297"/>
        <v>0.36889126780756321</v>
      </c>
      <c r="X156" s="67">
        <f t="shared" si="297"/>
        <v>0.36851265975402026</v>
      </c>
      <c r="Y156" s="67">
        <f t="shared" si="297"/>
        <v>0.3681295194517713</v>
      </c>
      <c r="Z156" s="67">
        <f t="shared" si="297"/>
        <v>0.36774183668028004</v>
      </c>
      <c r="AA156" s="67">
        <f t="shared" si="297"/>
        <v>0.36734960117339077</v>
      </c>
      <c r="AB156" s="67">
        <f t="shared" si="297"/>
        <v>0.36695280261918639</v>
      </c>
      <c r="AC156" s="67">
        <f t="shared" si="297"/>
        <v>0.36655143065984541</v>
      </c>
      <c r="AD156" s="67">
        <f t="shared" si="297"/>
        <v>0.36614547489149896</v>
      </c>
      <c r="AE156" s="67">
        <f t="shared" si="297"/>
        <v>0.36573492486408665</v>
      </c>
      <c r="AF156" s="67">
        <f t="shared" si="297"/>
        <v>0.36531977008121275</v>
      </c>
      <c r="AG156" s="67">
        <f t="shared" si="297"/>
        <v>0.36490000000000056</v>
      </c>
    </row>
    <row r="157" spans="1:33" ht="15" hidden="1" thickBot="1" x14ac:dyDescent="0.4">
      <c r="A157" s="151"/>
      <c r="B157" s="62" t="s">
        <v>26</v>
      </c>
      <c r="C157" s="51"/>
      <c r="D157" s="89" t="e">
        <f t="shared" ref="D157" si="298">D142*T157</f>
        <v>#REF!</v>
      </c>
      <c r="E157" s="89" t="e">
        <f t="shared" ref="E157" si="299">E142*U157</f>
        <v>#REF!</v>
      </c>
      <c r="F157" s="89" t="e">
        <f t="shared" ref="F157" si="300">F142*V157</f>
        <v>#REF!</v>
      </c>
      <c r="G157" s="89" t="e">
        <f t="shared" ref="G157" si="301">G142*W157</f>
        <v>#REF!</v>
      </c>
      <c r="H157" s="89" t="e">
        <f t="shared" ref="H157" si="302">H142*X157</f>
        <v>#REF!</v>
      </c>
      <c r="I157" s="89" t="e">
        <f t="shared" ref="I157" si="303">I142*Y157</f>
        <v>#REF!</v>
      </c>
      <c r="J157" s="89" t="e">
        <f t="shared" ref="J157" si="304">J142*Z157</f>
        <v>#REF!</v>
      </c>
      <c r="K157" s="89" t="e">
        <f t="shared" ref="K157" si="305">K142*AA157</f>
        <v>#REF!</v>
      </c>
      <c r="L157" s="89" t="e">
        <f t="shared" ref="L157" si="306">L142*AB157</f>
        <v>#REF!</v>
      </c>
      <c r="M157" s="89" t="e">
        <f t="shared" ref="M157" si="307">M142*AC157</f>
        <v>#REF!</v>
      </c>
      <c r="N157" s="89" t="e">
        <f t="shared" ref="N157" si="308">N142*AD157</f>
        <v>#REF!</v>
      </c>
      <c r="O157" s="89" t="e">
        <f t="shared" ref="O157" si="309">O142*AE157</f>
        <v>#REF!</v>
      </c>
      <c r="P157" s="89" t="e">
        <f t="shared" ref="P157" si="310">P142*AF157</f>
        <v>#REF!</v>
      </c>
      <c r="Q157" s="89" t="e">
        <f t="shared" ref="Q157" si="311">Q142*AG157</f>
        <v>#REF!</v>
      </c>
      <c r="R157" s="75" t="e">
        <f t="shared" si="240"/>
        <v>#REF!</v>
      </c>
      <c r="S157" s="62"/>
      <c r="T157" s="12">
        <f>1-SUM(T152+T153)</f>
        <v>0.37</v>
      </c>
      <c r="U157" s="12">
        <f t="shared" ref="U157:AG157" si="312">1-SUM(U152+U153)</f>
        <v>0.36753417522645271</v>
      </c>
      <c r="V157" s="12">
        <f t="shared" si="312"/>
        <v>0.36505648803236646</v>
      </c>
      <c r="W157" s="12">
        <f t="shared" si="312"/>
        <v>0.36256687293191459</v>
      </c>
      <c r="X157" s="12">
        <f t="shared" si="312"/>
        <v>0.36006526405167993</v>
      </c>
      <c r="Y157" s="12">
        <f t="shared" si="312"/>
        <v>0.35755159512829038</v>
      </c>
      <c r="Z157" s="12">
        <f t="shared" si="312"/>
        <v>0.35502579950603996</v>
      </c>
      <c r="AA157" s="12">
        <f t="shared" si="312"/>
        <v>0.35248781013449515</v>
      </c>
      <c r="AB157" s="12">
        <f t="shared" si="312"/>
        <v>0.34993755956608608</v>
      </c>
      <c r="AC157" s="12">
        <f t="shared" si="312"/>
        <v>0.3473749799536836</v>
      </c>
      <c r="AD157" s="12">
        <f t="shared" si="312"/>
        <v>0.34480000304816039</v>
      </c>
      <c r="AE157" s="12">
        <f t="shared" si="312"/>
        <v>0.34221256019593804</v>
      </c>
      <c r="AF157" s="12">
        <f t="shared" si="312"/>
        <v>0.33961258233651859</v>
      </c>
      <c r="AG157" s="12">
        <f t="shared" si="312"/>
        <v>0.33699999999999986</v>
      </c>
    </row>
    <row r="158" spans="1:33" ht="15" hidden="1" thickBot="1" x14ac:dyDescent="0.4">
      <c r="A158" s="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21"/>
    </row>
    <row r="159" spans="1:33" ht="15" hidden="1" thickBot="1" x14ac:dyDescent="0.4">
      <c r="A159" s="152" t="s">
        <v>27</v>
      </c>
      <c r="B159" s="54" t="s">
        <v>28</v>
      </c>
      <c r="C159" s="49"/>
      <c r="D159" s="84" t="e">
        <f t="shared" ref="D159" si="313">D142*T159</f>
        <v>#REF!</v>
      </c>
      <c r="E159" s="84" t="e">
        <f t="shared" ref="E159" si="314">E142*U159</f>
        <v>#REF!</v>
      </c>
      <c r="F159" s="84" t="e">
        <f t="shared" ref="F159" si="315">F142*V159</f>
        <v>#REF!</v>
      </c>
      <c r="G159" s="84" t="e">
        <f t="shared" ref="G159" si="316">G142*W159</f>
        <v>#REF!</v>
      </c>
      <c r="H159" s="84" t="e">
        <f t="shared" ref="H159" si="317">H142*X159</f>
        <v>#REF!</v>
      </c>
      <c r="I159" s="84" t="e">
        <f t="shared" ref="I159" si="318">I142*Y159</f>
        <v>#REF!</v>
      </c>
      <c r="J159" s="84" t="e">
        <f t="shared" ref="J159" si="319">J142*Z159</f>
        <v>#REF!</v>
      </c>
      <c r="K159" s="84" t="e">
        <f t="shared" ref="K159" si="320">K142*AA159</f>
        <v>#REF!</v>
      </c>
      <c r="L159" s="84" t="e">
        <f t="shared" ref="L159" si="321">L142*AB159</f>
        <v>#REF!</v>
      </c>
      <c r="M159" s="84" t="e">
        <f t="shared" ref="M159" si="322">M142*AC159</f>
        <v>#REF!</v>
      </c>
      <c r="N159" s="84" t="e">
        <f t="shared" ref="N159" si="323">N142*AD159</f>
        <v>#REF!</v>
      </c>
      <c r="O159" s="84" t="e">
        <f t="shared" ref="O159" si="324">O142*AE159</f>
        <v>#REF!</v>
      </c>
      <c r="P159" s="84" t="e">
        <f t="shared" ref="P159" si="325">P142*AF159</f>
        <v>#REF!</v>
      </c>
      <c r="Q159" s="84" t="e">
        <f t="shared" ref="Q159" si="326">Q142*AG159</f>
        <v>#REF!</v>
      </c>
      <c r="R159" s="71" t="e">
        <f>RATE(12,,-E159,Q159)</f>
        <v>#REF!</v>
      </c>
      <c r="S159" s="54"/>
      <c r="T159" s="12">
        <v>0.40099999999999997</v>
      </c>
      <c r="U159" s="12">
        <v>0.40265090533119946</v>
      </c>
      <c r="V159" s="12">
        <v>0.40430860739160734</v>
      </c>
      <c r="W159" s="12">
        <v>0.40597313416316017</v>
      </c>
      <c r="X159" s="12">
        <v>0.40764451374299493</v>
      </c>
      <c r="Y159" s="12">
        <v>0.40932277434392395</v>
      </c>
      <c r="Z159" s="12">
        <v>0.41100794429491083</v>
      </c>
      <c r="AA159" s="12">
        <v>0.4127000520415488</v>
      </c>
      <c r="AB159" s="12">
        <v>0.41439912614654062</v>
      </c>
      <c r="AC159" s="12">
        <v>0.41610519529018092</v>
      </c>
      <c r="AD159" s="12">
        <v>0.41781828827084017</v>
      </c>
      <c r="AE159" s="12">
        <v>0.4195384340054511</v>
      </c>
      <c r="AF159" s="12">
        <v>0.4212656615299965</v>
      </c>
      <c r="AG159" s="12">
        <v>0.42299999999999938</v>
      </c>
    </row>
    <row r="160" spans="1:33" ht="15" hidden="1" thickBot="1" x14ac:dyDescent="0.4">
      <c r="A160" s="154"/>
      <c r="B160" s="55" t="s">
        <v>29</v>
      </c>
      <c r="C160" s="40"/>
      <c r="D160" s="90" t="e">
        <f t="shared" ref="D160" si="327">D142*T160</f>
        <v>#REF!</v>
      </c>
      <c r="E160" s="90" t="e">
        <f t="shared" ref="E160" si="328">E142*U160</f>
        <v>#REF!</v>
      </c>
      <c r="F160" s="90" t="e">
        <f t="shared" ref="F160" si="329">F142*V160</f>
        <v>#REF!</v>
      </c>
      <c r="G160" s="90" t="e">
        <f t="shared" ref="G160" si="330">G142*W160</f>
        <v>#REF!</v>
      </c>
      <c r="H160" s="90" t="e">
        <f t="shared" ref="H160" si="331">H142*X160</f>
        <v>#REF!</v>
      </c>
      <c r="I160" s="90" t="e">
        <f t="shared" ref="I160" si="332">I142*Y160</f>
        <v>#REF!</v>
      </c>
      <c r="J160" s="90" t="e">
        <f t="shared" ref="J160" si="333">J142*Z160</f>
        <v>#REF!</v>
      </c>
      <c r="K160" s="90" t="e">
        <f t="shared" ref="K160" si="334">K142*AA160</f>
        <v>#REF!</v>
      </c>
      <c r="L160" s="90" t="e">
        <f t="shared" ref="L160" si="335">L142*AB160</f>
        <v>#REF!</v>
      </c>
      <c r="M160" s="90" t="e">
        <f t="shared" ref="M160" si="336">M142*AC160</f>
        <v>#REF!</v>
      </c>
      <c r="N160" s="90" t="e">
        <f t="shared" ref="N160" si="337">N142*AD160</f>
        <v>#REF!</v>
      </c>
      <c r="O160" s="90" t="e">
        <f t="shared" ref="O160" si="338">O142*AE160</f>
        <v>#REF!</v>
      </c>
      <c r="P160" s="90" t="e">
        <f t="shared" ref="P160" si="339">P142*AF160</f>
        <v>#REF!</v>
      </c>
      <c r="Q160" s="90" t="e">
        <f t="shared" ref="Q160" si="340">Q142*AG160</f>
        <v>#REF!</v>
      </c>
      <c r="R160" s="76" t="e">
        <f>RATE(12,,-E160,Q160)</f>
        <v>#REF!</v>
      </c>
      <c r="S160" s="55"/>
      <c r="T160" s="12">
        <v>0.43099999999999999</v>
      </c>
      <c r="U160" s="12">
        <v>0.43183634674261745</v>
      </c>
      <c r="V160" s="12">
        <v>0.43267431639909548</v>
      </c>
      <c r="W160" s="12">
        <v>0.43351391211866536</v>
      </c>
      <c r="X160" s="12">
        <v>0.43435513705666956</v>
      </c>
      <c r="Y160" s="12">
        <v>0.43519799437457324</v>
      </c>
      <c r="Z160" s="12">
        <v>0.43604248723997657</v>
      </c>
      <c r="AA160" s="12">
        <v>0.43688861882662616</v>
      </c>
      <c r="AB160" s="12">
        <v>0.43773639231442729</v>
      </c>
      <c r="AC160" s="12">
        <v>0.43858581088945586</v>
      </c>
      <c r="AD160" s="12">
        <v>0.43943687774397006</v>
      </c>
      <c r="AE160" s="12">
        <v>0.44028959607642287</v>
      </c>
      <c r="AF160" s="12">
        <v>0.44114396909147369</v>
      </c>
      <c r="AG160" s="12">
        <v>0.44200000000000028</v>
      </c>
    </row>
    <row r="161" spans="1:33" ht="15" hidden="1" thickBot="1" x14ac:dyDescent="0.4">
      <c r="A161" s="153"/>
      <c r="B161" s="56" t="s">
        <v>30</v>
      </c>
      <c r="C161" s="44"/>
      <c r="D161" s="85" t="e">
        <f t="shared" ref="D161" si="341">D142*T161</f>
        <v>#REF!</v>
      </c>
      <c r="E161" s="85" t="e">
        <f t="shared" ref="E161" si="342">E142*U161</f>
        <v>#REF!</v>
      </c>
      <c r="F161" s="85" t="e">
        <f t="shared" ref="F161" si="343">F142*V161</f>
        <v>#REF!</v>
      </c>
      <c r="G161" s="85" t="e">
        <f t="shared" ref="G161" si="344">G142*W161</f>
        <v>#REF!</v>
      </c>
      <c r="H161" s="85" t="e">
        <f t="shared" ref="H161" si="345">H142*X161</f>
        <v>#REF!</v>
      </c>
      <c r="I161" s="85" t="e">
        <f t="shared" ref="I161" si="346">I142*Y161</f>
        <v>#REF!</v>
      </c>
      <c r="J161" s="85" t="e">
        <f t="shared" ref="J161" si="347">J142*Z161</f>
        <v>#REF!</v>
      </c>
      <c r="K161" s="85" t="e">
        <f t="shared" ref="K161" si="348">K142*AA161</f>
        <v>#REF!</v>
      </c>
      <c r="L161" s="85" t="e">
        <f t="shared" ref="L161" si="349">L142*AB161</f>
        <v>#REF!</v>
      </c>
      <c r="M161" s="85" t="e">
        <f t="shared" ref="M161" si="350">M142*AC161</f>
        <v>#REF!</v>
      </c>
      <c r="N161" s="85" t="e">
        <f t="shared" ref="N161" si="351">N142*AD161</f>
        <v>#REF!</v>
      </c>
      <c r="O161" s="85" t="e">
        <f t="shared" ref="O161" si="352">O142*AE161</f>
        <v>#REF!</v>
      </c>
      <c r="P161" s="85" t="e">
        <f t="shared" ref="P161" si="353">P142*AF161</f>
        <v>#REF!</v>
      </c>
      <c r="Q161" s="85" t="e">
        <f t="shared" ref="Q161" si="354">Q142*AG161</f>
        <v>#REF!</v>
      </c>
      <c r="R161" s="72" t="e">
        <f>RATE(12,,-E161,Q161)</f>
        <v>#REF!</v>
      </c>
      <c r="S161" s="56"/>
      <c r="T161" s="12">
        <f>1-SUM(T159:T160)</f>
        <v>0.16800000000000004</v>
      </c>
      <c r="U161" s="12">
        <f t="shared" ref="U161:AG161" si="355">1-SUM(U159:U160)</f>
        <v>0.16551274792618309</v>
      </c>
      <c r="V161" s="12">
        <f t="shared" si="355"/>
        <v>0.16301707620929717</v>
      </c>
      <c r="W161" s="12">
        <f t="shared" si="355"/>
        <v>0.16051295371817442</v>
      </c>
      <c r="X161" s="12">
        <f t="shared" si="355"/>
        <v>0.15800034920033545</v>
      </c>
      <c r="Y161" s="12">
        <f t="shared" si="355"/>
        <v>0.15547923128150276</v>
      </c>
      <c r="Z161" s="12">
        <f t="shared" si="355"/>
        <v>0.15294956846511254</v>
      </c>
      <c r="AA161" s="12">
        <f t="shared" si="355"/>
        <v>0.15041132913182498</v>
      </c>
      <c r="AB161" s="12">
        <f t="shared" si="355"/>
        <v>0.14786448153903209</v>
      </c>
      <c r="AC161" s="12">
        <f t="shared" si="355"/>
        <v>0.14530899382036322</v>
      </c>
      <c r="AD161" s="12">
        <f t="shared" si="355"/>
        <v>0.14274483398518978</v>
      </c>
      <c r="AE161" s="12">
        <f t="shared" si="355"/>
        <v>0.14017196991812608</v>
      </c>
      <c r="AF161" s="12">
        <f t="shared" si="355"/>
        <v>0.13759036937852986</v>
      </c>
      <c r="AG161" s="12">
        <f t="shared" si="355"/>
        <v>0.13500000000000034</v>
      </c>
    </row>
    <row r="162" spans="1:33" ht="15.5" x14ac:dyDescent="0.35">
      <c r="A162" s="42"/>
      <c r="B162" s="43"/>
      <c r="C162" s="93"/>
      <c r="D162" s="91">
        <v>2023</v>
      </c>
      <c r="E162" s="65">
        <v>2024</v>
      </c>
      <c r="F162" s="65">
        <v>2025</v>
      </c>
      <c r="G162" s="65">
        <v>2026</v>
      </c>
      <c r="H162" s="65">
        <v>2027</v>
      </c>
      <c r="I162" s="65">
        <v>2028</v>
      </c>
      <c r="J162" s="65">
        <v>2029</v>
      </c>
      <c r="K162" s="65">
        <v>2030</v>
      </c>
      <c r="L162" s="65">
        <v>2031</v>
      </c>
      <c r="M162" s="65">
        <v>2032</v>
      </c>
      <c r="N162" s="65">
        <v>2033</v>
      </c>
      <c r="O162" s="65">
        <v>2034</v>
      </c>
      <c r="P162" s="65">
        <v>2035</v>
      </c>
      <c r="Q162" s="65">
        <v>2036</v>
      </c>
      <c r="R162" s="66" t="s">
        <v>84</v>
      </c>
    </row>
    <row r="163" spans="1:33" ht="16" thickBot="1" x14ac:dyDescent="0.4">
      <c r="A163" s="1"/>
      <c r="C163" s="21"/>
      <c r="D163" s="92">
        <f>'Market Analysis '!C23</f>
        <v>222.33704999999998</v>
      </c>
      <c r="E163" s="92">
        <f>'Market Analysis '!D23</f>
        <v>242.12504744999995</v>
      </c>
      <c r="F163" s="92">
        <f>'Market Analysis '!E23</f>
        <v>263.99701006964995</v>
      </c>
      <c r="G163" s="92">
        <f>'Market Analysis '!F23</f>
        <v>288.19673599270124</v>
      </c>
      <c r="H163" s="92">
        <f>'Market Analysis '!G23</f>
        <v>314.99903244002246</v>
      </c>
      <c r="I163" s="92">
        <f>'Market Analysis '!H23</f>
        <v>344.71394116686457</v>
      </c>
      <c r="J163" s="92">
        <f>'Market Analysis '!I23</f>
        <v>377.69157487182798</v>
      </c>
      <c r="K163" s="92">
        <f>'Market Analysis '!J23</f>
        <v>414.32765763439528</v>
      </c>
      <c r="L163" s="92">
        <f>'Market Analysis '!K23</f>
        <v>455.06987730177752</v>
      </c>
      <c r="M163" s="92">
        <f>'Market Analysis '!L23</f>
        <v>500.42517507285464</v>
      </c>
      <c r="N163" s="92">
        <f>'Market Analysis '!M23</f>
        <v>550.96811775521292</v>
      </c>
      <c r="O163" s="92">
        <f>'Market Analysis '!N23</f>
        <v>607.35052180549644</v>
      </c>
      <c r="P163" s="92">
        <f>'Market Analysis '!O23</f>
        <v>670.31252589933285</v>
      </c>
      <c r="Q163" s="92">
        <f>'Market Analysis '!P23</f>
        <v>740.69534111876283</v>
      </c>
      <c r="R163" s="68">
        <f t="shared" ref="R163:R168" si="356">RATE(9,,-H163,Q163)</f>
        <v>9.9661277794807837E-2</v>
      </c>
      <c r="T163" s="65">
        <v>2023</v>
      </c>
      <c r="U163" s="65">
        <v>2024</v>
      </c>
      <c r="V163" s="65">
        <v>2025</v>
      </c>
      <c r="W163" s="65">
        <v>2026</v>
      </c>
      <c r="X163" s="65">
        <v>2027</v>
      </c>
      <c r="Y163" s="65">
        <v>2028</v>
      </c>
      <c r="Z163" s="65">
        <v>2029</v>
      </c>
      <c r="AA163" s="65">
        <v>2030</v>
      </c>
      <c r="AB163" s="65">
        <v>2031</v>
      </c>
      <c r="AC163" s="65">
        <v>2032</v>
      </c>
      <c r="AD163" s="65">
        <v>2033</v>
      </c>
      <c r="AE163" s="65">
        <v>2034</v>
      </c>
      <c r="AF163" s="65">
        <v>2035</v>
      </c>
      <c r="AG163" s="65">
        <v>2036</v>
      </c>
    </row>
    <row r="164" spans="1:33" s="121" customFormat="1" x14ac:dyDescent="0.35">
      <c r="A164" s="147" t="s">
        <v>59</v>
      </c>
      <c r="B164" s="118" t="s">
        <v>60</v>
      </c>
      <c r="C164" s="119"/>
      <c r="D164" s="120">
        <f>D163*T164</f>
        <v>77.81796749999998</v>
      </c>
      <c r="E164" s="120">
        <f t="shared" ref="E164" si="357">E163*U164</f>
        <v>85.618710407378217</v>
      </c>
      <c r="F164" s="120">
        <f>F163*V164</f>
        <v>94.316763750854491</v>
      </c>
      <c r="G164" s="120">
        <f t="shared" ref="G164" si="358">G163*W164</f>
        <v>104.02551132567514</v>
      </c>
      <c r="H164" s="120">
        <f t="shared" ref="H164" si="359">H163*X164</f>
        <v>114.87378742879605</v>
      </c>
      <c r="I164" s="120">
        <f t="shared" ref="I164" si="360">I163*Y164</f>
        <v>127.00811988118826</v>
      </c>
      <c r="J164" s="120">
        <f t="shared" ref="J164" si="361">J163*Z164</f>
        <v>140.59531707315853</v>
      </c>
      <c r="K164" s="120">
        <f t="shared" ref="K164" si="362">K163*AA164</f>
        <v>155.8254544287893</v>
      </c>
      <c r="L164" s="120">
        <f t="shared" ref="L164" si="363">L163*AB164</f>
        <v>172.91532500510033</v>
      </c>
      <c r="M164" s="120">
        <f t="shared" ref="M164" si="364">M163*AC164</f>
        <v>192.11242989267757</v>
      </c>
      <c r="N164" s="120">
        <f t="shared" ref="N164" si="365">N163*AD164</f>
        <v>213.69959696363907</v>
      </c>
      <c r="O164" s="120">
        <f t="shared" ref="O164" si="366">O163*AE164</f>
        <v>238.00033167191475</v>
      </c>
      <c r="P164" s="120">
        <f t="shared" ref="P164" si="367">P163*AF164</f>
        <v>265.38502146839943</v>
      </c>
      <c r="Q164" s="120">
        <f t="shared" ref="Q164" si="368">Q163*AG164</f>
        <v>296.27813644750523</v>
      </c>
      <c r="R164" s="68">
        <f t="shared" si="356"/>
        <v>0.11101481865971072</v>
      </c>
      <c r="S164" s="118" t="s">
        <v>60</v>
      </c>
      <c r="T164" s="116">
        <v>0.34999999999999992</v>
      </c>
      <c r="U164" s="116">
        <v>0.35361360300841621</v>
      </c>
      <c r="V164" s="116">
        <v>0.35726451495026795</v>
      </c>
      <c r="W164" s="116">
        <v>0.36095312102462412</v>
      </c>
      <c r="X164" s="116">
        <v>0.36467981040757214</v>
      </c>
      <c r="Y164" s="116">
        <v>0.36844497629327921</v>
      </c>
      <c r="Z164" s="116">
        <v>0.37224901593547705</v>
      </c>
      <c r="AA164" s="116">
        <v>0.37609233068937542</v>
      </c>
      <c r="AB164" s="116">
        <v>0.37997532605400802</v>
      </c>
      <c r="AC164" s="116">
        <v>0.38389841171501571</v>
      </c>
      <c r="AD164" s="116">
        <v>0.38786200158787171</v>
      </c>
      <c r="AE164" s="116">
        <v>0.39186651386155258</v>
      </c>
      <c r="AF164" s="116">
        <v>0.39591237104266019</v>
      </c>
      <c r="AG164" s="116">
        <v>0.40000000000000013</v>
      </c>
    </row>
    <row r="165" spans="1:33" s="117" customFormat="1" x14ac:dyDescent="0.35">
      <c r="A165" s="148"/>
      <c r="B165" s="113" t="s">
        <v>61</v>
      </c>
      <c r="C165" s="114"/>
      <c r="D165" s="115">
        <f>D163*T165</f>
        <v>66.701115000000001</v>
      </c>
      <c r="E165" s="115">
        <f t="shared" ref="E165" si="369">E163*U165</f>
        <v>72.674650114328529</v>
      </c>
      <c r="F165" s="115">
        <f t="shared" ref="F165" si="370">F163*V165</f>
        <v>79.280104695817812</v>
      </c>
      <c r="G165" s="115">
        <f t="shared" ref="G165" si="371">G163*W165</f>
        <v>86.591694949501388</v>
      </c>
      <c r="H165" s="115">
        <f t="shared" ref="H165" si="372">H163*X165</f>
        <v>94.693109629304445</v>
      </c>
      <c r="I165" s="115">
        <f t="shared" ref="I165" si="373">I163*Y165</f>
        <v>103.67880493695372</v>
      </c>
      <c r="J165" s="115">
        <f t="shared" ref="J165" si="374">J163*Z165</f>
        <v>113.65548720750996</v>
      </c>
      <c r="K165" s="115">
        <f t="shared" ref="K165" si="375">K163*AA165</f>
        <v>124.74381206663163</v>
      </c>
      <c r="L165" s="115">
        <f t="shared" ref="L165" si="376">L163*AB165</f>
        <v>137.08033333505901</v>
      </c>
      <c r="M165" s="115">
        <f t="shared" ref="M165" si="377">M163*AC165</f>
        <v>150.81974031240702</v>
      </c>
      <c r="N165" s="115">
        <f t="shared" ref="N165" si="378">N163*AD165</f>
        <v>166.13742832811045</v>
      </c>
      <c r="O165" s="115">
        <f t="shared" ref="O165" si="379">O163*AE165</f>
        <v>183.23245475909687</v>
      </c>
      <c r="P165" s="115">
        <f t="shared" ref="P165" si="380">P163*AF165</f>
        <v>202.3309412666606</v>
      </c>
      <c r="Q165" s="115">
        <f t="shared" ref="Q165" si="381">Q163*AG165</f>
        <v>223.68999301786661</v>
      </c>
      <c r="R165" s="68">
        <f t="shared" si="356"/>
        <v>0.10022347886872782</v>
      </c>
      <c r="S165" s="113" t="s">
        <v>61</v>
      </c>
      <c r="T165" s="116">
        <v>0.30000000000000004</v>
      </c>
      <c r="U165" s="116">
        <v>0.30015337479422161</v>
      </c>
      <c r="V165" s="116">
        <v>0.30030682800120145</v>
      </c>
      <c r="W165" s="116">
        <v>0.30046035966102813</v>
      </c>
      <c r="X165" s="116">
        <v>0.30061396981381056</v>
      </c>
      <c r="Y165" s="116">
        <v>0.30076765849967829</v>
      </c>
      <c r="Z165" s="116">
        <v>0.30092142575878128</v>
      </c>
      <c r="AA165" s="116">
        <v>0.30107527163128989</v>
      </c>
      <c r="AB165" s="116">
        <v>0.30122919615739541</v>
      </c>
      <c r="AC165" s="116">
        <v>0.30138319937730923</v>
      </c>
      <c r="AD165" s="116">
        <v>0.30153728133126367</v>
      </c>
      <c r="AE165" s="116">
        <v>0.30169144205951126</v>
      </c>
      <c r="AF165" s="116">
        <v>0.3018456816023255</v>
      </c>
      <c r="AG165" s="116">
        <v>0.30200000000000032</v>
      </c>
    </row>
    <row r="166" spans="1:33" s="117" customFormat="1" x14ac:dyDescent="0.35">
      <c r="A166" s="148"/>
      <c r="B166" s="113" t="s">
        <v>62</v>
      </c>
      <c r="C166" s="114"/>
      <c r="D166" s="115">
        <f>D163*T166</f>
        <v>33.350557499999994</v>
      </c>
      <c r="E166" s="115">
        <f t="shared" ref="E166" si="382">E163*U166</f>
        <v>36.374122876394381</v>
      </c>
      <c r="F166" s="115">
        <f t="shared" ref="F166" si="383">F163*V166</f>
        <v>39.720377801402606</v>
      </c>
      <c r="G166" s="115">
        <f t="shared" ref="G166" si="384">G163*W166</f>
        <v>43.427514296164411</v>
      </c>
      <c r="H166" s="115">
        <f t="shared" ref="H166" si="385">H163*X166</f>
        <v>47.538632601693934</v>
      </c>
      <c r="I166" s="115">
        <f t="shared" ref="I166" si="386">I163*Y166</f>
        <v>52.102416377029627</v>
      </c>
      <c r="J166" s="115">
        <f t="shared" ref="J166" si="387">J163*Z166</f>
        <v>57.173906390456779</v>
      </c>
      <c r="K166" s="115">
        <f t="shared" ref="K166" si="388">K163*AA166</f>
        <v>62.815387832161278</v>
      </c>
      <c r="L166" s="115">
        <f t="shared" ref="L166" si="389">L163*AB166</f>
        <v>69.097408810295263</v>
      </c>
      <c r="M166" s="115">
        <f t="shared" ref="M166" si="390">M163*AC166</f>
        <v>76.099950434303253</v>
      </c>
      <c r="N166" s="115">
        <f t="shared" ref="N166" si="391">N163*AD166</f>
        <v>83.91377221063685</v>
      </c>
      <c r="O166" s="115">
        <f t="shared" ref="O166" si="392">O163*AE166</f>
        <v>92.64196036069788</v>
      </c>
      <c r="P166" s="115">
        <f t="shared" ref="P166" si="393">P163*AF166</f>
        <v>102.40171121826518</v>
      </c>
      <c r="Q166" s="115">
        <f t="shared" ref="Q166" si="394">Q163*AG166</f>
        <v>113.32638719117054</v>
      </c>
      <c r="R166" s="68">
        <f t="shared" si="356"/>
        <v>0.10133764521086785</v>
      </c>
      <c r="S166" s="113" t="s">
        <v>62</v>
      </c>
      <c r="T166" s="116">
        <v>0.15</v>
      </c>
      <c r="U166" s="116">
        <v>0.15022866597023929</v>
      </c>
      <c r="V166" s="116">
        <v>0.15045768052798492</v>
      </c>
      <c r="W166" s="116">
        <v>0.15068704420463749</v>
      </c>
      <c r="X166" s="116">
        <v>0.15091675753240782</v>
      </c>
      <c r="Y166" s="116">
        <v>0.15114682104431795</v>
      </c>
      <c r="Z166" s="116">
        <v>0.15137723527420252</v>
      </c>
      <c r="AA166" s="116">
        <v>0.15160800075670999</v>
      </c>
      <c r="AB166" s="116">
        <v>0.15183911802730382</v>
      </c>
      <c r="AC166" s="116">
        <v>0.1520705876222638</v>
      </c>
      <c r="AD166" s="116">
        <v>0.15230241007868719</v>
      </c>
      <c r="AE166" s="116">
        <v>0.15253458593449007</v>
      </c>
      <c r="AF166" s="116">
        <v>0.15276711572840845</v>
      </c>
      <c r="AG166" s="116">
        <v>0.15299999999999978</v>
      </c>
    </row>
    <row r="167" spans="1:33" s="117" customFormat="1" x14ac:dyDescent="0.35">
      <c r="A167" s="148"/>
      <c r="B167" s="113" t="s">
        <v>63</v>
      </c>
      <c r="C167" s="114"/>
      <c r="D167" s="115">
        <f>D163*T167</f>
        <v>26.680446000000003</v>
      </c>
      <c r="E167" s="115">
        <f t="shared" ref="E167" si="395">E163*U167</f>
        <v>29.09197218728708</v>
      </c>
      <c r="F167" s="115">
        <f t="shared" ref="F167" si="396">F163*V167</f>
        <v>31.760304088857634</v>
      </c>
      <c r="G167" s="115">
        <f t="shared" ref="G167" si="397">G163*W167</f>
        <v>34.71577782948534</v>
      </c>
      <c r="H167" s="115">
        <f t="shared" ref="H167" si="398">H163*X167</f>
        <v>37.992621509256679</v>
      </c>
      <c r="I167" s="115">
        <f t="shared" ref="I167" si="399">I163*Y167</f>
        <v>41.629489763936931</v>
      </c>
      <c r="J167" s="115">
        <f t="shared" ref="J167" si="400">J163*Z167</f>
        <v>45.670076189640476</v>
      </c>
      <c r="K167" s="115">
        <f t="shared" ref="K167" si="401">K163*AA167</f>
        <v>50.163815575242346</v>
      </c>
      <c r="L167" s="115">
        <f t="shared" ref="L167" si="402">L163*AB167</f>
        <v>55.166689804753986</v>
      </c>
      <c r="M167" s="115">
        <f t="shared" ref="M167" si="403">M163*AC167</f>
        <v>60.74215353215439</v>
      </c>
      <c r="N167" s="115">
        <f t="shared" ref="N167" si="404">N163*AD167</f>
        <v>66.962198348893082</v>
      </c>
      <c r="O167" s="115">
        <f t="shared" ref="O167" si="405">O163*AE167</f>
        <v>73.908577225536831</v>
      </c>
      <c r="P167" s="115">
        <f t="shared" ref="P167" si="406">P163*AF167</f>
        <v>81.674214591872897</v>
      </c>
      <c r="Q167" s="115">
        <f t="shared" ref="Q167" si="407">Q163*AG167</f>
        <v>90.364831616488956</v>
      </c>
      <c r="R167" s="68">
        <f t="shared" si="356"/>
        <v>0.10106036962841468</v>
      </c>
      <c r="S167" s="113" t="s">
        <v>63</v>
      </c>
      <c r="T167" s="116">
        <v>0.12000000000000002</v>
      </c>
      <c r="U167" s="116">
        <v>0.12015267521339246</v>
      </c>
      <c r="V167" s="116">
        <v>0.12030554467445809</v>
      </c>
      <c r="W167" s="116">
        <v>0.12045860863033696</v>
      </c>
      <c r="X167" s="116">
        <v>0.12061186732848356</v>
      </c>
      <c r="Y167" s="116">
        <v>0.12076532101666719</v>
      </c>
      <c r="Z167" s="116">
        <v>0.1209189699429724</v>
      </c>
      <c r="AA167" s="116">
        <v>0.12107281435579939</v>
      </c>
      <c r="AB167" s="116">
        <v>0.12122685450386435</v>
      </c>
      <c r="AC167" s="116">
        <v>0.12138109063619994</v>
      </c>
      <c r="AD167" s="116">
        <v>0.12153552300215566</v>
      </c>
      <c r="AE167" s="116">
        <v>0.12169015185139827</v>
      </c>
      <c r="AF167" s="116">
        <v>0.12184497743391219</v>
      </c>
      <c r="AG167" s="116">
        <v>0.12199999999999984</v>
      </c>
    </row>
    <row r="168" spans="1:33" s="117" customFormat="1" x14ac:dyDescent="0.35">
      <c r="A168" s="148"/>
      <c r="B168" s="113" t="s">
        <v>64</v>
      </c>
      <c r="C168" s="114"/>
      <c r="D168" s="115">
        <f>D163*T168</f>
        <v>17.786964000000015</v>
      </c>
      <c r="E168" s="115">
        <f t="shared" ref="E168" si="408">E163*U168</f>
        <v>18.365591864611737</v>
      </c>
      <c r="F168" s="115">
        <f t="shared" ref="F168" si="409">F163*V168</f>
        <v>18.919459732717414</v>
      </c>
      <c r="G168" s="115">
        <f t="shared" ref="G168" si="410">G163*W168</f>
        <v>19.436237591874963</v>
      </c>
      <c r="H168" s="115">
        <f>H163*X168</f>
        <v>19.900881270971304</v>
      </c>
      <c r="I168" s="115">
        <f t="shared" ref="I168" si="411">I163*Y168</f>
        <v>20.295110207756061</v>
      </c>
      <c r="J168" s="115">
        <f t="shared" ref="J168" si="412">J163*Z168</f>
        <v>20.596788011062248</v>
      </c>
      <c r="K168" s="115">
        <f t="shared" ref="K168" si="413">K163*AA168</f>
        <v>20.779187731570691</v>
      </c>
      <c r="L168" s="115">
        <f t="shared" ref="L168" si="414">L163*AB168</f>
        <v>20.810120346568965</v>
      </c>
      <c r="M168" s="115">
        <f t="shared" ref="M168" si="415">M163*AC168</f>
        <v>20.65090090131239</v>
      </c>
      <c r="N168" s="115">
        <f t="shared" ref="N168" si="416">N163*AD168</f>
        <v>20.255121903933503</v>
      </c>
      <c r="O168" s="115">
        <f t="shared" ref="O168" si="417">O163*AE168</f>
        <v>19.567197788250059</v>
      </c>
      <c r="P168" s="115">
        <f t="shared" ref="P168" si="418">P163*AF168</f>
        <v>18.520637354134788</v>
      </c>
      <c r="Q168" s="115">
        <f t="shared" ref="Q168" si="419">Q163*AG168</f>
        <v>17.035992845731478</v>
      </c>
      <c r="R168" s="68">
        <f t="shared" si="356"/>
        <v>-1.7122349027291955E-2</v>
      </c>
      <c r="S168" s="113" t="s">
        <v>64</v>
      </c>
      <c r="T168" s="116">
        <f>1-SUM(T164:T167)</f>
        <v>8.0000000000000071E-2</v>
      </c>
      <c r="U168" s="116">
        <f t="shared" ref="U168:AG168" si="420">1-SUM(U164:U167)</f>
        <v>7.585168101373041E-2</v>
      </c>
      <c r="V168" s="116">
        <f t="shared" si="420"/>
        <v>7.1665431846087646E-2</v>
      </c>
      <c r="W168" s="116">
        <f t="shared" si="420"/>
        <v>6.7440866479373307E-2</v>
      </c>
      <c r="X168" s="116">
        <f t="shared" si="420"/>
        <v>6.3177594917725788E-2</v>
      </c>
      <c r="Y168" s="116">
        <f t="shared" si="420"/>
        <v>5.887522314605742E-2</v>
      </c>
      <c r="Z168" s="116">
        <f t="shared" si="420"/>
        <v>5.4533353088566772E-2</v>
      </c>
      <c r="AA168" s="116">
        <f t="shared" si="420"/>
        <v>5.0151582566825281E-2</v>
      </c>
      <c r="AB168" s="116">
        <f t="shared" si="420"/>
        <v>4.5729505257428471E-2</v>
      </c>
      <c r="AC168" s="116">
        <f t="shared" si="420"/>
        <v>4.126671064921128E-2</v>
      </c>
      <c r="AD168" s="116">
        <f t="shared" si="420"/>
        <v>3.6762784000021864E-2</v>
      </c>
      <c r="AE168" s="116">
        <f t="shared" si="420"/>
        <v>3.2217306293047754E-2</v>
      </c>
      <c r="AF168" s="116">
        <f t="shared" si="420"/>
        <v>2.7629854192693704E-2</v>
      </c>
      <c r="AG168" s="116">
        <f t="shared" si="420"/>
        <v>2.2999999999999909E-2</v>
      </c>
    </row>
    <row r="169" spans="1:33" x14ac:dyDescent="0.35">
      <c r="A169" s="1"/>
      <c r="D169" s="81" t="b">
        <f>D163=SUM(D164:D168)</f>
        <v>1</v>
      </c>
      <c r="E169" s="81" t="b">
        <f t="shared" ref="E169:Q169" si="421">E163=SUM(E164:E168)</f>
        <v>1</v>
      </c>
      <c r="F169" s="81" t="b">
        <f t="shared" si="421"/>
        <v>1</v>
      </c>
      <c r="G169" s="81" t="b">
        <f t="shared" si="421"/>
        <v>1</v>
      </c>
      <c r="H169" s="81" t="b">
        <f t="shared" si="421"/>
        <v>1</v>
      </c>
      <c r="I169" s="81" t="b">
        <f t="shared" si="421"/>
        <v>1</v>
      </c>
      <c r="J169" s="81" t="b">
        <f t="shared" si="421"/>
        <v>1</v>
      </c>
      <c r="K169" s="81" t="b">
        <f t="shared" si="421"/>
        <v>1</v>
      </c>
      <c r="L169" s="81" t="b">
        <f t="shared" si="421"/>
        <v>1</v>
      </c>
      <c r="M169" s="81" t="b">
        <f t="shared" si="421"/>
        <v>1</v>
      </c>
      <c r="N169" s="81" t="b">
        <f t="shared" si="421"/>
        <v>1</v>
      </c>
      <c r="O169" s="81" t="b">
        <f t="shared" si="421"/>
        <v>1</v>
      </c>
      <c r="P169" s="81" t="b">
        <f t="shared" si="421"/>
        <v>1</v>
      </c>
      <c r="Q169" s="81" t="b">
        <f t="shared" si="421"/>
        <v>1</v>
      </c>
      <c r="R169" s="21"/>
    </row>
    <row r="170" spans="1:33" s="117" customFormat="1" x14ac:dyDescent="0.35">
      <c r="A170" s="149" t="s">
        <v>65</v>
      </c>
      <c r="B170" s="122" t="s">
        <v>66</v>
      </c>
      <c r="C170" s="123"/>
      <c r="D170" s="124">
        <f>D163*T170</f>
        <v>155.63593499999999</v>
      </c>
      <c r="E170" s="124">
        <f t="shared" ref="E170" si="422">E163*U170</f>
        <v>169.58035262610187</v>
      </c>
      <c r="F170" s="124">
        <f t="shared" ref="F170" si="423">F163*V170</f>
        <v>185.00037066872801</v>
      </c>
      <c r="G170" s="124">
        <f t="shared" ref="G170" si="424">G163*W170</f>
        <v>202.0693401627999</v>
      </c>
      <c r="H170" s="124">
        <f t="shared" ref="H170" si="425">H163*X170</f>
        <v>220.98274318781344</v>
      </c>
      <c r="I170" s="124">
        <f t="shared" ref="I170" si="426">I163*Y170</f>
        <v>241.96121887154922</v>
      </c>
      <c r="J170" s="124">
        <f t="shared" ref="J170" si="427">J163*Z170</f>
        <v>265.25402831828717</v>
      </c>
      <c r="K170" s="124">
        <f t="shared" ref="K170" si="428">K163*AA170</f>
        <v>291.14302552218521</v>
      </c>
      <c r="L170" s="124">
        <f t="shared" ref="L170" si="429">L163*AB170</f>
        <v>319.94721205998155</v>
      </c>
      <c r="M170" s="124">
        <f t="shared" ref="M170" si="430">M163*AC170</f>
        <v>352.02796588263834</v>
      </c>
      <c r="N170" s="124">
        <f t="shared" ref="N170" si="431">N163*AD170</f>
        <v>387.79504915386633</v>
      </c>
      <c r="O170" s="124">
        <f t="shared" ref="O170" si="432">O163*AE170</f>
        <v>427.7135171815425</v>
      </c>
      <c r="P170" s="124">
        <f t="shared" ref="P170" si="433">P163*AF170</f>
        <v>472.31167048898163</v>
      </c>
      <c r="Q170" s="124">
        <f t="shared" ref="Q170" si="434">Q163*AG170</f>
        <v>522.19021548872877</v>
      </c>
      <c r="R170" s="68">
        <f>RATE(9,,-H170,Q170)</f>
        <v>0.1002635044616783</v>
      </c>
      <c r="S170" s="122" t="s">
        <v>66</v>
      </c>
      <c r="T170" s="116">
        <v>0.70000000000000007</v>
      </c>
      <c r="U170" s="116">
        <v>0.70038335319736411</v>
      </c>
      <c r="V170" s="116">
        <v>0.70076691633711929</v>
      </c>
      <c r="W170" s="116">
        <v>0.70115068953424042</v>
      </c>
      <c r="X170" s="116">
        <v>0.70153467290376448</v>
      </c>
      <c r="Y170" s="116">
        <v>0.70191886656079228</v>
      </c>
      <c r="Z170" s="116">
        <v>0.70230327062048659</v>
      </c>
      <c r="AA170" s="116">
        <v>0.70268788519807479</v>
      </c>
      <c r="AB170" s="116">
        <v>0.70307271040884567</v>
      </c>
      <c r="AC170" s="116">
        <v>0.70345774636815217</v>
      </c>
      <c r="AD170" s="116">
        <v>0.70384299319141008</v>
      </c>
      <c r="AE170" s="116">
        <v>0.70422845099409903</v>
      </c>
      <c r="AF170" s="116">
        <v>0.70461411989176093</v>
      </c>
      <c r="AG170" s="116">
        <v>0.70500000000000129</v>
      </c>
    </row>
    <row r="171" spans="1:33" s="117" customFormat="1" x14ac:dyDescent="0.35">
      <c r="A171" s="149"/>
      <c r="B171" s="122" t="s">
        <v>67</v>
      </c>
      <c r="C171" s="123"/>
      <c r="D171" s="124">
        <f>D163*T171</f>
        <v>44.467410000000001</v>
      </c>
      <c r="E171" s="124">
        <f t="shared" ref="E171" si="435">E163*U171</f>
        <v>48.462088668269693</v>
      </c>
      <c r="F171" s="124">
        <f t="shared" ref="F171" si="436">F163*V171</f>
        <v>52.880290298362141</v>
      </c>
      <c r="G171" s="124">
        <f t="shared" ref="G171" si="437">G163*W171</f>
        <v>57.771852481200526</v>
      </c>
      <c r="H171" s="124">
        <f t="shared" ref="H171" si="438">H163*X171</f>
        <v>63.192984802432747</v>
      </c>
      <c r="I171" s="124">
        <f t="shared" ref="I171" si="439">I163*Y171</f>
        <v>69.207141277256426</v>
      </c>
      <c r="J171" s="124">
        <f t="shared" ref="J171" si="440">J163*Z171</f>
        <v>75.886019492601363</v>
      </c>
      <c r="K171" s="124">
        <f t="shared" ref="K171" si="441">K163*AA171</f>
        <v>83.310705838536776</v>
      </c>
      <c r="L171" s="124">
        <f t="shared" ref="L171" si="442">L163*AB171</f>
        <v>91.572989316462412</v>
      </c>
      <c r="M171" s="124">
        <f t="shared" ref="M171" si="443">M163*AC171</f>
        <v>100.77687003638103</v>
      </c>
      <c r="N171" s="124">
        <f t="shared" ref="N171" si="444">N163*AD171</f>
        <v>111.04029274949308</v>
      </c>
      <c r="O171" s="124">
        <f t="shared" ref="O171" si="445">O163*AE171</f>
        <v>122.49714071189042</v>
      </c>
      <c r="P171" s="124">
        <f t="shared" ref="P171" si="446">P163*AF171</f>
        <v>135.29953096588676</v>
      </c>
      <c r="Q171" s="124">
        <f t="shared" ref="Q171" si="447">Q163*AG171</f>
        <v>149.62045890599032</v>
      </c>
      <c r="R171" s="68">
        <f>RATE(9,,-H171,Q171)</f>
        <v>0.10050329180730692</v>
      </c>
      <c r="S171" s="122" t="s">
        <v>67</v>
      </c>
      <c r="T171" s="116">
        <v>0.20000000000000004</v>
      </c>
      <c r="U171" s="116">
        <v>0.2001531406133327</v>
      </c>
      <c r="V171" s="116">
        <v>0.2003063984869026</v>
      </c>
      <c r="W171" s="116">
        <v>0.20045977371049628</v>
      </c>
      <c r="X171" s="116">
        <v>0.20061326637396906</v>
      </c>
      <c r="Y171" s="116">
        <v>0.2007668765672449</v>
      </c>
      <c r="Z171" s="116">
        <v>0.20092060438031684</v>
      </c>
      <c r="AA171" s="116">
        <v>0.20107444990324672</v>
      </c>
      <c r="AB171" s="116">
        <v>0.20122841322616528</v>
      </c>
      <c r="AC171" s="116">
        <v>0.20138249443927231</v>
      </c>
      <c r="AD171" s="116">
        <v>0.20153669363283677</v>
      </c>
      <c r="AE171" s="116">
        <v>0.2016910108971966</v>
      </c>
      <c r="AF171" s="116">
        <v>0.20184544632275897</v>
      </c>
      <c r="AG171" s="116">
        <v>0.20200000000000032</v>
      </c>
    </row>
    <row r="172" spans="1:33" s="117" customFormat="1" x14ac:dyDescent="0.35">
      <c r="A172" s="149"/>
      <c r="B172" s="122" t="s">
        <v>68</v>
      </c>
      <c r="C172" s="123"/>
      <c r="D172" s="124">
        <f>D163*T172</f>
        <v>22.233704999999969</v>
      </c>
      <c r="E172" s="124">
        <f t="shared" ref="E172" si="448">E163*U172</f>
        <v>24.082606155628405</v>
      </c>
      <c r="F172" s="124">
        <f t="shared" ref="F172" si="449">F163*V172</f>
        <v>26.116349102559791</v>
      </c>
      <c r="G172" s="124">
        <f t="shared" ref="G172" si="450">G163*W172</f>
        <v>28.355543348700792</v>
      </c>
      <c r="H172" s="124">
        <f t="shared" ref="H172" si="451">H163*X172</f>
        <v>30.82330444977627</v>
      </c>
      <c r="I172" s="124">
        <f t="shared" ref="I172" si="452">I163*Y172</f>
        <v>33.54558101805894</v>
      </c>
      <c r="J172" s="124">
        <f t="shared" ref="J172" si="453">J163*Z172</f>
        <v>36.551527060939414</v>
      </c>
      <c r="K172" s="124">
        <f t="shared" ref="K172" si="454">K163*AA172</f>
        <v>39.873926273673312</v>
      </c>
      <c r="L172" s="124">
        <f t="shared" ref="L172" si="455">L163*AB172</f>
        <v>43.54967592533356</v>
      </c>
      <c r="M172" s="124">
        <f>M163*AC172</f>
        <v>47.620339153835268</v>
      </c>
      <c r="N172" s="124">
        <f t="shared" ref="N172" si="456">N163*AD172</f>
        <v>52.132775851853481</v>
      </c>
      <c r="O172" s="124">
        <f t="shared" ref="O172" si="457">O163*AE172</f>
        <v>57.139863912063525</v>
      </c>
      <c r="P172" s="124">
        <f t="shared" ref="P172" si="458">P163*AF172</f>
        <v>62.701324444464497</v>
      </c>
      <c r="Q172" s="124">
        <f t="shared" ref="Q172" si="459">Q163*AG172</f>
        <v>68.884666724043768</v>
      </c>
      <c r="R172" s="68">
        <f>RATE(9,,-H172,Q172)</f>
        <v>9.3464828413970177E-2</v>
      </c>
      <c r="S172" s="122" t="s">
        <v>68</v>
      </c>
      <c r="T172" s="116">
        <f>1-SUM(T170:T171)</f>
        <v>9.9999999999999867E-2</v>
      </c>
      <c r="U172" s="116">
        <f t="shared" ref="U172:AG172" si="460">1-SUM(U170:U171)</f>
        <v>9.9463506189303219E-2</v>
      </c>
      <c r="V172" s="116">
        <f t="shared" si="460"/>
        <v>9.8926685175978135E-2</v>
      </c>
      <c r="W172" s="116">
        <f t="shared" si="460"/>
        <v>9.8389536755263296E-2</v>
      </c>
      <c r="X172" s="116">
        <f t="shared" si="460"/>
        <v>9.7852060722266487E-2</v>
      </c>
      <c r="Y172" s="116">
        <f t="shared" si="460"/>
        <v>9.7314256871962823E-2</v>
      </c>
      <c r="Z172" s="116">
        <f t="shared" si="460"/>
        <v>9.6776124999196522E-2</v>
      </c>
      <c r="AA172" s="116">
        <f t="shared" si="460"/>
        <v>9.6237664898678466E-2</v>
      </c>
      <c r="AB172" s="116">
        <f t="shared" si="460"/>
        <v>9.5698876364989083E-2</v>
      </c>
      <c r="AC172" s="116">
        <f t="shared" si="460"/>
        <v>9.5159759192575466E-2</v>
      </c>
      <c r="AD172" s="116">
        <f t="shared" si="460"/>
        <v>9.4620313175753146E-2</v>
      </c>
      <c r="AE172" s="116">
        <f t="shared" si="460"/>
        <v>9.4080538108704426E-2</v>
      </c>
      <c r="AF172" s="116">
        <f t="shared" si="460"/>
        <v>9.3540433785480159E-2</v>
      </c>
      <c r="AG172" s="116">
        <f t="shared" si="460"/>
        <v>9.2999999999998417E-2</v>
      </c>
    </row>
    <row r="173" spans="1:33" x14ac:dyDescent="0.35">
      <c r="A173" s="1"/>
      <c r="D173" s="81" t="b">
        <f>D163=SUM(D170:D172)</f>
        <v>1</v>
      </c>
      <c r="E173" s="81" t="b">
        <f t="shared" ref="E173:Q173" si="461">E163=SUM(E170:E172)</f>
        <v>1</v>
      </c>
      <c r="F173" s="81" t="b">
        <f t="shared" si="461"/>
        <v>1</v>
      </c>
      <c r="G173" s="81" t="b">
        <f t="shared" si="461"/>
        <v>1</v>
      </c>
      <c r="H173" s="81" t="b">
        <f t="shared" si="461"/>
        <v>1</v>
      </c>
      <c r="I173" s="81" t="b">
        <f t="shared" si="461"/>
        <v>1</v>
      </c>
      <c r="J173" s="81" t="b">
        <f t="shared" si="461"/>
        <v>1</v>
      </c>
      <c r="K173" s="81" t="b">
        <f t="shared" si="461"/>
        <v>1</v>
      </c>
      <c r="L173" s="81" t="b">
        <f t="shared" si="461"/>
        <v>1</v>
      </c>
      <c r="M173" s="81" t="b">
        <f t="shared" si="461"/>
        <v>1</v>
      </c>
      <c r="N173" s="81" t="b">
        <f t="shared" si="461"/>
        <v>1</v>
      </c>
      <c r="O173" s="81" t="b">
        <f t="shared" si="461"/>
        <v>1</v>
      </c>
      <c r="P173" s="81" t="b">
        <f t="shared" si="461"/>
        <v>1</v>
      </c>
      <c r="Q173" s="81" t="b">
        <f t="shared" si="461"/>
        <v>1</v>
      </c>
      <c r="R173" s="21"/>
    </row>
    <row r="174" spans="1:33" s="117" customFormat="1" x14ac:dyDescent="0.35">
      <c r="A174" s="149" t="s">
        <v>69</v>
      </c>
      <c r="B174" s="125" t="s">
        <v>70</v>
      </c>
      <c r="C174" s="126"/>
      <c r="D174" s="127">
        <f>D163*T174</f>
        <v>93.381560999999991</v>
      </c>
      <c r="E174" s="127">
        <f t="shared" ref="E174" si="462">E163*U174</f>
        <v>101.7111244967966</v>
      </c>
      <c r="F174" s="127">
        <f t="shared" ref="F174" si="463">F163*V174</f>
        <v>110.91931830125286</v>
      </c>
      <c r="G174" s="127">
        <f t="shared" ref="G174" si="464">G163*W174</f>
        <v>121.10907523759683</v>
      </c>
      <c r="H174" s="127">
        <f t="shared" ref="H174" si="465">H163*X174</f>
        <v>132.39643662972748</v>
      </c>
      <c r="I174" s="127">
        <f t="shared" ref="I174" si="466">I163*Y174</f>
        <v>144.91234056960008</v>
      </c>
      <c r="J174" s="127">
        <f t="shared" ref="J174" si="467">J163*Z174</f>
        <v>158.80466902773327</v>
      </c>
      <c r="K174" s="127">
        <f t="shared" ref="K174" si="468">K163*AA174</f>
        <v>174.24059327423706</v>
      </c>
      <c r="L174" s="127">
        <f t="shared" ref="L174" si="469">L163*AB174</f>
        <v>191.40926338405222</v>
      </c>
      <c r="M174" s="127">
        <f t="shared" ref="M174" si="470">M163*AC174</f>
        <v>210.52489495615131</v>
      </c>
      <c r="N174" s="127">
        <f t="shared" ref="N174" si="471">N163*AD174</f>
        <v>231.83031476530095</v>
      </c>
      <c r="O174" s="127">
        <f t="shared" ref="O174" si="472">O163*AE174</f>
        <v>255.60103710130738</v>
      </c>
      <c r="P174" s="127">
        <f t="shared" ref="P174" si="473">P163*AF174</f>
        <v>282.14995428790604</v>
      </c>
      <c r="Q174" s="127">
        <f t="shared" ref="Q174" si="474">Q163*AG174</f>
        <v>311.832738610999</v>
      </c>
      <c r="R174" s="68">
        <f>RATE(9,,-H174,Q174)</f>
        <v>9.9862459974244006E-2</v>
      </c>
      <c r="S174" s="125" t="s">
        <v>70</v>
      </c>
      <c r="T174" s="116">
        <v>0.42</v>
      </c>
      <c r="U174" s="116">
        <v>0.42007683867486062</v>
      </c>
      <c r="V174" s="116">
        <v>0.4201536914072973</v>
      </c>
      <c r="W174" s="116">
        <v>0.42023055819988187</v>
      </c>
      <c r="X174" s="116">
        <v>0.42030743905518658</v>
      </c>
      <c r="Y174" s="116">
        <v>0.42038433397578434</v>
      </c>
      <c r="Z174" s="116">
        <v>0.42046124296424836</v>
      </c>
      <c r="AA174" s="116">
        <v>0.42053816602315214</v>
      </c>
      <c r="AB174" s="116">
        <v>0.42061510315507006</v>
      </c>
      <c r="AC174" s="116">
        <v>0.42069205436257667</v>
      </c>
      <c r="AD174" s="116">
        <v>0.4207690196482472</v>
      </c>
      <c r="AE174" s="116">
        <v>0.42084599901465702</v>
      </c>
      <c r="AF174" s="116">
        <v>0.42092299246438242</v>
      </c>
      <c r="AG174" s="137">
        <v>0.42099999999999982</v>
      </c>
    </row>
    <row r="175" spans="1:33" s="117" customFormat="1" x14ac:dyDescent="0.35">
      <c r="A175" s="149"/>
      <c r="B175" s="125" t="s">
        <v>71</v>
      </c>
      <c r="C175" s="126"/>
      <c r="D175" s="127">
        <f>D163*T175</f>
        <v>51.137521500000013</v>
      </c>
      <c r="E175" s="127">
        <f t="shared" ref="E175" si="475">E163*U175</f>
        <v>55.725862250507632</v>
      </c>
      <c r="F175" s="127">
        <f t="shared" ref="F175" si="476">F163*V175</f>
        <v>60.800244915670788</v>
      </c>
      <c r="G175" s="127">
        <f t="shared" ref="G175" si="477">G163*W175</f>
        <v>66.417820561704616</v>
      </c>
      <c r="H175" s="127">
        <f t="shared" ref="H175" si="478">H163*X175</f>
        <v>72.643042383488336</v>
      </c>
      <c r="I175" s="127">
        <f t="shared" ref="I175" si="479">I163*Y175</f>
        <v>79.54866487125129</v>
      </c>
      <c r="J175" s="127">
        <f t="shared" ref="J175" si="480">J163*Z175</f>
        <v>87.216888006849402</v>
      </c>
      <c r="K175" s="127">
        <f t="shared" ref="K175" si="481">K163*AA175</f>
        <v>95.740668662156239</v>
      </c>
      <c r="L175" s="127">
        <f t="shared" ref="L175" si="482">L163*AB175</f>
        <v>105.22522492312723</v>
      </c>
      <c r="M175" s="127">
        <f t="shared" ref="M175" si="483">M163*AC175</f>
        <v>115.78976320731437</v>
      </c>
      <c r="N175" s="127">
        <f t="shared" ref="N175" si="484">N163*AD175</f>
        <v>127.56946288300315</v>
      </c>
      <c r="O175" s="127">
        <f t="shared" ref="O175" si="485">O163*AE175</f>
        <v>140.71775875622652</v>
      </c>
      <c r="P175" s="127">
        <f t="shared" ref="P175" si="486">P163*AF175</f>
        <v>155.40896841117601</v>
      </c>
      <c r="Q175" s="127">
        <f t="shared" ref="Q175" si="487">Q163*AG175</f>
        <v>171.84131913955312</v>
      </c>
      <c r="R175" s="68">
        <f>RATE(9,,-H175,Q175)</f>
        <v>0.10039390145146081</v>
      </c>
      <c r="S175" s="125" t="s">
        <v>71</v>
      </c>
      <c r="T175" s="116">
        <v>0.23000000000000007</v>
      </c>
      <c r="U175" s="116">
        <v>0.230153232131076</v>
      </c>
      <c r="V175" s="116">
        <v>0.23030656634948232</v>
      </c>
      <c r="W175" s="116">
        <v>0.23046000272323239</v>
      </c>
      <c r="X175" s="116">
        <v>0.23061354132038475</v>
      </c>
      <c r="Y175" s="116">
        <v>0.23076718220904338</v>
      </c>
      <c r="Z175" s="116">
        <v>0.23092092545735762</v>
      </c>
      <c r="AA175" s="116">
        <v>0.23107477113352223</v>
      </c>
      <c r="AB175" s="116">
        <v>0.23122871930577729</v>
      </c>
      <c r="AC175" s="116">
        <v>0.23138277004240856</v>
      </c>
      <c r="AD175" s="116">
        <v>0.23153692341174703</v>
      </c>
      <c r="AE175" s="116">
        <v>0.23169117948216938</v>
      </c>
      <c r="AF175" s="116">
        <v>0.23184553832209787</v>
      </c>
      <c r="AG175" s="137">
        <v>0.23200000000000018</v>
      </c>
    </row>
    <row r="176" spans="1:33" s="117" customFormat="1" x14ac:dyDescent="0.35">
      <c r="A176" s="149"/>
      <c r="B176" s="125" t="s">
        <v>72</v>
      </c>
      <c r="C176" s="126"/>
      <c r="D176" s="127">
        <f>D163*T176</f>
        <v>44.467409999999994</v>
      </c>
      <c r="E176" s="127">
        <f t="shared" ref="E176" si="488">E163*U176</f>
        <v>48.443591650129846</v>
      </c>
      <c r="F176" s="127">
        <f t="shared" ref="F176" si="489">F163*V176</f>
        <v>52.839931285789966</v>
      </c>
      <c r="G176" s="127">
        <f t="shared" ref="G176" si="490">G163*W176</f>
        <v>57.705726615490157</v>
      </c>
      <c r="H176" s="127">
        <f t="shared" ref="H176" si="491">H163*X176</f>
        <v>63.096561987810063</v>
      </c>
      <c r="I176" s="127">
        <f t="shared" ref="I176" si="492">I163*Y176</f>
        <v>69.075167093059335</v>
      </c>
      <c r="J176" s="127">
        <f t="shared" ref="J176" si="493">J163*Z176</f>
        <v>75.712400102112966</v>
      </c>
      <c r="K176" s="127">
        <f t="shared" ref="K176" si="494">K163*AA176</f>
        <v>83.088374237458893</v>
      </c>
      <c r="L176" s="127">
        <f t="shared" ref="L176" si="495">L163*AB176</f>
        <v>91.293749809206375</v>
      </c>
      <c r="M176" s="127">
        <f t="shared" ref="M176" si="496">M163*AC176</f>
        <v>100.43121729324463</v>
      </c>
      <c r="N176" s="127">
        <f t="shared" ref="N176" si="497">N163*AD176</f>
        <v>110.61720116777664</v>
      </c>
      <c r="O176" s="127">
        <f t="shared" ref="O176" si="498">O163*AE176</f>
        <v>121.98381906172685</v>
      </c>
      <c r="P176" s="127">
        <f t="shared" ref="P176" si="499">P163*AF176</f>
        <v>134.68113642640404</v>
      </c>
      <c r="Q176" s="127">
        <f t="shared" ref="Q176" si="500">Q163*AG176</f>
        <v>148.87976356487113</v>
      </c>
      <c r="R176" s="68">
        <f>RATE(9,,-H176,Q176)</f>
        <v>0.10008325152626207</v>
      </c>
      <c r="S176" s="125" t="s">
        <v>72</v>
      </c>
      <c r="T176" s="116">
        <v>0.19999999999999998</v>
      </c>
      <c r="U176" s="116">
        <v>0.20007674612901705</v>
      </c>
      <c r="V176" s="116">
        <v>0.20015352170787573</v>
      </c>
      <c r="W176" s="116">
        <v>0.2002303267478768</v>
      </c>
      <c r="X176" s="116">
        <v>0.20030716126032544</v>
      </c>
      <c r="Y176" s="116">
        <v>0.20038402525653101</v>
      </c>
      <c r="Z176" s="116">
        <v>0.20046091874780753</v>
      </c>
      <c r="AA176" s="116">
        <v>0.20053784174547304</v>
      </c>
      <c r="AB176" s="116">
        <v>0.20061479426085005</v>
      </c>
      <c r="AC176" s="116">
        <v>0.20069177630526541</v>
      </c>
      <c r="AD176" s="116">
        <v>0.20076878789005037</v>
      </c>
      <c r="AE176" s="116">
        <v>0.20084582902654041</v>
      </c>
      <c r="AF176" s="116">
        <v>0.20092289972607549</v>
      </c>
      <c r="AG176" s="137">
        <v>0.20099999999999973</v>
      </c>
    </row>
    <row r="177" spans="1:33" s="117" customFormat="1" x14ac:dyDescent="0.35">
      <c r="A177" s="149"/>
      <c r="B177" s="125" t="s">
        <v>73</v>
      </c>
      <c r="C177" s="126"/>
      <c r="D177" s="127">
        <f>D163*T177</f>
        <v>22.233704999999997</v>
      </c>
      <c r="E177" s="127">
        <f t="shared" ref="E177" si="501">E163*U177</f>
        <v>24.249415250929587</v>
      </c>
      <c r="F177" s="127">
        <f t="shared" ref="F177" si="502">F163*V177</f>
        <v>26.480251867601737</v>
      </c>
      <c r="G177" s="127">
        <f t="shared" ref="G177" si="503">G163*W177</f>
        <v>28.951676197442943</v>
      </c>
      <c r="H177" s="127">
        <f t="shared" ref="H177" si="504">H163*X177</f>
        <v>31.692421734462624</v>
      </c>
      <c r="I177" s="127">
        <f t="shared" ref="I177" si="505">I163*Y177</f>
        <v>34.734944251353085</v>
      </c>
      <c r="J177" s="127">
        <f t="shared" ref="J177" si="506">J163*Z177</f>
        <v>38.115937593637852</v>
      </c>
      <c r="K177" s="127">
        <f t="shared" ref="K177" si="507">K163*AA177</f>
        <v>41.876925221440857</v>
      </c>
      <c r="L177" s="127">
        <f t="shared" ref="L177" si="508">L163*AB177</f>
        <v>46.064939206863514</v>
      </c>
      <c r="M177" s="127">
        <f t="shared" ref="M177" si="509">M163*AC177</f>
        <v>50.733300289535499</v>
      </c>
      <c r="N177" s="127">
        <f t="shared" ref="N177" si="510">N163*AD177</f>
        <v>55.942514807091236</v>
      </c>
      <c r="O177" s="127">
        <f t="shared" ref="O177" si="511">O163*AE177</f>
        <v>61.761306907131917</v>
      </c>
      <c r="P177" s="127">
        <f t="shared" ref="P177" si="512">P163*AF177</f>
        <v>68.267807478843451</v>
      </c>
      <c r="Q177" s="127">
        <f t="shared" ref="Q177" si="513">Q163*AG177</f>
        <v>75.550924794113698</v>
      </c>
      <c r="R177" s="68">
        <f>RATE(9,,-H177,Q177)</f>
        <v>0.10133764521086792</v>
      </c>
      <c r="S177" s="125" t="s">
        <v>73</v>
      </c>
      <c r="T177" s="116">
        <v>9.9999999999999992E-2</v>
      </c>
      <c r="U177" s="116">
        <v>0.10015244398015953</v>
      </c>
      <c r="V177" s="116">
        <v>0.10030512035198993</v>
      </c>
      <c r="W177" s="116">
        <v>0.10045802946975833</v>
      </c>
      <c r="X177" s="116">
        <v>0.10061117168827188</v>
      </c>
      <c r="Y177" s="116">
        <v>0.10076454736287864</v>
      </c>
      <c r="Z177" s="116">
        <v>0.10091815684946834</v>
      </c>
      <c r="AA177" s="116">
        <v>0.10107200050447333</v>
      </c>
      <c r="AB177" s="116">
        <v>0.10122607868486923</v>
      </c>
      <c r="AC177" s="116">
        <v>0.10138039174817587</v>
      </c>
      <c r="AD177" s="116">
        <v>0.10153494005245813</v>
      </c>
      <c r="AE177" s="116">
        <v>0.10168972395632671</v>
      </c>
      <c r="AF177" s="116">
        <v>0.10184474381893897</v>
      </c>
      <c r="AG177" s="137">
        <v>0.10199999999999985</v>
      </c>
    </row>
    <row r="178" spans="1:33" s="117" customFormat="1" x14ac:dyDescent="0.35">
      <c r="A178" s="149"/>
      <c r="B178" s="125" t="s">
        <v>74</v>
      </c>
      <c r="C178" s="126"/>
      <c r="D178" s="127">
        <f>D163*T178</f>
        <v>11.116852500000009</v>
      </c>
      <c r="E178" s="127">
        <f t="shared" ref="E178" si="514">E163*U178</f>
        <v>11.995053801636276</v>
      </c>
      <c r="F178" s="127">
        <f t="shared" ref="F178" si="515">F163*V178</f>
        <v>12.957263699334606</v>
      </c>
      <c r="G178" s="127">
        <f t="shared" ref="G178" si="516">G163*W178</f>
        <v>14.012437380466695</v>
      </c>
      <c r="H178" s="127">
        <f t="shared" ref="H178" si="517">H163*X178</f>
        <v>15.170569704533937</v>
      </c>
      <c r="I178" s="127">
        <f t="shared" ref="I178" si="518">I163*Y178</f>
        <v>16.442824381600797</v>
      </c>
      <c r="J178" s="127">
        <f t="shared" ref="J178" si="519">J163*Z178</f>
        <v>17.841680141494457</v>
      </c>
      <c r="K178" s="127">
        <f t="shared" ref="K178" si="520">K163*AA178</f>
        <v>19.381096239102241</v>
      </c>
      <c r="L178" s="127">
        <f t="shared" ref="L178" si="521">L163*AB178</f>
        <v>21.076699978528172</v>
      </c>
      <c r="M178" s="127">
        <f t="shared" ref="M178" si="522">M163*AC178</f>
        <v>22.945999326608849</v>
      </c>
      <c r="N178" s="127">
        <f t="shared" ref="N178" si="523">N163*AD178</f>
        <v>25.008624132040939</v>
      </c>
      <c r="O178" s="127">
        <f t="shared" ref="O178" si="524">O163*AE178</f>
        <v>27.286599979103798</v>
      </c>
      <c r="P178" s="127">
        <f t="shared" ref="P178" si="525">P163*AF178</f>
        <v>29.804659295003354</v>
      </c>
      <c r="Q178" s="127">
        <f t="shared" ref="Q178" si="526">Q163*AG178</f>
        <v>32.590595009225837</v>
      </c>
      <c r="R178" s="68">
        <f>RATE(9,,-H178,Q178)</f>
        <v>8.8676712671040797E-2</v>
      </c>
      <c r="S178" s="125" t="s">
        <v>74</v>
      </c>
      <c r="T178" s="116">
        <f>1-SUM(T174:T177)</f>
        <v>5.0000000000000044E-2</v>
      </c>
      <c r="U178" s="116">
        <f t="shared" ref="U178:AG178" si="527">1-SUM(U174:U177)</f>
        <v>4.9540739084886765E-2</v>
      </c>
      <c r="V178" s="116">
        <f t="shared" si="527"/>
        <v>4.9081100183354764E-2</v>
      </c>
      <c r="W178" s="116">
        <f t="shared" si="527"/>
        <v>4.8621082859250597E-2</v>
      </c>
      <c r="X178" s="116">
        <f t="shared" si="527"/>
        <v>4.8160686675831288E-2</v>
      </c>
      <c r="Y178" s="116">
        <f t="shared" si="527"/>
        <v>4.7699911195762668E-2</v>
      </c>
      <c r="Z178" s="116">
        <f t="shared" si="527"/>
        <v>4.7238755981118041E-2</v>
      </c>
      <c r="AA178" s="116">
        <f t="shared" si="527"/>
        <v>4.6777220593379298E-2</v>
      </c>
      <c r="AB178" s="116">
        <f t="shared" si="527"/>
        <v>4.631530459343336E-2</v>
      </c>
      <c r="AC178" s="116">
        <f t="shared" si="527"/>
        <v>4.5853007541573509E-2</v>
      </c>
      <c r="AD178" s="116">
        <f t="shared" si="527"/>
        <v>4.5390328997497287E-2</v>
      </c>
      <c r="AE178" s="116">
        <f t="shared" si="527"/>
        <v>4.4927268520306485E-2</v>
      </c>
      <c r="AF178" s="116">
        <f t="shared" si="527"/>
        <v>4.4463825668505264E-2</v>
      </c>
      <c r="AG178" s="116">
        <f t="shared" si="527"/>
        <v>4.4000000000000372E-2</v>
      </c>
    </row>
    <row r="179" spans="1:33" x14ac:dyDescent="0.35">
      <c r="A179" s="2"/>
      <c r="D179" s="81" t="b">
        <f>D163=SUM(D174:D178)</f>
        <v>1</v>
      </c>
      <c r="E179" s="81" t="b">
        <f t="shared" ref="E179:Q179" si="528">E163=SUM(E174:E178)</f>
        <v>1</v>
      </c>
      <c r="F179" s="81" t="b">
        <f t="shared" si="528"/>
        <v>1</v>
      </c>
      <c r="G179" s="81" t="b">
        <f t="shared" si="528"/>
        <v>1</v>
      </c>
      <c r="H179" s="81" t="b">
        <f t="shared" si="528"/>
        <v>1</v>
      </c>
      <c r="I179" s="81" t="b">
        <f t="shared" si="528"/>
        <v>1</v>
      </c>
      <c r="J179" s="81" t="b">
        <f t="shared" si="528"/>
        <v>1</v>
      </c>
      <c r="K179" s="81" t="b">
        <f t="shared" si="528"/>
        <v>1</v>
      </c>
      <c r="L179" s="81" t="b">
        <f t="shared" si="528"/>
        <v>1</v>
      </c>
      <c r="M179" s="81" t="b">
        <f t="shared" si="528"/>
        <v>1</v>
      </c>
      <c r="N179" s="81" t="b">
        <f t="shared" si="528"/>
        <v>1</v>
      </c>
      <c r="O179" s="81" t="b">
        <f t="shared" si="528"/>
        <v>0</v>
      </c>
      <c r="P179" s="81" t="b">
        <f t="shared" si="528"/>
        <v>1</v>
      </c>
      <c r="Q179" s="81" t="b">
        <f t="shared" si="528"/>
        <v>1</v>
      </c>
      <c r="R179" s="21"/>
    </row>
    <row r="180" spans="1:33" s="117" customFormat="1" x14ac:dyDescent="0.35">
      <c r="A180" s="149" t="s">
        <v>75</v>
      </c>
      <c r="B180" s="128" t="s">
        <v>76</v>
      </c>
      <c r="C180" s="129"/>
      <c r="D180" s="130">
        <f>D163*T180</f>
        <v>48.914151000000004</v>
      </c>
      <c r="E180" s="130">
        <f t="shared" ref="E180" si="529">E163*U180</f>
        <v>53.359672620464643</v>
      </c>
      <c r="F180" s="130">
        <f t="shared" ref="F180" si="530">F163*V180</f>
        <v>58.280491073453618</v>
      </c>
      <c r="G180" s="130">
        <f t="shared" ref="G180" si="531">G163*W180</f>
        <v>63.732948199491808</v>
      </c>
      <c r="H180" s="130">
        <f t="shared" ref="H180" si="532">H163*X180</f>
        <v>69.780636654068758</v>
      </c>
      <c r="I180" s="130">
        <f t="shared" ref="I180" si="533">I163*Y180</f>
        <v>76.49539863951739</v>
      </c>
      <c r="J180" s="130">
        <f t="shared" ref="J180" si="534">J163*Z180</f>
        <v>83.958470497935963</v>
      </c>
      <c r="K180" s="130">
        <f t="shared" ref="K180" si="535">K163*AA180</f>
        <v>92.261795594198063</v>
      </c>
      <c r="L180" s="130">
        <f t="shared" ref="L180" si="536">L163*AB180</f>
        <v>101.50953152996536</v>
      </c>
      <c r="M180" s="130">
        <f t="shared" ref="M180" si="537">M163*AC180</f>
        <v>111.81978194800053</v>
      </c>
      <c r="N180" s="130">
        <f t="shared" ref="N180" si="538">N163*AD180</f>
        <v>123.32658811680177</v>
      </c>
      <c r="O180" s="130">
        <f t="shared" ref="O180" si="539">O163*AE180</f>
        <v>136.18222125361169</v>
      </c>
      <c r="P180" s="130">
        <f t="shared" ref="P180" si="540">P163*AF180</f>
        <v>150.55982329685932</v>
      </c>
      <c r="Q180" s="130">
        <f>Q163*AG180</f>
        <v>166.65645175172176</v>
      </c>
      <c r="R180" s="68">
        <f t="shared" ref="R180:R185" si="541">RATE(9,,-H180,Q180)</f>
        <v>0.10156388562077857</v>
      </c>
      <c r="S180" s="134" t="s">
        <v>76</v>
      </c>
      <c r="T180" s="116">
        <v>0.22000000000000003</v>
      </c>
      <c r="U180" s="116">
        <v>0.22038063877502673</v>
      </c>
      <c r="V180" s="116">
        <v>0.22076193612222184</v>
      </c>
      <c r="W180" s="116">
        <v>0.22114389318103134</v>
      </c>
      <c r="X180" s="116">
        <v>0.22152651109287255</v>
      </c>
      <c r="Y180" s="116">
        <v>0.22190979100113767</v>
      </c>
      <c r="Z180" s="116">
        <v>0.22229373405119721</v>
      </c>
      <c r="AA180" s="116">
        <v>0.22267834139040343</v>
      </c>
      <c r="AB180" s="116">
        <v>0.2230636141680935</v>
      </c>
      <c r="AC180" s="116">
        <v>0.22344955353559337</v>
      </c>
      <c r="AD180" s="116">
        <v>0.22383616064622086</v>
      </c>
      <c r="AE180" s="116">
        <v>0.22422343665528938</v>
      </c>
      <c r="AF180" s="116">
        <v>0.22461138272011094</v>
      </c>
      <c r="AG180" s="116">
        <v>0.22500000000000017</v>
      </c>
    </row>
    <row r="181" spans="1:33" s="117" customFormat="1" x14ac:dyDescent="0.35">
      <c r="A181" s="149"/>
      <c r="B181" s="128" t="s">
        <v>77</v>
      </c>
      <c r="C181" s="129"/>
      <c r="D181" s="130">
        <f>D163*T181</f>
        <v>84.488078999999999</v>
      </c>
      <c r="E181" s="130">
        <f t="shared" ref="E181" si="542">E163*U181</f>
        <v>92.007518030999989</v>
      </c>
      <c r="F181" s="130">
        <f t="shared" ref="F181" si="543">F163*V181</f>
        <v>100.31886382646698</v>
      </c>
      <c r="G181" s="130">
        <f t="shared" ref="G181" si="544">G163*W181</f>
        <v>109.51475967722646</v>
      </c>
      <c r="H181" s="130">
        <f t="shared" ref="H181" si="545">H163*X181</f>
        <v>119.69963232720853</v>
      </c>
      <c r="I181" s="130">
        <f t="shared" ref="I181" si="546">I163*Y181</f>
        <v>130.99129764340853</v>
      </c>
      <c r="J181" s="130">
        <f t="shared" ref="J181" si="547">J163*Z181</f>
        <v>143.52279845129465</v>
      </c>
      <c r="K181" s="130">
        <f t="shared" ref="K181" si="548">K163*AA181</f>
        <v>157.44450990107021</v>
      </c>
      <c r="L181" s="130">
        <f t="shared" ref="L181" si="549">L163*AB181</f>
        <v>172.92655337467545</v>
      </c>
      <c r="M181" s="130">
        <f t="shared" ref="M181" si="550">M163*AC181</f>
        <v>190.16156652768476</v>
      </c>
      <c r="N181" s="130">
        <f t="shared" ref="N181" si="551">N163*AD181</f>
        <v>209.36788474698091</v>
      </c>
      <c r="O181" s="130">
        <f t="shared" ref="O181" si="552">O163*AE181</f>
        <v>230.79319828608865</v>
      </c>
      <c r="P181" s="130">
        <f t="shared" ref="P181" si="553">P163*AF181</f>
        <v>254.71875984174648</v>
      </c>
      <c r="Q181" s="130">
        <f t="shared" ref="Q181" si="554">Q163*AG181</f>
        <v>281.46422962512986</v>
      </c>
      <c r="R181" s="68">
        <f t="shared" si="541"/>
        <v>9.9661277794807851E-2</v>
      </c>
      <c r="S181" s="134" t="s">
        <v>77</v>
      </c>
      <c r="T181" s="116">
        <v>0.38</v>
      </c>
      <c r="U181" s="116">
        <v>0.38</v>
      </c>
      <c r="V181" s="116">
        <v>0.38</v>
      </c>
      <c r="W181" s="116">
        <v>0.38</v>
      </c>
      <c r="X181" s="116">
        <v>0.38</v>
      </c>
      <c r="Y181" s="116">
        <v>0.38</v>
      </c>
      <c r="Z181" s="116">
        <v>0.38</v>
      </c>
      <c r="AA181" s="116">
        <v>0.38</v>
      </c>
      <c r="AB181" s="116">
        <v>0.38</v>
      </c>
      <c r="AC181" s="116">
        <v>0.38</v>
      </c>
      <c r="AD181" s="116">
        <v>0.38</v>
      </c>
      <c r="AE181" s="116">
        <v>0.38</v>
      </c>
      <c r="AF181" s="116">
        <v>0.38</v>
      </c>
      <c r="AG181" s="116">
        <v>0.38</v>
      </c>
    </row>
    <row r="182" spans="1:33" s="117" customFormat="1" x14ac:dyDescent="0.35">
      <c r="A182" s="149"/>
      <c r="B182" s="128" t="s">
        <v>78</v>
      </c>
      <c r="C182" s="129"/>
      <c r="D182" s="132">
        <f>D163*T182</f>
        <v>37.797298499999989</v>
      </c>
      <c r="E182" s="132">
        <f t="shared" ref="E182" si="555">E163*U182</f>
        <v>41.360257026482479</v>
      </c>
      <c r="F182" s="132">
        <f t="shared" ref="F182" si="556">F163*V182</f>
        <v>45.314491102784444</v>
      </c>
      <c r="G182" s="132">
        <f t="shared" ref="G182" si="557">G163*W182</f>
        <v>49.707479882533832</v>
      </c>
      <c r="H182" s="132">
        <f t="shared" ref="H182" si="558">H163*X182</f>
        <v>54.592941640640454</v>
      </c>
      <c r="I182" s="132">
        <f t="shared" ref="I182" si="559">I163*Y182</f>
        <v>60.031709786005607</v>
      </c>
      <c r="J182" s="132">
        <f t="shared" ref="J182" si="560">J163*Z182</f>
        <v>66.092739115034306</v>
      </c>
      <c r="K182" s="132">
        <f t="shared" ref="K182" si="561">K163*AA182</f>
        <v>72.854262672033116</v>
      </c>
      <c r="L182" s="132">
        <f t="shared" ref="L182" si="562">L163*AB182</f>
        <v>80.40512291484346</v>
      </c>
      <c r="M182" s="132">
        <f t="shared" ref="M182" si="563">M163*AC182</f>
        <v>88.846304784447526</v>
      </c>
      <c r="N182" s="132">
        <f t="shared" ref="N182" si="564">N163*AD182</f>
        <v>98.292702846376045</v>
      </c>
      <c r="O182" s="132">
        <f t="shared" ref="O182" si="565">O163*AE182</f>
        <v>108.87516002856988</v>
      </c>
      <c r="P182" s="132">
        <f t="shared" ref="P182" si="566">P163*AF182</f>
        <v>120.74282176585976</v>
      </c>
      <c r="Q182" s="132">
        <f t="shared" ref="Q182" si="567">Q163*AG182</f>
        <v>134.06585674249584</v>
      </c>
      <c r="R182" s="68">
        <f t="shared" si="541"/>
        <v>0.10497772002451318</v>
      </c>
      <c r="S182" s="134" t="s">
        <v>78</v>
      </c>
      <c r="T182" s="116">
        <v>0.16999999999999998</v>
      </c>
      <c r="U182" s="116">
        <v>0.17082188506343435</v>
      </c>
      <c r="V182" s="116">
        <v>0.17164774362720694</v>
      </c>
      <c r="W182" s="116">
        <v>0.17247759490167405</v>
      </c>
      <c r="X182" s="116">
        <v>0.17331145819006682</v>
      </c>
      <c r="Y182" s="116">
        <v>0.17414935288894001</v>
      </c>
      <c r="Z182" s="116">
        <v>0.17499129848862341</v>
      </c>
      <c r="AA182" s="116">
        <v>0.17583731457367507</v>
      </c>
      <c r="AB182" s="116">
        <v>0.17668742082333691</v>
      </c>
      <c r="AC182" s="116">
        <v>0.17754163701199244</v>
      </c>
      <c r="AD182" s="116">
        <v>0.17839998300962681</v>
      </c>
      <c r="AE182" s="116">
        <v>0.17926247878228888</v>
      </c>
      <c r="AF182" s="116">
        <v>0.18012914439255584</v>
      </c>
      <c r="AG182" s="116">
        <v>0.18099999999999969</v>
      </c>
    </row>
    <row r="183" spans="1:33" s="117" customFormat="1" x14ac:dyDescent="0.35">
      <c r="A183" s="149"/>
      <c r="B183" s="128" t="s">
        <v>79</v>
      </c>
      <c r="C183" s="129"/>
      <c r="D183" s="132">
        <f>D163*T183</f>
        <v>31.127186999999999</v>
      </c>
      <c r="E183" s="132">
        <f t="shared" ref="E183" si="568">E163*U183</f>
        <v>33.91607052522037</v>
      </c>
      <c r="F183" s="132">
        <f t="shared" ref="F183" si="569">F163*V183</f>
        <v>37.000074133745606</v>
      </c>
      <c r="G183" s="132">
        <f t="shared" ref="G183" si="570">G163*W183</f>
        <v>40.413868032559989</v>
      </c>
      <c r="H183" s="132">
        <f t="shared" ref="H183" si="571">H163*X183</f>
        <v>44.196548637562692</v>
      </c>
      <c r="I183" s="132">
        <f t="shared" ref="I183" si="572">I163*Y183</f>
        <v>48.39224377430984</v>
      </c>
      <c r="J183" s="132">
        <f t="shared" ref="J183" si="573">J163*Z183</f>
        <v>53.050805663657428</v>
      </c>
      <c r="K183" s="132">
        <f t="shared" ref="K183" si="574">K163*AA183</f>
        <v>58.22860510443703</v>
      </c>
      <c r="L183" s="132">
        <f t="shared" ref="L183" si="575">L163*AB183</f>
        <v>63.989442411996308</v>
      </c>
      <c r="M183" s="132">
        <f t="shared" ref="M183" si="576">M163*AC183</f>
        <v>70.40559317652766</v>
      </c>
      <c r="N183" s="132">
        <f t="shared" ref="N183" si="577">N163*AD183</f>
        <v>77.559009830773277</v>
      </c>
      <c r="O183" s="132">
        <f t="shared" ref="O183" si="578">O163*AE183</f>
        <v>85.542703436308514</v>
      </c>
      <c r="P183" s="132">
        <f t="shared" ref="P183" si="579">P163*AF183</f>
        <v>94.462334097796315</v>
      </c>
      <c r="Q183" s="132">
        <f t="shared" ref="Q183" si="580">Q163*AG183</f>
        <v>104.43804309774575</v>
      </c>
      <c r="R183" s="68">
        <f t="shared" si="541"/>
        <v>0.10026350446167821</v>
      </c>
      <c r="S183" s="134" t="s">
        <v>79</v>
      </c>
      <c r="T183" s="116">
        <v>0.14000000000000001</v>
      </c>
      <c r="U183" s="116">
        <v>0.14007667063947282</v>
      </c>
      <c r="V183" s="116">
        <v>0.14015338326742385</v>
      </c>
      <c r="W183" s="116">
        <v>0.1402301379068481</v>
      </c>
      <c r="X183" s="116">
        <v>0.14030693458075291</v>
      </c>
      <c r="Y183" s="116">
        <v>0.14038377331215846</v>
      </c>
      <c r="Z183" s="116">
        <v>0.14046065412409731</v>
      </c>
      <c r="AA183" s="116">
        <v>0.14053757703961495</v>
      </c>
      <c r="AB183" s="116">
        <v>0.14061454208176913</v>
      </c>
      <c r="AC183" s="116">
        <v>0.14069154927363042</v>
      </c>
      <c r="AD183" s="116">
        <v>0.14076859863828203</v>
      </c>
      <c r="AE183" s="116">
        <v>0.14084569019881982</v>
      </c>
      <c r="AF183" s="116">
        <v>0.14092282397835218</v>
      </c>
      <c r="AG183" s="116">
        <v>0.14100000000000026</v>
      </c>
    </row>
    <row r="184" spans="1:33" s="117" customFormat="1" x14ac:dyDescent="0.35">
      <c r="A184" s="149"/>
      <c r="B184" s="128" t="s">
        <v>80</v>
      </c>
      <c r="C184" s="129"/>
      <c r="D184" s="132">
        <f>D163*T184</f>
        <v>8.8934820000000059</v>
      </c>
      <c r="E184" s="132">
        <f t="shared" ref="E184" si="581">E163*U184</f>
        <v>8.9811693299581439</v>
      </c>
      <c r="F184" s="132">
        <f t="shared" ref="F184" si="582">F163*V184</f>
        <v>9.0808258812757163</v>
      </c>
      <c r="G184" s="132">
        <f t="shared" ref="G184" si="583">G163*W184</f>
        <v>9.1928161052902002</v>
      </c>
      <c r="H184" s="132">
        <f t="shared" ref="H184" si="584">H163*X184</f>
        <v>9.3175537961500066</v>
      </c>
      <c r="I184" s="132">
        <f t="shared" ref="I184" si="585">I163*Y184</f>
        <v>9.4555046238424563</v>
      </c>
      <c r="J184" s="132">
        <f t="shared" ref="J184" si="586">J163*Z184</f>
        <v>9.6071890129027295</v>
      </c>
      <c r="K184" s="132">
        <f t="shared" ref="K184" si="587">K163*AA184</f>
        <v>9.7731853915680773</v>
      </c>
      <c r="L184" s="132">
        <f t="shared" ref="L184" si="588">L163*AB184</f>
        <v>9.9541338395921688</v>
      </c>
      <c r="M184" s="132">
        <f t="shared" ref="M184" si="589">M163*AC184</f>
        <v>10.150740166697748</v>
      </c>
      <c r="N184" s="132">
        <f t="shared" ref="N184" si="590">N163*AD184</f>
        <v>10.363780457767495</v>
      </c>
      <c r="O184" s="132">
        <f t="shared" ref="O184" si="591">O163*AE184</f>
        <v>10.594106125402407</v>
      </c>
      <c r="P184" s="132">
        <f t="shared" ref="P184" si="592">P163*AF184</f>
        <v>10.842649515469843</v>
      </c>
      <c r="Q184" s="132">
        <f t="shared" ref="Q184" si="593">Q163*AG184</f>
        <v>11.110430116781446</v>
      </c>
      <c r="R184" s="68">
        <f t="shared" si="541"/>
        <v>1.9746226742296355E-2</v>
      </c>
      <c r="S184" s="134" t="s">
        <v>80</v>
      </c>
      <c r="T184" s="116">
        <v>4.0000000000000029E-2</v>
      </c>
      <c r="U184" s="116">
        <v>3.7093103024844219E-2</v>
      </c>
      <c r="V184" s="116">
        <v>3.4397457300292665E-2</v>
      </c>
      <c r="W184" s="116">
        <v>3.1897710685810869E-2</v>
      </c>
      <c r="X184" s="116">
        <v>2.9579626718136409E-2</v>
      </c>
      <c r="Y184" s="116">
        <v>2.7430003532306693E-2</v>
      </c>
      <c r="Z184" s="116">
        <v>2.543659867489231E-2</v>
      </c>
      <c r="AA184" s="116">
        <v>2.3588059381234896E-2</v>
      </c>
      <c r="AB184" s="116">
        <v>2.1873857919607213E-2</v>
      </c>
      <c r="AC184" s="116">
        <v>2.0284231634069862E-2</v>
      </c>
      <c r="AD184" s="116">
        <v>1.8810127344558929E-2</v>
      </c>
      <c r="AE184" s="116">
        <v>1.7443149787554083E-2</v>
      </c>
      <c r="AF184" s="116">
        <v>1.617551380368832E-2</v>
      </c>
      <c r="AG184" s="116">
        <v>1.5000000000000005E-2</v>
      </c>
    </row>
    <row r="185" spans="1:33" s="117" customFormat="1" x14ac:dyDescent="0.35">
      <c r="A185" s="149"/>
      <c r="B185" s="128" t="s">
        <v>81</v>
      </c>
      <c r="C185" s="129"/>
      <c r="D185" s="132">
        <f>D163*T185</f>
        <v>4.4467410000000003</v>
      </c>
      <c r="E185" s="132">
        <f t="shared" ref="E185" si="594">E163*U185</f>
        <v>4.878134462806444</v>
      </c>
      <c r="F185" s="132">
        <f t="shared" ref="F185" si="595">F163*V185</f>
        <v>5.3579309123742602</v>
      </c>
      <c r="G185" s="132">
        <f t="shared" ref="G185" si="596">G163*W185</f>
        <v>5.892114959090498</v>
      </c>
      <c r="H185" s="132">
        <f t="shared" ref="H185" si="597">H163*X185</f>
        <v>6.4874709519746387</v>
      </c>
      <c r="I185" s="132">
        <f t="shared" ref="I185" si="598">I163*Y185</f>
        <v>7.1516970134909261</v>
      </c>
      <c r="J185" s="132">
        <f t="shared" ref="J185" si="599">J163*Z185</f>
        <v>7.89353627391516</v>
      </c>
      <c r="K185" s="132">
        <f t="shared" ref="K185" si="600">K163*AA185</f>
        <v>8.7229280314436437</v>
      </c>
      <c r="L185" s="132">
        <f t="shared" ref="L185" si="601">L163*AB185</f>
        <v>9.6511820160507682</v>
      </c>
      <c r="M185" s="132">
        <f t="shared" ref="M185" si="602">M163*AC185</f>
        <v>10.691179464901209</v>
      </c>
      <c r="N185" s="132">
        <f t="shared" ref="N185" si="603">N163*AD185</f>
        <v>11.857605338872441</v>
      </c>
      <c r="O185" s="132">
        <f t="shared" ref="O185" si="604">O163*AE185</f>
        <v>13.167216740002806</v>
      </c>
      <c r="P185" s="132">
        <f t="shared" ref="P185" si="605">P163*AF185</f>
        <v>14.639153448096298</v>
      </c>
      <c r="Q185" s="132">
        <f t="shared" ref="Q185" si="606">Q163*AG185</f>
        <v>16.295297504612787</v>
      </c>
      <c r="R185" s="68">
        <f t="shared" si="541"/>
        <v>0.10775312862523438</v>
      </c>
      <c r="S185" s="134" t="s">
        <v>81</v>
      </c>
      <c r="T185" s="116">
        <v>2.0000000000000004E-2</v>
      </c>
      <c r="U185" s="116">
        <v>2.0147169878464571E-2</v>
      </c>
      <c r="V185" s="116">
        <v>2.0295422705585511E-2</v>
      </c>
      <c r="W185" s="116">
        <v>2.0444766450233912E-2</v>
      </c>
      <c r="X185" s="116">
        <v>2.0595209139919784E-2</v>
      </c>
      <c r="Y185" s="116">
        <v>2.0746758861223506E-2</v>
      </c>
      <c r="Z185" s="116">
        <v>2.0899423760230504E-2</v>
      </c>
      <c r="AA185" s="116">
        <v>2.1053212042969137E-2</v>
      </c>
      <c r="AB185" s="116">
        <v>2.1208131975851766E-2</v>
      </c>
      <c r="AC185" s="116">
        <v>2.1364191886119096E-2</v>
      </c>
      <c r="AD185" s="116">
        <v>2.1521400162287797E-2</v>
      </c>
      <c r="AE185" s="116">
        <v>2.1679765254601358E-2</v>
      </c>
      <c r="AF185" s="116">
        <v>2.1839295675484361E-2</v>
      </c>
      <c r="AG185" s="116">
        <v>2.2000000000000006E-2</v>
      </c>
    </row>
    <row r="186" spans="1:33" s="117" customFormat="1" x14ac:dyDescent="0.35">
      <c r="A186" s="149"/>
      <c r="B186" s="128" t="s">
        <v>82</v>
      </c>
      <c r="C186" s="129"/>
      <c r="D186" s="132">
        <f>D163*T186</f>
        <v>6.6701114999999804</v>
      </c>
      <c r="E186" s="132">
        <f t="shared" ref="E186" si="607">E163*U186</f>
        <v>7.622225454067876</v>
      </c>
      <c r="F186" s="132">
        <f t="shared" ref="F186" si="608">F163*V186</f>
        <v>8.644333139549337</v>
      </c>
      <c r="G186" s="132">
        <f t="shared" ref="G186" si="609">G163*W186</f>
        <v>9.7427491365084364</v>
      </c>
      <c r="H186" s="132">
        <f t="shared" ref="H186" si="610">H163*X186</f>
        <v>10.924248432417349</v>
      </c>
      <c r="I186" s="132">
        <f t="shared" ref="I186" si="611">I163*Y186</f>
        <v>12.196089686289822</v>
      </c>
      <c r="J186" s="132">
        <f t="shared" ref="J186" si="612">J163*Z186</f>
        <v>13.566035857087735</v>
      </c>
      <c r="K186" s="132">
        <f t="shared" ref="K186" si="613">K163*AA186</f>
        <v>15.042370939645183</v>
      </c>
      <c r="L186" s="132">
        <f t="shared" ref="L186" si="614">L163*AB186</f>
        <v>16.633911214654006</v>
      </c>
      <c r="M186" s="132">
        <f t="shared" ref="M186" si="615">M163*AC186</f>
        <v>18.350009004595254</v>
      </c>
      <c r="N186" s="132">
        <f t="shared" ref="N186" si="616">N163*AD186</f>
        <v>20.200546417641043</v>
      </c>
      <c r="O186" s="132">
        <f t="shared" ref="O186" si="617">O163*AE186</f>
        <v>22.195915935512428</v>
      </c>
      <c r="P186" s="132">
        <f t="shared" ref="P186" si="618">P163*AF186</f>
        <v>24.346983933504763</v>
      </c>
      <c r="Q186" s="132">
        <f t="shared" ref="Q186" si="619">Q163*AG186</f>
        <v>26.665032280275319</v>
      </c>
      <c r="R186" s="68">
        <f>RATE(9,,-H186,Q186)</f>
        <v>0.10423414381307439</v>
      </c>
      <c r="S186" s="134" t="s">
        <v>82</v>
      </c>
      <c r="T186" s="116">
        <f>1-SUM(T180:T185)</f>
        <v>2.9999999999999916E-2</v>
      </c>
      <c r="U186" s="116">
        <f t="shared" ref="U186:AG186" si="620">1-SUM(U180:U185)</f>
        <v>3.1480532618757273E-2</v>
      </c>
      <c r="V186" s="116">
        <f t="shared" si="620"/>
        <v>3.2744056977269231E-2</v>
      </c>
      <c r="W186" s="116">
        <f t="shared" si="620"/>
        <v>3.380589687440172E-2</v>
      </c>
      <c r="X186" s="116">
        <f t="shared" si="620"/>
        <v>3.468026027825144E-2</v>
      </c>
      <c r="Y186" s="116">
        <f t="shared" si="620"/>
        <v>3.5380320404233667E-2</v>
      </c>
      <c r="Z186" s="116">
        <f t="shared" si="620"/>
        <v>3.5918290900959216E-2</v>
      </c>
      <c r="AA186" s="116">
        <f t="shared" si="620"/>
        <v>3.6305495572102608E-2</v>
      </c>
      <c r="AB186" s="116">
        <f t="shared" si="620"/>
        <v>3.655243303134148E-2</v>
      </c>
      <c r="AC186" s="116">
        <f t="shared" si="620"/>
        <v>3.6668836658594883E-2</v>
      </c>
      <c r="AD186" s="116">
        <f t="shared" si="620"/>
        <v>3.6663730199023692E-2</v>
      </c>
      <c r="AE186" s="116">
        <f t="shared" si="620"/>
        <v>3.6545479321446361E-2</v>
      </c>
      <c r="AF186" s="116">
        <f t="shared" si="620"/>
        <v>3.6321839429808267E-2</v>
      </c>
      <c r="AG186" s="116">
        <f t="shared" si="620"/>
        <v>3.599999999999981E-2</v>
      </c>
    </row>
    <row r="188" spans="1:33" ht="25" x14ac:dyDescent="0.5">
      <c r="A188" s="146" t="s">
        <v>93</v>
      </c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63"/>
    </row>
    <row r="189" spans="1:33" ht="23.5" thickBot="1" x14ac:dyDescent="0.55000000000000004">
      <c r="A189" s="63"/>
      <c r="B189" s="63"/>
      <c r="C189" s="63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</row>
    <row r="190" spans="1:33" ht="16" hidden="1" thickBot="1" x14ac:dyDescent="0.4">
      <c r="A190" s="42"/>
      <c r="B190" s="43"/>
      <c r="C190" s="93"/>
      <c r="D190" s="91">
        <v>2023</v>
      </c>
      <c r="E190" s="65">
        <v>2024</v>
      </c>
      <c r="F190" s="65">
        <v>2025</v>
      </c>
      <c r="G190" s="65">
        <v>2026</v>
      </c>
      <c r="H190" s="65">
        <v>2027</v>
      </c>
      <c r="I190" s="65">
        <v>2028</v>
      </c>
      <c r="J190" s="65">
        <v>2029</v>
      </c>
      <c r="K190" s="65">
        <v>2030</v>
      </c>
      <c r="L190" s="65">
        <v>2031</v>
      </c>
      <c r="M190" s="65">
        <v>2032</v>
      </c>
      <c r="N190" s="65">
        <v>2033</v>
      </c>
      <c r="O190" s="65">
        <v>2034</v>
      </c>
      <c r="P190" s="65">
        <v>2035</v>
      </c>
      <c r="Q190" s="65">
        <v>2036</v>
      </c>
      <c r="R190" s="66" t="s">
        <v>13</v>
      </c>
    </row>
    <row r="191" spans="1:33" ht="16" hidden="1" thickBot="1" x14ac:dyDescent="0.4">
      <c r="A191" s="25"/>
      <c r="B191" s="94"/>
      <c r="C191" s="95"/>
      <c r="D191" s="92" t="e">
        <f>#REF!</f>
        <v>#REF!</v>
      </c>
      <c r="E191" s="92" t="e">
        <f>#REF!</f>
        <v>#REF!</v>
      </c>
      <c r="F191" s="92" t="e">
        <f>#REF!</f>
        <v>#REF!</v>
      </c>
      <c r="G191" s="92" t="e">
        <f>#REF!</f>
        <v>#REF!</v>
      </c>
      <c r="H191" s="92" t="e">
        <f>#REF!</f>
        <v>#REF!</v>
      </c>
      <c r="I191" s="92" t="e">
        <f>#REF!</f>
        <v>#REF!</v>
      </c>
      <c r="J191" s="92" t="e">
        <f>#REF!</f>
        <v>#REF!</v>
      </c>
      <c r="K191" s="92" t="e">
        <f>#REF!</f>
        <v>#REF!</v>
      </c>
      <c r="L191" s="92" t="e">
        <f>#REF!</f>
        <v>#REF!</v>
      </c>
      <c r="M191" s="92" t="e">
        <f>#REF!</f>
        <v>#REF!</v>
      </c>
      <c r="N191" s="92" t="e">
        <f>#REF!</f>
        <v>#REF!</v>
      </c>
      <c r="O191" s="92" t="e">
        <f>#REF!</f>
        <v>#REF!</v>
      </c>
      <c r="P191" s="92" t="e">
        <f>#REF!</f>
        <v>#REF!</v>
      </c>
      <c r="Q191" s="92" t="e">
        <f>#REF!</f>
        <v>#REF!</v>
      </c>
      <c r="R191" s="68" t="e">
        <f>RATE(12,,-E191,Q191)</f>
        <v>#REF!</v>
      </c>
      <c r="T191" s="65">
        <v>2023</v>
      </c>
      <c r="U191" s="65">
        <v>2024</v>
      </c>
      <c r="V191" s="65">
        <v>2025</v>
      </c>
      <c r="W191" s="65">
        <v>2026</v>
      </c>
      <c r="X191" s="65">
        <v>2027</v>
      </c>
      <c r="Y191" s="65">
        <v>2028</v>
      </c>
      <c r="Z191" s="65">
        <v>2029</v>
      </c>
      <c r="AA191" s="65">
        <v>2030</v>
      </c>
      <c r="AB191" s="65">
        <v>2031</v>
      </c>
      <c r="AC191" s="65">
        <v>2032</v>
      </c>
      <c r="AD191" s="65">
        <v>2033</v>
      </c>
      <c r="AE191" s="65">
        <v>2034</v>
      </c>
      <c r="AF191" s="65">
        <v>2035</v>
      </c>
      <c r="AG191" s="65">
        <v>2036</v>
      </c>
    </row>
    <row r="192" spans="1:33" ht="15" hidden="1" thickBot="1" x14ac:dyDescent="0.4">
      <c r="A192" s="150" t="s">
        <v>49</v>
      </c>
      <c r="B192" s="52" t="s">
        <v>34</v>
      </c>
      <c r="C192" s="45"/>
      <c r="D192" s="79" t="e">
        <f t="shared" ref="D192" si="621">D191*T192</f>
        <v>#REF!</v>
      </c>
      <c r="E192" s="79" t="e">
        <f t="shared" ref="E192" si="622">E191*U192</f>
        <v>#REF!</v>
      </c>
      <c r="F192" s="79" t="e">
        <f t="shared" ref="F192" si="623">F191*V192</f>
        <v>#REF!</v>
      </c>
      <c r="G192" s="79" t="e">
        <f t="shared" ref="G192" si="624">G191*W192</f>
        <v>#REF!</v>
      </c>
      <c r="H192" s="79" t="e">
        <f t="shared" ref="H192" si="625">H191*X192</f>
        <v>#REF!</v>
      </c>
      <c r="I192" s="79" t="e">
        <f t="shared" ref="I192" si="626">I191*Y192</f>
        <v>#REF!</v>
      </c>
      <c r="J192" s="79" t="e">
        <f t="shared" ref="J192" si="627">J191*Z192</f>
        <v>#REF!</v>
      </c>
      <c r="K192" s="79" t="e">
        <f t="shared" ref="K192" si="628">K191*AA192</f>
        <v>#REF!</v>
      </c>
      <c r="L192" s="79" t="e">
        <f t="shared" ref="L192" si="629">L191*AB192</f>
        <v>#REF!</v>
      </c>
      <c r="M192" s="79" t="e">
        <f t="shared" ref="M192" si="630">M191*AC192</f>
        <v>#REF!</v>
      </c>
      <c r="N192" s="79" t="e">
        <f t="shared" ref="N192" si="631">N191*AD192</f>
        <v>#REF!</v>
      </c>
      <c r="O192" s="79" t="e">
        <f t="shared" ref="O192" si="632">O191*AE192</f>
        <v>#REF!</v>
      </c>
      <c r="P192" s="79" t="e">
        <f t="shared" ref="P192" si="633">P191*AF192</f>
        <v>#REF!</v>
      </c>
      <c r="Q192" s="79" t="e">
        <f t="shared" ref="Q192" si="634">Q191*AG192</f>
        <v>#REF!</v>
      </c>
      <c r="R192" s="77" t="e">
        <f>RATE(12,,-E192,Q192)</f>
        <v>#REF!</v>
      </c>
      <c r="S192" s="52"/>
      <c r="T192" s="12">
        <v>0.56000000000000005</v>
      </c>
      <c r="U192" s="12">
        <v>0.56092161367703952</v>
      </c>
      <c r="V192" s="12">
        <v>0.56184474408938223</v>
      </c>
      <c r="W192" s="12">
        <v>0.56276939373317769</v>
      </c>
      <c r="X192" s="12">
        <v>0.56369556510868446</v>
      </c>
      <c r="Y192" s="12">
        <v>0.56462326072027491</v>
      </c>
      <c r="Z192" s="12">
        <v>0.56555248307644368</v>
      </c>
      <c r="AA192" s="12">
        <v>0.56648323468981299</v>
      </c>
      <c r="AB192" s="12">
        <v>0.56741551807714108</v>
      </c>
      <c r="AC192" s="12">
        <v>0.56834933575932756</v>
      </c>
      <c r="AD192" s="12">
        <v>0.56928469026142059</v>
      </c>
      <c r="AE192" s="12">
        <v>0.57022158411262425</v>
      </c>
      <c r="AF192" s="12">
        <v>0.57116001984630527</v>
      </c>
      <c r="AG192" s="12">
        <v>0.57209999999999905</v>
      </c>
    </row>
    <row r="193" spans="1:33" ht="15" hidden="1" thickBot="1" x14ac:dyDescent="0.4">
      <c r="A193" s="151"/>
      <c r="B193" s="53" t="s">
        <v>35</v>
      </c>
      <c r="C193" s="46"/>
      <c r="D193" s="80" t="e">
        <f t="shared" ref="D193" si="635">D191*T193</f>
        <v>#REF!</v>
      </c>
      <c r="E193" s="80" t="e">
        <f t="shared" ref="E193" si="636">E191*U193</f>
        <v>#REF!</v>
      </c>
      <c r="F193" s="80" t="e">
        <f t="shared" ref="F193" si="637">F191*V193</f>
        <v>#REF!</v>
      </c>
      <c r="G193" s="80" t="e">
        <f t="shared" ref="G193" si="638">G191*W193</f>
        <v>#REF!</v>
      </c>
      <c r="H193" s="80" t="e">
        <f t="shared" ref="H193" si="639">H191*X193</f>
        <v>#REF!</v>
      </c>
      <c r="I193" s="80" t="e">
        <f t="shared" ref="I193" si="640">I191*Y193</f>
        <v>#REF!</v>
      </c>
      <c r="J193" s="80" t="e">
        <f t="shared" ref="J193" si="641">J191*Z193</f>
        <v>#REF!</v>
      </c>
      <c r="K193" s="80" t="e">
        <f t="shared" ref="K193" si="642">K191*AA193</f>
        <v>#REF!</v>
      </c>
      <c r="L193" s="80" t="e">
        <f t="shared" ref="L193" si="643">L191*AB193</f>
        <v>#REF!</v>
      </c>
      <c r="M193" s="80" t="e">
        <f t="shared" ref="M193" si="644">M191*AC193</f>
        <v>#REF!</v>
      </c>
      <c r="N193" s="80" t="e">
        <f t="shared" ref="N193" si="645">N191*AD193</f>
        <v>#REF!</v>
      </c>
      <c r="O193" s="80" t="e">
        <f t="shared" ref="O193" si="646">O191*AE193</f>
        <v>#REF!</v>
      </c>
      <c r="P193" s="80" t="e">
        <f t="shared" ref="P193" si="647">P191*AF193</f>
        <v>#REF!</v>
      </c>
      <c r="Q193" s="80" t="e">
        <f t="shared" ref="Q193" si="648">Q191*AG193</f>
        <v>#REF!</v>
      </c>
      <c r="R193" s="78" t="e">
        <f>RATE(12,,-E193,Q193)</f>
        <v>#REF!</v>
      </c>
      <c r="S193" s="53"/>
      <c r="T193" s="12">
        <f>1-T192</f>
        <v>0.43999999999999995</v>
      </c>
      <c r="U193" s="12">
        <f t="shared" ref="U193:AG193" si="649">1-U192</f>
        <v>0.43907838632296048</v>
      </c>
      <c r="V193" s="12">
        <f t="shared" si="649"/>
        <v>0.43815525591061777</v>
      </c>
      <c r="W193" s="12">
        <f t="shared" si="649"/>
        <v>0.43723060626682231</v>
      </c>
      <c r="X193" s="12">
        <f t="shared" si="649"/>
        <v>0.43630443489131554</v>
      </c>
      <c r="Y193" s="12">
        <f t="shared" si="649"/>
        <v>0.43537673927972509</v>
      </c>
      <c r="Z193" s="12">
        <f t="shared" si="649"/>
        <v>0.43444751692355632</v>
      </c>
      <c r="AA193" s="12">
        <f t="shared" si="649"/>
        <v>0.43351676531018701</v>
      </c>
      <c r="AB193" s="12">
        <f t="shared" si="649"/>
        <v>0.43258448192285892</v>
      </c>
      <c r="AC193" s="12">
        <f t="shared" si="649"/>
        <v>0.43165066424067244</v>
      </c>
      <c r="AD193" s="12">
        <f t="shared" si="649"/>
        <v>0.43071530973857941</v>
      </c>
      <c r="AE193" s="12">
        <f t="shared" si="649"/>
        <v>0.42977841588737575</v>
      </c>
      <c r="AF193" s="12">
        <f t="shared" si="649"/>
        <v>0.42883998015369473</v>
      </c>
      <c r="AG193" s="12">
        <f t="shared" si="649"/>
        <v>0.42790000000000095</v>
      </c>
    </row>
    <row r="194" spans="1:33" ht="15" hidden="1" thickBot="1" x14ac:dyDescent="0.4">
      <c r="A194" s="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21"/>
    </row>
    <row r="195" spans="1:33" ht="15" hidden="1" thickBot="1" x14ac:dyDescent="0.4">
      <c r="A195" s="150" t="s">
        <v>15</v>
      </c>
      <c r="B195" s="57" t="s">
        <v>16</v>
      </c>
      <c r="C195" s="47"/>
      <c r="D195" s="82" t="e">
        <f t="shared" ref="D195" si="650">D191*T195</f>
        <v>#REF!</v>
      </c>
      <c r="E195" s="82" t="e">
        <f t="shared" ref="E195" si="651">E191*U195</f>
        <v>#REF!</v>
      </c>
      <c r="F195" s="82" t="e">
        <f t="shared" ref="F195" si="652">F191*V195</f>
        <v>#REF!</v>
      </c>
      <c r="G195" s="82" t="e">
        <f t="shared" ref="G195" si="653">G191*W195</f>
        <v>#REF!</v>
      </c>
      <c r="H195" s="82" t="e">
        <f t="shared" ref="H195" si="654">H191*X195</f>
        <v>#REF!</v>
      </c>
      <c r="I195" s="82" t="e">
        <f t="shared" ref="I195" si="655">I191*Y195</f>
        <v>#REF!</v>
      </c>
      <c r="J195" s="82" t="e">
        <f t="shared" ref="J195" si="656">J191*Z195</f>
        <v>#REF!</v>
      </c>
      <c r="K195" s="82" t="e">
        <f t="shared" ref="K195" si="657">K191*AA195</f>
        <v>#REF!</v>
      </c>
      <c r="L195" s="82" t="e">
        <f t="shared" ref="L195" si="658">L191*AB195</f>
        <v>#REF!</v>
      </c>
      <c r="M195" s="82" t="e">
        <f t="shared" ref="M195" si="659">M191*AC195</f>
        <v>#REF!</v>
      </c>
      <c r="N195" s="82" t="e">
        <f t="shared" ref="N195" si="660">N191*AD195</f>
        <v>#REF!</v>
      </c>
      <c r="O195" s="82" t="e">
        <f t="shared" ref="O195" si="661">O191*AE195</f>
        <v>#REF!</v>
      </c>
      <c r="P195" s="82" t="e">
        <f t="shared" ref="P195" si="662">P191*AF195</f>
        <v>#REF!</v>
      </c>
      <c r="Q195" s="82" t="e">
        <f t="shared" ref="Q195" si="663">Q191*AG195</f>
        <v>#REF!</v>
      </c>
      <c r="R195" s="69" t="e">
        <f>RATE(12,,-E195,Q195)</f>
        <v>#REF!</v>
      </c>
      <c r="S195" s="57"/>
      <c r="T195" s="12">
        <v>0.47099999999999992</v>
      </c>
      <c r="U195" s="12">
        <v>0.47038461538461535</v>
      </c>
      <c r="V195" s="12">
        <v>0.46976923076923072</v>
      </c>
      <c r="W195" s="12">
        <v>0.46915384615384609</v>
      </c>
      <c r="X195" s="12">
        <v>0.46853846153846151</v>
      </c>
      <c r="Y195" s="12">
        <v>0.46792307692307689</v>
      </c>
      <c r="Z195" s="12">
        <v>0.46730769230769226</v>
      </c>
      <c r="AA195" s="12">
        <v>0.46669230769230763</v>
      </c>
      <c r="AB195" s="12">
        <v>0.46607692307692306</v>
      </c>
      <c r="AC195" s="12">
        <v>0.46546153846153843</v>
      </c>
      <c r="AD195" s="12">
        <v>0.4648461538461538</v>
      </c>
      <c r="AE195" s="12">
        <v>0.46423076923076922</v>
      </c>
      <c r="AF195" s="12">
        <v>0.4636153846153846</v>
      </c>
      <c r="AG195" s="12">
        <v>0.46299999999999997</v>
      </c>
    </row>
    <row r="196" spans="1:33" ht="15" hidden="1" thickBot="1" x14ac:dyDescent="0.4">
      <c r="A196" s="151"/>
      <c r="B196" s="58" t="s">
        <v>17</v>
      </c>
      <c r="C196" s="48"/>
      <c r="D196" s="83" t="e">
        <f t="shared" ref="D196" si="664">D191*T196</f>
        <v>#REF!</v>
      </c>
      <c r="E196" s="83" t="e">
        <f t="shared" ref="E196" si="665">E191*U196</f>
        <v>#REF!</v>
      </c>
      <c r="F196" s="83" t="e">
        <f t="shared" ref="F196" si="666">F191*V196</f>
        <v>#REF!</v>
      </c>
      <c r="G196" s="83" t="e">
        <f t="shared" ref="G196" si="667">G191*W196</f>
        <v>#REF!</v>
      </c>
      <c r="H196" s="83" t="e">
        <f t="shared" ref="H196" si="668">H191*X196</f>
        <v>#REF!</v>
      </c>
      <c r="I196" s="83" t="e">
        <f t="shared" ref="I196" si="669">I191*Y196</f>
        <v>#REF!</v>
      </c>
      <c r="J196" s="83" t="e">
        <f t="shared" ref="J196" si="670">J191*Z196</f>
        <v>#REF!</v>
      </c>
      <c r="K196" s="83" t="e">
        <f t="shared" ref="K196" si="671">K191*AA196</f>
        <v>#REF!</v>
      </c>
      <c r="L196" s="83" t="e">
        <f t="shared" ref="L196" si="672">L191*AB196</f>
        <v>#REF!</v>
      </c>
      <c r="M196" s="83" t="e">
        <f t="shared" ref="M196" si="673">M191*AC196</f>
        <v>#REF!</v>
      </c>
      <c r="N196" s="83" t="e">
        <f t="shared" ref="N196" si="674">N191*AD196</f>
        <v>#REF!</v>
      </c>
      <c r="O196" s="83" t="e">
        <f t="shared" ref="O196" si="675">O191*AE196</f>
        <v>#REF!</v>
      </c>
      <c r="P196" s="83" t="e">
        <f t="shared" ref="P196" si="676">P191*AF196</f>
        <v>#REF!</v>
      </c>
      <c r="Q196" s="83" t="e">
        <f t="shared" ref="Q196" si="677">Q191*AG196</f>
        <v>#REF!</v>
      </c>
      <c r="R196" s="70" t="e">
        <f>RATE(12,,-E196,Q196)</f>
        <v>#REF!</v>
      </c>
      <c r="S196" s="58"/>
      <c r="T196" s="12">
        <f>1-T195</f>
        <v>0.52900000000000014</v>
      </c>
      <c r="U196" s="12">
        <f t="shared" ref="U196:AG196" si="678">1-U195</f>
        <v>0.5296153846153846</v>
      </c>
      <c r="V196" s="12">
        <f t="shared" si="678"/>
        <v>0.53023076923076928</v>
      </c>
      <c r="W196" s="12">
        <f t="shared" si="678"/>
        <v>0.53084615384615397</v>
      </c>
      <c r="X196" s="12">
        <f t="shared" si="678"/>
        <v>0.53146153846153843</v>
      </c>
      <c r="Y196" s="12">
        <f t="shared" si="678"/>
        <v>0.53207692307692311</v>
      </c>
      <c r="Z196" s="12">
        <f t="shared" si="678"/>
        <v>0.5326923076923078</v>
      </c>
      <c r="AA196" s="12">
        <f t="shared" si="678"/>
        <v>0.53330769230769237</v>
      </c>
      <c r="AB196" s="12">
        <f t="shared" si="678"/>
        <v>0.53392307692307694</v>
      </c>
      <c r="AC196" s="12">
        <f t="shared" si="678"/>
        <v>0.53453846153846163</v>
      </c>
      <c r="AD196" s="12">
        <f t="shared" si="678"/>
        <v>0.5351538461538462</v>
      </c>
      <c r="AE196" s="12">
        <f t="shared" si="678"/>
        <v>0.53576923076923078</v>
      </c>
      <c r="AF196" s="12">
        <f t="shared" si="678"/>
        <v>0.53638461538461546</v>
      </c>
      <c r="AG196" s="12">
        <f t="shared" si="678"/>
        <v>0.53700000000000003</v>
      </c>
    </row>
    <row r="197" spans="1:33" ht="15" hidden="1" thickBot="1" x14ac:dyDescent="0.4">
      <c r="A197" s="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21"/>
    </row>
    <row r="198" spans="1:33" ht="15" hidden="1" thickBot="1" x14ac:dyDescent="0.4">
      <c r="A198" s="150" t="s">
        <v>18</v>
      </c>
      <c r="B198" s="54" t="s">
        <v>19</v>
      </c>
      <c r="C198" s="49"/>
      <c r="D198" s="84" t="e">
        <f t="shared" ref="D198" si="679">D191*T198</f>
        <v>#REF!</v>
      </c>
      <c r="E198" s="84" t="e">
        <f t="shared" ref="E198" si="680">E191*U198</f>
        <v>#REF!</v>
      </c>
      <c r="F198" s="84" t="e">
        <f t="shared" ref="F198" si="681">F191*V198</f>
        <v>#REF!</v>
      </c>
      <c r="G198" s="84" t="e">
        <f t="shared" ref="G198" si="682">G191*W198</f>
        <v>#REF!</v>
      </c>
      <c r="H198" s="84" t="e">
        <f t="shared" ref="H198" si="683">H191*X198</f>
        <v>#REF!</v>
      </c>
      <c r="I198" s="84" t="e">
        <f t="shared" ref="I198" si="684">I191*Y198</f>
        <v>#REF!</v>
      </c>
      <c r="J198" s="84" t="e">
        <f t="shared" ref="J198" si="685">J191*Z198</f>
        <v>#REF!</v>
      </c>
      <c r="K198" s="84" t="e">
        <f t="shared" ref="K198" si="686">K191*AA198</f>
        <v>#REF!</v>
      </c>
      <c r="L198" s="84" t="e">
        <f t="shared" ref="L198" si="687">L191*AB198</f>
        <v>#REF!</v>
      </c>
      <c r="M198" s="84" t="e">
        <f t="shared" ref="M198" si="688">M191*AC198</f>
        <v>#REF!</v>
      </c>
      <c r="N198" s="84" t="e">
        <f t="shared" ref="N198" si="689">N191*AD198</f>
        <v>#REF!</v>
      </c>
      <c r="O198" s="84" t="e">
        <f t="shared" ref="O198" si="690">O191*AE198</f>
        <v>#REF!</v>
      </c>
      <c r="P198" s="84" t="e">
        <f t="shared" ref="P198" si="691">P191*AF198</f>
        <v>#REF!</v>
      </c>
      <c r="Q198" s="84" t="e">
        <f t="shared" ref="Q198" si="692">Q191*AG198</f>
        <v>#REF!</v>
      </c>
      <c r="R198" s="71" t="e">
        <f>RATE(12,,-E198,Q198)</f>
        <v>#REF!</v>
      </c>
      <c r="S198" s="54"/>
      <c r="T198" s="12">
        <v>0.40099999999999997</v>
      </c>
      <c r="U198" s="12">
        <v>0.40265090533119946</v>
      </c>
      <c r="V198" s="12">
        <v>0.40430860739160734</v>
      </c>
      <c r="W198" s="12">
        <v>0.40597313416316017</v>
      </c>
      <c r="X198" s="12">
        <v>0.40764451374299493</v>
      </c>
      <c r="Y198" s="12">
        <v>0.40932277434392395</v>
      </c>
      <c r="Z198" s="12">
        <v>0.41100794429491083</v>
      </c>
      <c r="AA198" s="12">
        <v>0.4127000520415488</v>
      </c>
      <c r="AB198" s="12">
        <v>0.41439912614654062</v>
      </c>
      <c r="AC198" s="12">
        <v>0.41610519529018092</v>
      </c>
      <c r="AD198" s="12">
        <v>0.41781828827084017</v>
      </c>
      <c r="AE198" s="12">
        <v>0.4195384340054511</v>
      </c>
      <c r="AF198" s="12">
        <v>0.4212656615299965</v>
      </c>
      <c r="AG198" s="12">
        <v>0.42299999999999938</v>
      </c>
    </row>
    <row r="199" spans="1:33" ht="15" hidden="1" thickBot="1" x14ac:dyDescent="0.4">
      <c r="A199" s="151"/>
      <c r="B199" s="56" t="s">
        <v>20</v>
      </c>
      <c r="C199" s="44"/>
      <c r="D199" s="85" t="e">
        <f t="shared" ref="D199" si="693">D191*T199</f>
        <v>#REF!</v>
      </c>
      <c r="E199" s="85" t="e">
        <f t="shared" ref="E199" si="694">E191*U199</f>
        <v>#REF!</v>
      </c>
      <c r="F199" s="85" t="e">
        <f t="shared" ref="F199" si="695">F191*V199</f>
        <v>#REF!</v>
      </c>
      <c r="G199" s="85" t="e">
        <f t="shared" ref="G199" si="696">G191*W199</f>
        <v>#REF!</v>
      </c>
      <c r="H199" s="85" t="e">
        <f t="shared" ref="H199" si="697">H191*X199</f>
        <v>#REF!</v>
      </c>
      <c r="I199" s="85" t="e">
        <f t="shared" ref="I199" si="698">I191*Y199</f>
        <v>#REF!</v>
      </c>
      <c r="J199" s="85" t="e">
        <f t="shared" ref="J199" si="699">J191*Z199</f>
        <v>#REF!</v>
      </c>
      <c r="K199" s="85" t="e">
        <f t="shared" ref="K199" si="700">K191*AA199</f>
        <v>#REF!</v>
      </c>
      <c r="L199" s="85" t="e">
        <f t="shared" ref="L199" si="701">L191*AB199</f>
        <v>#REF!</v>
      </c>
      <c r="M199" s="85" t="e">
        <f t="shared" ref="M199" si="702">M191*AC199</f>
        <v>#REF!</v>
      </c>
      <c r="N199" s="85" t="e">
        <f t="shared" ref="N199" si="703">N191*AD199</f>
        <v>#REF!</v>
      </c>
      <c r="O199" s="85" t="e">
        <f t="shared" ref="O199" si="704">O191*AE199</f>
        <v>#REF!</v>
      </c>
      <c r="P199" s="85" t="e">
        <f t="shared" ref="P199" si="705">P191*AF199</f>
        <v>#REF!</v>
      </c>
      <c r="Q199" s="85" t="e">
        <f t="shared" ref="Q199" si="706">Q191*AG199</f>
        <v>#REF!</v>
      </c>
      <c r="R199" s="72" t="e">
        <f>RATE(12,,-E199,Q199)</f>
        <v>#REF!</v>
      </c>
      <c r="S199" s="56"/>
      <c r="T199" s="12">
        <f>1-T198</f>
        <v>0.59899999999999998</v>
      </c>
      <c r="U199" s="12">
        <f t="shared" ref="U199:AG199" si="707">1-U198</f>
        <v>0.59734909466880048</v>
      </c>
      <c r="V199" s="12">
        <f t="shared" si="707"/>
        <v>0.59569139260839266</v>
      </c>
      <c r="W199" s="12">
        <f t="shared" si="707"/>
        <v>0.59402686583683983</v>
      </c>
      <c r="X199" s="12">
        <f t="shared" si="707"/>
        <v>0.59235548625700507</v>
      </c>
      <c r="Y199" s="12">
        <f t="shared" si="707"/>
        <v>0.59067722565607605</v>
      </c>
      <c r="Z199" s="12">
        <f t="shared" si="707"/>
        <v>0.58899205570508917</v>
      </c>
      <c r="AA199" s="12">
        <f t="shared" si="707"/>
        <v>0.5872999479584512</v>
      </c>
      <c r="AB199" s="12">
        <f t="shared" si="707"/>
        <v>0.58560087385345938</v>
      </c>
      <c r="AC199" s="12">
        <f t="shared" si="707"/>
        <v>0.58389480470981914</v>
      </c>
      <c r="AD199" s="12">
        <f t="shared" si="707"/>
        <v>0.58218171172915989</v>
      </c>
      <c r="AE199" s="12">
        <f t="shared" si="707"/>
        <v>0.5804615659945489</v>
      </c>
      <c r="AF199" s="12">
        <f t="shared" si="707"/>
        <v>0.57873433847000344</v>
      </c>
      <c r="AG199" s="12">
        <f t="shared" si="707"/>
        <v>0.57700000000000062</v>
      </c>
    </row>
    <row r="200" spans="1:33" ht="15" hidden="1" thickBot="1" x14ac:dyDescent="0.4">
      <c r="A200" s="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21"/>
    </row>
    <row r="201" spans="1:33" ht="15" hidden="1" thickBot="1" x14ac:dyDescent="0.4">
      <c r="A201" s="150" t="s">
        <v>14</v>
      </c>
      <c r="B201" s="59" t="s">
        <v>21</v>
      </c>
      <c r="C201" s="50"/>
      <c r="D201" s="86" t="e">
        <f t="shared" ref="D201" si="708">D191*T201</f>
        <v>#REF!</v>
      </c>
      <c r="E201" s="86" t="e">
        <f t="shared" ref="E201" si="709">E191*U201</f>
        <v>#REF!</v>
      </c>
      <c r="F201" s="86" t="e">
        <f t="shared" ref="F201" si="710">F191*V201</f>
        <v>#REF!</v>
      </c>
      <c r="G201" s="86" t="e">
        <f t="shared" ref="G201" si="711">G191*W201</f>
        <v>#REF!</v>
      </c>
      <c r="H201" s="86" t="e">
        <f t="shared" ref="H201" si="712">H191*X201</f>
        <v>#REF!</v>
      </c>
      <c r="I201" s="86" t="e">
        <f t="shared" ref="I201" si="713">I191*Y201</f>
        <v>#REF!</v>
      </c>
      <c r="J201" s="86" t="e">
        <f t="shared" ref="J201" si="714">J191*Z201</f>
        <v>#REF!</v>
      </c>
      <c r="K201" s="86" t="e">
        <f t="shared" ref="K201" si="715">K191*AA201</f>
        <v>#REF!</v>
      </c>
      <c r="L201" s="86" t="e">
        <f t="shared" ref="L201" si="716">L191*AB201</f>
        <v>#REF!</v>
      </c>
      <c r="M201" s="86" t="e">
        <f t="shared" ref="M201" si="717">M191*AC201</f>
        <v>#REF!</v>
      </c>
      <c r="N201" s="86" t="e">
        <f t="shared" ref="N201" si="718">N191*AD201</f>
        <v>#REF!</v>
      </c>
      <c r="O201" s="86" t="e">
        <f t="shared" ref="O201" si="719">O191*AE201</f>
        <v>#REF!</v>
      </c>
      <c r="P201" s="86" t="e">
        <f t="shared" ref="P201" si="720">P191*AF201</f>
        <v>#REF!</v>
      </c>
      <c r="Q201" s="86" t="e">
        <f t="shared" ref="Q201" si="721">Q191*AG201</f>
        <v>#REF!</v>
      </c>
      <c r="R201" s="73" t="e">
        <f t="shared" ref="R201:R206" si="722">RATE(12,,-E201,Q201)</f>
        <v>#REF!</v>
      </c>
      <c r="S201" s="59"/>
      <c r="T201" s="12">
        <v>0.25</v>
      </c>
      <c r="U201" s="12">
        <v>0.25155593539307364</v>
      </c>
      <c r="V201" s="12">
        <v>0.25312155452593693</v>
      </c>
      <c r="W201" s="12">
        <v>0.25469691766768382</v>
      </c>
      <c r="X201" s="12">
        <v>0.25628208546250747</v>
      </c>
      <c r="Y201" s="12">
        <v>0.2578771189320348</v>
      </c>
      <c r="Z201" s="12">
        <v>0.25948207947767565</v>
      </c>
      <c r="AA201" s="12">
        <v>0.2610970288829863</v>
      </c>
      <c r="AB201" s="12">
        <v>0.26272202931604799</v>
      </c>
      <c r="AC201" s="12">
        <v>0.26435714333185978</v>
      </c>
      <c r="AD201" s="12">
        <v>0.26600243387474731</v>
      </c>
      <c r="AE201" s="12">
        <v>0.26765796428078514</v>
      </c>
      <c r="AF201" s="12">
        <v>0.26932379828023517</v>
      </c>
      <c r="AG201" s="12">
        <v>0.27100000000000013</v>
      </c>
    </row>
    <row r="202" spans="1:33" ht="15" hidden="1" thickBot="1" x14ac:dyDescent="0.4">
      <c r="A202" s="155"/>
      <c r="B202" s="60" t="s">
        <v>22</v>
      </c>
      <c r="C202" s="41"/>
      <c r="D202" s="87" t="e">
        <f t="shared" ref="D202" si="723">D191*T202</f>
        <v>#REF!</v>
      </c>
      <c r="E202" s="87" t="e">
        <f t="shared" ref="E202" si="724">E191*U202</f>
        <v>#REF!</v>
      </c>
      <c r="F202" s="87" t="e">
        <f t="shared" ref="F202" si="725">F191*V202</f>
        <v>#REF!</v>
      </c>
      <c r="G202" s="87" t="e">
        <f t="shared" ref="G202" si="726">G191*W202</f>
        <v>#REF!</v>
      </c>
      <c r="H202" s="87" t="e">
        <f t="shared" ref="H202" si="727">H191*X202</f>
        <v>#REF!</v>
      </c>
      <c r="I202" s="87" t="e">
        <f t="shared" ref="I202" si="728">I191*Y202</f>
        <v>#REF!</v>
      </c>
      <c r="J202" s="87" t="e">
        <f t="shared" ref="J202" si="729">J191*Z202</f>
        <v>#REF!</v>
      </c>
      <c r="K202" s="87" t="e">
        <f t="shared" ref="K202" si="730">K191*AA202</f>
        <v>#REF!</v>
      </c>
      <c r="L202" s="87" t="e">
        <f t="shared" ref="L202" si="731">L191*AB202</f>
        <v>#REF!</v>
      </c>
      <c r="M202" s="87" t="e">
        <f t="shared" ref="M202" si="732">M191*AC202</f>
        <v>#REF!</v>
      </c>
      <c r="N202" s="87" t="e">
        <f t="shared" ref="N202" si="733">N191*AD202</f>
        <v>#REF!</v>
      </c>
      <c r="O202" s="87" t="e">
        <f t="shared" ref="O202" si="734">O191*AE202</f>
        <v>#REF!</v>
      </c>
      <c r="P202" s="87" t="e">
        <f t="shared" ref="P202" si="735">P191*AF202</f>
        <v>#REF!</v>
      </c>
      <c r="Q202" s="87" t="e">
        <f t="shared" ref="Q202" si="736">Q191*AG202</f>
        <v>#REF!</v>
      </c>
      <c r="R202" s="74" t="e">
        <f t="shared" si="722"/>
        <v>#REF!</v>
      </c>
      <c r="S202" s="60"/>
      <c r="T202" s="12">
        <v>0.38</v>
      </c>
      <c r="U202" s="12">
        <v>0.38090988938047371</v>
      </c>
      <c r="V202" s="12">
        <v>0.38182195744169661</v>
      </c>
      <c r="W202" s="12">
        <v>0.38273620940040159</v>
      </c>
      <c r="X202" s="12">
        <v>0.38365265048581265</v>
      </c>
      <c r="Y202" s="12">
        <v>0.38457128593967477</v>
      </c>
      <c r="Z202" s="12">
        <v>0.38549212101628438</v>
      </c>
      <c r="AA202" s="12">
        <v>0.38641516098251855</v>
      </c>
      <c r="AB202" s="12">
        <v>0.38734041111786593</v>
      </c>
      <c r="AC202" s="12">
        <v>0.38826787671445667</v>
      </c>
      <c r="AD202" s="12">
        <v>0.38919756307709236</v>
      </c>
      <c r="AE202" s="12">
        <v>0.39012947552327681</v>
      </c>
      <c r="AF202" s="12">
        <v>0.3910636193832463</v>
      </c>
      <c r="AG202" s="12">
        <v>0.39200000000000002</v>
      </c>
    </row>
    <row r="203" spans="1:33" ht="15" hidden="1" thickBot="1" x14ac:dyDescent="0.4">
      <c r="A203" s="155"/>
      <c r="B203" s="61" t="s">
        <v>23</v>
      </c>
      <c r="C203" s="41"/>
      <c r="D203" s="88" t="e">
        <f t="shared" ref="D203" si="737">D202*T203</f>
        <v>#REF!</v>
      </c>
      <c r="E203" s="88" t="e">
        <f t="shared" ref="E203" si="738">E202*U203</f>
        <v>#REF!</v>
      </c>
      <c r="F203" s="88" t="e">
        <f t="shared" ref="F203" si="739">F202*V203</f>
        <v>#REF!</v>
      </c>
      <c r="G203" s="88" t="e">
        <f t="shared" ref="G203" si="740">G202*W203</f>
        <v>#REF!</v>
      </c>
      <c r="H203" s="88" t="e">
        <f t="shared" ref="H203" si="741">H202*X203</f>
        <v>#REF!</v>
      </c>
      <c r="I203" s="88" t="e">
        <f t="shared" ref="I203" si="742">I202*Y203</f>
        <v>#REF!</v>
      </c>
      <c r="J203" s="88" t="e">
        <f t="shared" ref="J203" si="743">J202*Z203</f>
        <v>#REF!</v>
      </c>
      <c r="K203" s="88" t="e">
        <f t="shared" ref="K203" si="744">K202*AA203</f>
        <v>#REF!</v>
      </c>
      <c r="L203" s="88" t="e">
        <f t="shared" ref="L203" si="745">L202*AB203</f>
        <v>#REF!</v>
      </c>
      <c r="M203" s="88" t="e">
        <f t="shared" ref="M203" si="746">M202*AC203</f>
        <v>#REF!</v>
      </c>
      <c r="N203" s="88" t="e">
        <f t="shared" ref="N203" si="747">N202*AD203</f>
        <v>#REF!</v>
      </c>
      <c r="O203" s="88" t="e">
        <f t="shared" ref="O203" si="748">O202*AE203</f>
        <v>#REF!</v>
      </c>
      <c r="P203" s="88" t="e">
        <f t="shared" ref="P203" si="749">P202*AF203</f>
        <v>#REF!</v>
      </c>
      <c r="Q203" s="88" t="e">
        <f t="shared" ref="Q203" si="750">Q202*AG203</f>
        <v>#REF!</v>
      </c>
      <c r="R203" s="74" t="e">
        <f t="shared" si="722"/>
        <v>#REF!</v>
      </c>
      <c r="S203" s="61"/>
      <c r="T203" s="67">
        <v>0.34999999999999987</v>
      </c>
      <c r="U203" s="67">
        <v>0.34938588387166564</v>
      </c>
      <c r="V203" s="67">
        <v>0.34877284528224306</v>
      </c>
      <c r="W203" s="67">
        <v>0.34816088234106346</v>
      </c>
      <c r="X203" s="67">
        <v>0.34754999316077562</v>
      </c>
      <c r="Y203" s="67">
        <v>0.34694017585733994</v>
      </c>
      <c r="Z203" s="67">
        <v>0.34633142855002247</v>
      </c>
      <c r="AA203" s="67">
        <v>0.34572374936138933</v>
      </c>
      <c r="AB203" s="67">
        <v>0.34511713641730069</v>
      </c>
      <c r="AC203" s="67">
        <v>0.34451158784690528</v>
      </c>
      <c r="AD203" s="67">
        <v>0.34390710178263434</v>
      </c>
      <c r="AE203" s="67">
        <v>0.34330367636019604</v>
      </c>
      <c r="AF203" s="67">
        <v>0.34270130971856966</v>
      </c>
      <c r="AG203" s="67">
        <v>0.34209999999999979</v>
      </c>
    </row>
    <row r="204" spans="1:33" ht="15" hidden="1" thickBot="1" x14ac:dyDescent="0.4">
      <c r="A204" s="155"/>
      <c r="B204" s="61" t="s">
        <v>24</v>
      </c>
      <c r="C204" s="41"/>
      <c r="D204" s="88" t="e">
        <f t="shared" ref="D204" si="751">D202*T204</f>
        <v>#REF!</v>
      </c>
      <c r="E204" s="88" t="e">
        <f t="shared" ref="E204" si="752">E202*U204</f>
        <v>#REF!</v>
      </c>
      <c r="F204" s="88" t="e">
        <f t="shared" ref="F204" si="753">F202*V204</f>
        <v>#REF!</v>
      </c>
      <c r="G204" s="88" t="e">
        <f t="shared" ref="G204" si="754">G202*W204</f>
        <v>#REF!</v>
      </c>
      <c r="H204" s="88" t="e">
        <f t="shared" ref="H204" si="755">H202*X204</f>
        <v>#REF!</v>
      </c>
      <c r="I204" s="88" t="e">
        <f t="shared" ref="I204" si="756">I202*Y204</f>
        <v>#REF!</v>
      </c>
      <c r="J204" s="88" t="e">
        <f t="shared" ref="J204" si="757">J202*Z204</f>
        <v>#REF!</v>
      </c>
      <c r="K204" s="88" t="e">
        <f t="shared" ref="K204" si="758">K202*AA204</f>
        <v>#REF!</v>
      </c>
      <c r="L204" s="88" t="e">
        <f t="shared" ref="L204" si="759">L202*AB204</f>
        <v>#REF!</v>
      </c>
      <c r="M204" s="88" t="e">
        <f t="shared" ref="M204" si="760">M202*AC204</f>
        <v>#REF!</v>
      </c>
      <c r="N204" s="88" t="e">
        <f t="shared" ref="N204" si="761">N202*AD204</f>
        <v>#REF!</v>
      </c>
      <c r="O204" s="88" t="e">
        <f t="shared" ref="O204" si="762">O202*AE204</f>
        <v>#REF!</v>
      </c>
      <c r="P204" s="88" t="e">
        <f t="shared" ref="P204" si="763">P202*AF204</f>
        <v>#REF!</v>
      </c>
      <c r="Q204" s="88" t="e">
        <f t="shared" ref="Q204" si="764">Q202*AG204</f>
        <v>#REF!</v>
      </c>
      <c r="R204" s="74" t="e">
        <f t="shared" si="722"/>
        <v>#REF!</v>
      </c>
      <c r="S204" s="61"/>
      <c r="T204" s="67">
        <v>0.28000000000000003</v>
      </c>
      <c r="U204" s="67">
        <v>0.28097918830490543</v>
      </c>
      <c r="V204" s="67">
        <v>0.28196180093029821</v>
      </c>
      <c r="W204" s="67">
        <v>0.28294784985137333</v>
      </c>
      <c r="X204" s="67">
        <v>0.28393734708520407</v>
      </c>
      <c r="Y204" s="67">
        <v>0.28493030469088876</v>
      </c>
      <c r="Z204" s="67">
        <v>0.28592673476969749</v>
      </c>
      <c r="AA204" s="67">
        <v>0.28692664946521995</v>
      </c>
      <c r="AB204" s="67">
        <v>0.28793006096351298</v>
      </c>
      <c r="AC204" s="67">
        <v>0.28893698149324931</v>
      </c>
      <c r="AD204" s="67">
        <v>0.28994742332586665</v>
      </c>
      <c r="AE204" s="67">
        <v>0.29096139877571725</v>
      </c>
      <c r="AF204" s="67">
        <v>0.29197892020021765</v>
      </c>
      <c r="AG204" s="67">
        <v>0.29299999999999965</v>
      </c>
    </row>
    <row r="205" spans="1:33" ht="15" hidden="1" thickBot="1" x14ac:dyDescent="0.4">
      <c r="A205" s="155"/>
      <c r="B205" s="61" t="s">
        <v>25</v>
      </c>
      <c r="C205" s="41"/>
      <c r="D205" s="88" t="e">
        <f t="shared" ref="D205" si="765">D202*T205</f>
        <v>#REF!</v>
      </c>
      <c r="E205" s="88" t="e">
        <f t="shared" ref="E205" si="766">E202*U205</f>
        <v>#REF!</v>
      </c>
      <c r="F205" s="88" t="e">
        <f t="shared" ref="F205" si="767">F202*V205</f>
        <v>#REF!</v>
      </c>
      <c r="G205" s="88" t="e">
        <f t="shared" ref="G205" si="768">G202*W205</f>
        <v>#REF!</v>
      </c>
      <c r="H205" s="88" t="e">
        <f t="shared" ref="H205" si="769">H202*X205</f>
        <v>#REF!</v>
      </c>
      <c r="I205" s="88" t="e">
        <f t="shared" ref="I205" si="770">I202*Y205</f>
        <v>#REF!</v>
      </c>
      <c r="J205" s="88" t="e">
        <f t="shared" ref="J205" si="771">J202*Z205</f>
        <v>#REF!</v>
      </c>
      <c r="K205" s="88" t="e">
        <f t="shared" ref="K205" si="772">K202*AA205</f>
        <v>#REF!</v>
      </c>
      <c r="L205" s="88" t="e">
        <f t="shared" ref="L205" si="773">L202*AB205</f>
        <v>#REF!</v>
      </c>
      <c r="M205" s="88" t="e">
        <f t="shared" ref="M205" si="774">M202*AC205</f>
        <v>#REF!</v>
      </c>
      <c r="N205" s="88" t="e">
        <f t="shared" ref="N205" si="775">N202*AD205</f>
        <v>#REF!</v>
      </c>
      <c r="O205" s="88" t="e">
        <f t="shared" ref="O205" si="776">O202*AE205</f>
        <v>#REF!</v>
      </c>
      <c r="P205" s="88" t="e">
        <f t="shared" ref="P205" si="777">P202*AF205</f>
        <v>#REF!</v>
      </c>
      <c r="Q205" s="88" t="e">
        <f t="shared" ref="Q205" si="778">Q202*AG205</f>
        <v>#REF!</v>
      </c>
      <c r="R205" s="74" t="e">
        <f t="shared" si="722"/>
        <v>#REF!</v>
      </c>
      <c r="S205" s="61"/>
      <c r="T205" s="67">
        <f>1-SUM(T203:T204)</f>
        <v>0.37000000000000011</v>
      </c>
      <c r="U205" s="67">
        <f t="shared" ref="U205:AG205" si="779">1-SUM(U203:U204)</f>
        <v>0.36963492782342899</v>
      </c>
      <c r="V205" s="67">
        <f t="shared" si="779"/>
        <v>0.36926535378745873</v>
      </c>
      <c r="W205" s="67">
        <f t="shared" si="779"/>
        <v>0.36889126780756321</v>
      </c>
      <c r="X205" s="67">
        <f t="shared" si="779"/>
        <v>0.36851265975402026</v>
      </c>
      <c r="Y205" s="67">
        <f t="shared" si="779"/>
        <v>0.3681295194517713</v>
      </c>
      <c r="Z205" s="67">
        <f t="shared" si="779"/>
        <v>0.36774183668028004</v>
      </c>
      <c r="AA205" s="67">
        <f t="shared" si="779"/>
        <v>0.36734960117339077</v>
      </c>
      <c r="AB205" s="67">
        <f t="shared" si="779"/>
        <v>0.36695280261918639</v>
      </c>
      <c r="AC205" s="67">
        <f t="shared" si="779"/>
        <v>0.36655143065984541</v>
      </c>
      <c r="AD205" s="67">
        <f t="shared" si="779"/>
        <v>0.36614547489149896</v>
      </c>
      <c r="AE205" s="67">
        <f t="shared" si="779"/>
        <v>0.36573492486408665</v>
      </c>
      <c r="AF205" s="67">
        <f t="shared" si="779"/>
        <v>0.36531977008121275</v>
      </c>
      <c r="AG205" s="67">
        <f t="shared" si="779"/>
        <v>0.36490000000000056</v>
      </c>
    </row>
    <row r="206" spans="1:33" ht="15" hidden="1" thickBot="1" x14ac:dyDescent="0.4">
      <c r="A206" s="151"/>
      <c r="B206" s="62" t="s">
        <v>26</v>
      </c>
      <c r="C206" s="51"/>
      <c r="D206" s="89" t="e">
        <f t="shared" ref="D206" si="780">D191*T206</f>
        <v>#REF!</v>
      </c>
      <c r="E206" s="89" t="e">
        <f t="shared" ref="E206" si="781">E191*U206</f>
        <v>#REF!</v>
      </c>
      <c r="F206" s="89" t="e">
        <f t="shared" ref="F206" si="782">F191*V206</f>
        <v>#REF!</v>
      </c>
      <c r="G206" s="89" t="e">
        <f t="shared" ref="G206" si="783">G191*W206</f>
        <v>#REF!</v>
      </c>
      <c r="H206" s="89" t="e">
        <f t="shared" ref="H206" si="784">H191*X206</f>
        <v>#REF!</v>
      </c>
      <c r="I206" s="89" t="e">
        <f t="shared" ref="I206" si="785">I191*Y206</f>
        <v>#REF!</v>
      </c>
      <c r="J206" s="89" t="e">
        <f t="shared" ref="J206" si="786">J191*Z206</f>
        <v>#REF!</v>
      </c>
      <c r="K206" s="89" t="e">
        <f t="shared" ref="K206" si="787">K191*AA206</f>
        <v>#REF!</v>
      </c>
      <c r="L206" s="89" t="e">
        <f t="shared" ref="L206" si="788">L191*AB206</f>
        <v>#REF!</v>
      </c>
      <c r="M206" s="89" t="e">
        <f t="shared" ref="M206" si="789">M191*AC206</f>
        <v>#REF!</v>
      </c>
      <c r="N206" s="89" t="e">
        <f t="shared" ref="N206" si="790">N191*AD206</f>
        <v>#REF!</v>
      </c>
      <c r="O206" s="89" t="e">
        <f t="shared" ref="O206" si="791">O191*AE206</f>
        <v>#REF!</v>
      </c>
      <c r="P206" s="89" t="e">
        <f t="shared" ref="P206" si="792">P191*AF206</f>
        <v>#REF!</v>
      </c>
      <c r="Q206" s="89" t="e">
        <f t="shared" ref="Q206" si="793">Q191*AG206</f>
        <v>#REF!</v>
      </c>
      <c r="R206" s="75" t="e">
        <f t="shared" si="722"/>
        <v>#REF!</v>
      </c>
      <c r="S206" s="62"/>
      <c r="T206" s="12">
        <f>1-SUM(T201+T202)</f>
        <v>0.37</v>
      </c>
      <c r="U206" s="12">
        <f t="shared" ref="U206:AG206" si="794">1-SUM(U201+U202)</f>
        <v>0.36753417522645271</v>
      </c>
      <c r="V206" s="12">
        <f t="shared" si="794"/>
        <v>0.36505648803236646</v>
      </c>
      <c r="W206" s="12">
        <f t="shared" si="794"/>
        <v>0.36256687293191459</v>
      </c>
      <c r="X206" s="12">
        <f t="shared" si="794"/>
        <v>0.36006526405167993</v>
      </c>
      <c r="Y206" s="12">
        <f t="shared" si="794"/>
        <v>0.35755159512829038</v>
      </c>
      <c r="Z206" s="12">
        <f t="shared" si="794"/>
        <v>0.35502579950603996</v>
      </c>
      <c r="AA206" s="12">
        <f t="shared" si="794"/>
        <v>0.35248781013449515</v>
      </c>
      <c r="AB206" s="12">
        <f t="shared" si="794"/>
        <v>0.34993755956608608</v>
      </c>
      <c r="AC206" s="12">
        <f t="shared" si="794"/>
        <v>0.3473749799536836</v>
      </c>
      <c r="AD206" s="12">
        <f t="shared" si="794"/>
        <v>0.34480000304816039</v>
      </c>
      <c r="AE206" s="12">
        <f t="shared" si="794"/>
        <v>0.34221256019593804</v>
      </c>
      <c r="AF206" s="12">
        <f t="shared" si="794"/>
        <v>0.33961258233651859</v>
      </c>
      <c r="AG206" s="12">
        <f t="shared" si="794"/>
        <v>0.33699999999999986</v>
      </c>
    </row>
    <row r="207" spans="1:33" ht="15" hidden="1" thickBot="1" x14ac:dyDescent="0.4">
      <c r="A207" s="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21"/>
    </row>
    <row r="208" spans="1:33" ht="15" hidden="1" thickBot="1" x14ac:dyDescent="0.4">
      <c r="A208" s="152" t="s">
        <v>27</v>
      </c>
      <c r="B208" s="54" t="s">
        <v>28</v>
      </c>
      <c r="C208" s="49"/>
      <c r="D208" s="84" t="e">
        <f t="shared" ref="D208" si="795">D191*T208</f>
        <v>#REF!</v>
      </c>
      <c r="E208" s="84" t="e">
        <f t="shared" ref="E208" si="796">E191*U208</f>
        <v>#REF!</v>
      </c>
      <c r="F208" s="84" t="e">
        <f t="shared" ref="F208" si="797">F191*V208</f>
        <v>#REF!</v>
      </c>
      <c r="G208" s="84" t="e">
        <f t="shared" ref="G208" si="798">G191*W208</f>
        <v>#REF!</v>
      </c>
      <c r="H208" s="84" t="e">
        <f t="shared" ref="H208" si="799">H191*X208</f>
        <v>#REF!</v>
      </c>
      <c r="I208" s="84" t="e">
        <f t="shared" ref="I208" si="800">I191*Y208</f>
        <v>#REF!</v>
      </c>
      <c r="J208" s="84" t="e">
        <f t="shared" ref="J208" si="801">J191*Z208</f>
        <v>#REF!</v>
      </c>
      <c r="K208" s="84" t="e">
        <f t="shared" ref="K208" si="802">K191*AA208</f>
        <v>#REF!</v>
      </c>
      <c r="L208" s="84" t="e">
        <f t="shared" ref="L208" si="803">L191*AB208</f>
        <v>#REF!</v>
      </c>
      <c r="M208" s="84" t="e">
        <f t="shared" ref="M208" si="804">M191*AC208</f>
        <v>#REF!</v>
      </c>
      <c r="N208" s="84" t="e">
        <f t="shared" ref="N208" si="805">N191*AD208</f>
        <v>#REF!</v>
      </c>
      <c r="O208" s="84" t="e">
        <f t="shared" ref="O208" si="806">O191*AE208</f>
        <v>#REF!</v>
      </c>
      <c r="P208" s="84" t="e">
        <f t="shared" ref="P208" si="807">P191*AF208</f>
        <v>#REF!</v>
      </c>
      <c r="Q208" s="84" t="e">
        <f t="shared" ref="Q208" si="808">Q191*AG208</f>
        <v>#REF!</v>
      </c>
      <c r="R208" s="71" t="e">
        <f>RATE(12,,-E208,Q208)</f>
        <v>#REF!</v>
      </c>
      <c r="S208" s="54"/>
      <c r="T208" s="12">
        <v>0.40099999999999997</v>
      </c>
      <c r="U208" s="12">
        <v>0.40265090533119946</v>
      </c>
      <c r="V208" s="12">
        <v>0.40430860739160734</v>
      </c>
      <c r="W208" s="12">
        <v>0.40597313416316017</v>
      </c>
      <c r="X208" s="12">
        <v>0.40764451374299493</v>
      </c>
      <c r="Y208" s="12">
        <v>0.40932277434392395</v>
      </c>
      <c r="Z208" s="12">
        <v>0.41100794429491083</v>
      </c>
      <c r="AA208" s="12">
        <v>0.4127000520415488</v>
      </c>
      <c r="AB208" s="12">
        <v>0.41439912614654062</v>
      </c>
      <c r="AC208" s="12">
        <v>0.41610519529018092</v>
      </c>
      <c r="AD208" s="12">
        <v>0.41781828827084017</v>
      </c>
      <c r="AE208" s="12">
        <v>0.4195384340054511</v>
      </c>
      <c r="AF208" s="12">
        <v>0.4212656615299965</v>
      </c>
      <c r="AG208" s="12">
        <v>0.42299999999999938</v>
      </c>
    </row>
    <row r="209" spans="1:33" ht="15" hidden="1" thickBot="1" x14ac:dyDescent="0.4">
      <c r="A209" s="154"/>
      <c r="B209" s="55" t="s">
        <v>29</v>
      </c>
      <c r="C209" s="40"/>
      <c r="D209" s="90" t="e">
        <f t="shared" ref="D209" si="809">D191*T209</f>
        <v>#REF!</v>
      </c>
      <c r="E209" s="90" t="e">
        <f t="shared" ref="E209" si="810">E191*U209</f>
        <v>#REF!</v>
      </c>
      <c r="F209" s="90" t="e">
        <f t="shared" ref="F209" si="811">F191*V209</f>
        <v>#REF!</v>
      </c>
      <c r="G209" s="90" t="e">
        <f t="shared" ref="G209" si="812">G191*W209</f>
        <v>#REF!</v>
      </c>
      <c r="H209" s="90" t="e">
        <f t="shared" ref="H209" si="813">H191*X209</f>
        <v>#REF!</v>
      </c>
      <c r="I209" s="90" t="e">
        <f t="shared" ref="I209" si="814">I191*Y209</f>
        <v>#REF!</v>
      </c>
      <c r="J209" s="90" t="e">
        <f t="shared" ref="J209" si="815">J191*Z209</f>
        <v>#REF!</v>
      </c>
      <c r="K209" s="90" t="e">
        <f t="shared" ref="K209" si="816">K191*AA209</f>
        <v>#REF!</v>
      </c>
      <c r="L209" s="90" t="e">
        <f t="shared" ref="L209" si="817">L191*AB209</f>
        <v>#REF!</v>
      </c>
      <c r="M209" s="90" t="e">
        <f t="shared" ref="M209" si="818">M191*AC209</f>
        <v>#REF!</v>
      </c>
      <c r="N209" s="90" t="e">
        <f t="shared" ref="N209" si="819">N191*AD209</f>
        <v>#REF!</v>
      </c>
      <c r="O209" s="90" t="e">
        <f t="shared" ref="O209" si="820">O191*AE209</f>
        <v>#REF!</v>
      </c>
      <c r="P209" s="90" t="e">
        <f t="shared" ref="P209" si="821">P191*AF209</f>
        <v>#REF!</v>
      </c>
      <c r="Q209" s="90" t="e">
        <f t="shared" ref="Q209" si="822">Q191*AG209</f>
        <v>#REF!</v>
      </c>
      <c r="R209" s="76" t="e">
        <f>RATE(12,,-E209,Q209)</f>
        <v>#REF!</v>
      </c>
      <c r="S209" s="55"/>
      <c r="T209" s="12">
        <v>0.43099999999999999</v>
      </c>
      <c r="U209" s="12">
        <v>0.43183634674261745</v>
      </c>
      <c r="V209" s="12">
        <v>0.43267431639909548</v>
      </c>
      <c r="W209" s="12">
        <v>0.43351391211866536</v>
      </c>
      <c r="X209" s="12">
        <v>0.43435513705666956</v>
      </c>
      <c r="Y209" s="12">
        <v>0.43519799437457324</v>
      </c>
      <c r="Z209" s="12">
        <v>0.43604248723997657</v>
      </c>
      <c r="AA209" s="12">
        <v>0.43688861882662616</v>
      </c>
      <c r="AB209" s="12">
        <v>0.43773639231442729</v>
      </c>
      <c r="AC209" s="12">
        <v>0.43858581088945586</v>
      </c>
      <c r="AD209" s="12">
        <v>0.43943687774397006</v>
      </c>
      <c r="AE209" s="12">
        <v>0.44028959607642287</v>
      </c>
      <c r="AF209" s="12">
        <v>0.44114396909147369</v>
      </c>
      <c r="AG209" s="12">
        <v>0.44200000000000028</v>
      </c>
    </row>
    <row r="210" spans="1:33" ht="15" hidden="1" thickBot="1" x14ac:dyDescent="0.4">
      <c r="A210" s="153"/>
      <c r="B210" s="56" t="s">
        <v>30</v>
      </c>
      <c r="C210" s="44"/>
      <c r="D210" s="85" t="e">
        <f t="shared" ref="D210" si="823">D191*T210</f>
        <v>#REF!</v>
      </c>
      <c r="E210" s="85" t="e">
        <f t="shared" ref="E210" si="824">E191*U210</f>
        <v>#REF!</v>
      </c>
      <c r="F210" s="85" t="e">
        <f t="shared" ref="F210" si="825">F191*V210</f>
        <v>#REF!</v>
      </c>
      <c r="G210" s="85" t="e">
        <f t="shared" ref="G210" si="826">G191*W210</f>
        <v>#REF!</v>
      </c>
      <c r="H210" s="85" t="e">
        <f t="shared" ref="H210" si="827">H191*X210</f>
        <v>#REF!</v>
      </c>
      <c r="I210" s="85" t="e">
        <f t="shared" ref="I210" si="828">I191*Y210</f>
        <v>#REF!</v>
      </c>
      <c r="J210" s="85" t="e">
        <f t="shared" ref="J210" si="829">J191*Z210</f>
        <v>#REF!</v>
      </c>
      <c r="K210" s="85" t="e">
        <f t="shared" ref="K210" si="830">K191*AA210</f>
        <v>#REF!</v>
      </c>
      <c r="L210" s="85" t="e">
        <f t="shared" ref="L210" si="831">L191*AB210</f>
        <v>#REF!</v>
      </c>
      <c r="M210" s="85" t="e">
        <f t="shared" ref="M210" si="832">M191*AC210</f>
        <v>#REF!</v>
      </c>
      <c r="N210" s="85" t="e">
        <f t="shared" ref="N210" si="833">N191*AD210</f>
        <v>#REF!</v>
      </c>
      <c r="O210" s="85" t="e">
        <f t="shared" ref="O210" si="834">O191*AE210</f>
        <v>#REF!</v>
      </c>
      <c r="P210" s="85" t="e">
        <f t="shared" ref="P210" si="835">P191*AF210</f>
        <v>#REF!</v>
      </c>
      <c r="Q210" s="85" t="e">
        <f t="shared" ref="Q210" si="836">Q191*AG210</f>
        <v>#REF!</v>
      </c>
      <c r="R210" s="72" t="e">
        <f>RATE(12,,-E210,Q210)</f>
        <v>#REF!</v>
      </c>
      <c r="S210" s="56"/>
      <c r="T210" s="12">
        <f>1-SUM(T208:T209)</f>
        <v>0.16800000000000004</v>
      </c>
      <c r="U210" s="12">
        <f t="shared" ref="U210:AG210" si="837">1-SUM(U208:U209)</f>
        <v>0.16551274792618309</v>
      </c>
      <c r="V210" s="12">
        <f t="shared" si="837"/>
        <v>0.16301707620929717</v>
      </c>
      <c r="W210" s="12">
        <f t="shared" si="837"/>
        <v>0.16051295371817442</v>
      </c>
      <c r="X210" s="12">
        <f t="shared" si="837"/>
        <v>0.15800034920033545</v>
      </c>
      <c r="Y210" s="12">
        <f t="shared" si="837"/>
        <v>0.15547923128150276</v>
      </c>
      <c r="Z210" s="12">
        <f t="shared" si="837"/>
        <v>0.15294956846511254</v>
      </c>
      <c r="AA210" s="12">
        <f t="shared" si="837"/>
        <v>0.15041132913182498</v>
      </c>
      <c r="AB210" s="12">
        <f t="shared" si="837"/>
        <v>0.14786448153903209</v>
      </c>
      <c r="AC210" s="12">
        <f t="shared" si="837"/>
        <v>0.14530899382036322</v>
      </c>
      <c r="AD210" s="12">
        <f t="shared" si="837"/>
        <v>0.14274483398518978</v>
      </c>
      <c r="AE210" s="12">
        <f t="shared" si="837"/>
        <v>0.14017196991812608</v>
      </c>
      <c r="AF210" s="12">
        <f t="shared" si="837"/>
        <v>0.13759036937852986</v>
      </c>
      <c r="AG210" s="12">
        <f t="shared" si="837"/>
        <v>0.13500000000000034</v>
      </c>
    </row>
    <row r="211" spans="1:33" ht="15.5" x14ac:dyDescent="0.35">
      <c r="A211" s="42"/>
      <c r="B211" s="43"/>
      <c r="C211" s="93"/>
      <c r="D211" s="91">
        <v>2023</v>
      </c>
      <c r="E211" s="65">
        <v>2024</v>
      </c>
      <c r="F211" s="65">
        <v>2025</v>
      </c>
      <c r="G211" s="65">
        <v>2026</v>
      </c>
      <c r="H211" s="65">
        <v>2027</v>
      </c>
      <c r="I211" s="65">
        <v>2028</v>
      </c>
      <c r="J211" s="65">
        <v>2029</v>
      </c>
      <c r="K211" s="65">
        <v>2030</v>
      </c>
      <c r="L211" s="65">
        <v>2031</v>
      </c>
      <c r="M211" s="65">
        <v>2032</v>
      </c>
      <c r="N211" s="65">
        <v>2033</v>
      </c>
      <c r="O211" s="65">
        <v>2034</v>
      </c>
      <c r="P211" s="65">
        <v>2035</v>
      </c>
      <c r="Q211" s="65">
        <v>2036</v>
      </c>
      <c r="R211" s="66" t="s">
        <v>84</v>
      </c>
    </row>
    <row r="212" spans="1:33" ht="16" thickBot="1" x14ac:dyDescent="0.4">
      <c r="A212" s="1"/>
      <c r="C212" s="21"/>
      <c r="D212" s="92">
        <f>'Market Analysis '!C25</f>
        <v>175.52924999999999</v>
      </c>
      <c r="E212" s="92">
        <f>'Market Analysis '!D25</f>
        <v>194.13535050000002</v>
      </c>
      <c r="F212" s="92">
        <f>'Market Analysis '!E25</f>
        <v>215.13432424575004</v>
      </c>
      <c r="G212" s="92">
        <f>'Market Analysis '!F25</f>
        <v>238.8708113541978</v>
      </c>
      <c r="H212" s="92">
        <f>'Market Analysis '!G25</f>
        <v>265.74377763154507</v>
      </c>
      <c r="I212" s="92">
        <f>'Market Analysis '!H25</f>
        <v>296.21573079996227</v>
      </c>
      <c r="J212" s="92">
        <f>'Market Analysis '!I25</f>
        <v>330.82360201509118</v>
      </c>
      <c r="K212" s="92">
        <f>'Market Analysis '!J25</f>
        <v>370.19161065488703</v>
      </c>
      <c r="L212" s="92">
        <f>'Market Analysis '!K25</f>
        <v>415.04649414590415</v>
      </c>
      <c r="M212" s="92">
        <f>'Market Analysis '!L25</f>
        <v>466.2355617572324</v>
      </c>
      <c r="N212" s="92">
        <f>'Market Analysis '!M25</f>
        <v>524.74812475776514</v>
      </c>
      <c r="O212" s="92">
        <f>'Market Analysis '!N25</f>
        <v>591.74096868517324</v>
      </c>
      <c r="P212" s="92">
        <f>'Market Analysis '!O25</f>
        <v>668.56867111946497</v>
      </c>
      <c r="Q212" s="92">
        <f>'Market Analysis '!P25</f>
        <v>756.81973570723437</v>
      </c>
      <c r="R212" s="68">
        <f t="shared" ref="R212:R217" si="838">RATE(9,,-H212,Q212)</f>
        <v>0.12331940301172846</v>
      </c>
      <c r="T212" s="65">
        <v>2023</v>
      </c>
      <c r="U212" s="65">
        <v>2024</v>
      </c>
      <c r="V212" s="65">
        <v>2025</v>
      </c>
      <c r="W212" s="65">
        <v>2026</v>
      </c>
      <c r="X212" s="65">
        <v>2027</v>
      </c>
      <c r="Y212" s="65">
        <v>2028</v>
      </c>
      <c r="Z212" s="65">
        <v>2029</v>
      </c>
      <c r="AA212" s="65">
        <v>2030</v>
      </c>
      <c r="AB212" s="65">
        <v>2031</v>
      </c>
      <c r="AC212" s="65">
        <v>2032</v>
      </c>
      <c r="AD212" s="65">
        <v>2033</v>
      </c>
      <c r="AE212" s="65">
        <v>2034</v>
      </c>
      <c r="AF212" s="65">
        <v>2035</v>
      </c>
      <c r="AG212" s="65">
        <v>2036</v>
      </c>
    </row>
    <row r="213" spans="1:33" s="121" customFormat="1" x14ac:dyDescent="0.35">
      <c r="A213" s="147" t="s">
        <v>59</v>
      </c>
      <c r="B213" s="118" t="s">
        <v>60</v>
      </c>
      <c r="C213" s="119"/>
      <c r="D213" s="120">
        <f>D212*T213</f>
        <v>61.435237499999985</v>
      </c>
      <c r="E213" s="120">
        <f t="shared" ref="E213" si="839">E212*U213</f>
        <v>68.64890076160674</v>
      </c>
      <c r="F213" s="120">
        <f>F212*V213</f>
        <v>76.859860000811551</v>
      </c>
      <c r="G213" s="120">
        <f t="shared" ref="G213" si="840">G212*W213</f>
        <v>86.221164879981913</v>
      </c>
      <c r="H213" s="120">
        <f t="shared" ref="H213" si="841">H212*X213</f>
        <v>96.911390443663862</v>
      </c>
      <c r="I213" s="120">
        <f t="shared" ref="I213" si="842">I212*Y213</f>
        <v>109.13919791228848</v>
      </c>
      <c r="J213" s="120">
        <f t="shared" ref="J213" si="843">J212*Z213</f>
        <v>123.1487602983476</v>
      </c>
      <c r="K213" s="120">
        <f t="shared" ref="K213" si="844">K212*AA213</f>
        <v>139.22622565285027</v>
      </c>
      <c r="L213" s="120">
        <f t="shared" ref="L213" si="845">L212*AB213</f>
        <v>157.70742694066286</v>
      </c>
      <c r="M213" s="120">
        <f t="shared" ref="M213" si="846">M212*AC213</f>
        <v>178.98709164365962</v>
      </c>
      <c r="N213" s="120">
        <f t="shared" ref="N213" si="847">N212*AD213</f>
        <v>203.529857998029</v>
      </c>
      <c r="O213" s="120">
        <f t="shared" ref="O213" si="848">O212*AE213</f>
        <v>231.88347050771699</v>
      </c>
      <c r="P213" s="120">
        <f t="shared" ref="P213" si="849">P212*AF213</f>
        <v>264.69460778774788</v>
      </c>
      <c r="Q213" s="120">
        <f t="shared" ref="Q213" si="850">Q212*AG213</f>
        <v>302.72789428289383</v>
      </c>
      <c r="R213" s="68">
        <f t="shared" si="838"/>
        <v>0.13491720407967139</v>
      </c>
      <c r="S213" s="118" t="s">
        <v>60</v>
      </c>
      <c r="T213" s="116">
        <v>0.34999999999999992</v>
      </c>
      <c r="U213" s="116">
        <v>0.35361360300841621</v>
      </c>
      <c r="V213" s="116">
        <v>0.35726451495026795</v>
      </c>
      <c r="W213" s="116">
        <v>0.36095312102462412</v>
      </c>
      <c r="X213" s="116">
        <v>0.36467981040757214</v>
      </c>
      <c r="Y213" s="116">
        <v>0.36844497629327921</v>
      </c>
      <c r="Z213" s="116">
        <v>0.37224901593547705</v>
      </c>
      <c r="AA213" s="116">
        <v>0.37609233068937542</v>
      </c>
      <c r="AB213" s="116">
        <v>0.37997532605400802</v>
      </c>
      <c r="AC213" s="116">
        <v>0.38389841171501571</v>
      </c>
      <c r="AD213" s="116">
        <v>0.38786200158787171</v>
      </c>
      <c r="AE213" s="116">
        <v>0.39186651386155258</v>
      </c>
      <c r="AF213" s="116">
        <v>0.39591237104266019</v>
      </c>
      <c r="AG213" s="116">
        <v>0.40000000000000013</v>
      </c>
    </row>
    <row r="214" spans="1:33" s="117" customFormat="1" x14ac:dyDescent="0.35">
      <c r="A214" s="148"/>
      <c r="B214" s="113" t="s">
        <v>61</v>
      </c>
      <c r="C214" s="114"/>
      <c r="D214" s="115">
        <f>D212*T214</f>
        <v>52.658775000000006</v>
      </c>
      <c r="E214" s="115">
        <f t="shared" ref="E214" si="851">E212*U214</f>
        <v>58.270380619434079</v>
      </c>
      <c r="F214" s="115">
        <f t="shared" ref="F214" si="852">F212*V214</f>
        <v>64.60630650842316</v>
      </c>
      <c r="G214" s="115">
        <f t="shared" ref="G214" si="853">G212*W214</f>
        <v>71.771209892003867</v>
      </c>
      <c r="H214" s="115">
        <f t="shared" ref="H214" si="854">H212*X214</f>
        <v>79.886291947137281</v>
      </c>
      <c r="I214" s="115">
        <f t="shared" ref="I214" si="855">I212*Y214</f>
        <v>89.092111763475685</v>
      </c>
      <c r="J214" s="115">
        <f t="shared" ref="J214" si="856">J212*Z214</f>
        <v>99.551909993036872</v>
      </c>
      <c r="K214" s="115">
        <f t="shared" ref="K214" si="857">K212*AA214</f>
        <v>111.45553973354482</v>
      </c>
      <c r="L214" s="115">
        <f t="shared" ref="L214" si="858">L212*AB214</f>
        <v>125.02412179951583</v>
      </c>
      <c r="M214" s="115">
        <f t="shared" ref="M214" si="859">M212*AC214</f>
        <v>140.51556526587174</v>
      </c>
      <c r="N214" s="115">
        <f t="shared" ref="N214" si="860">N212*AD214</f>
        <v>158.23112292313527</v>
      </c>
      <c r="O214" s="115">
        <f t="shared" ref="O214" si="861">O212*AE214</f>
        <v>178.52318616832201</v>
      </c>
      <c r="P214" s="115">
        <f t="shared" ref="P214" si="862">P212*AF214</f>
        <v>201.8045662320159</v>
      </c>
      <c r="Q214" s="115">
        <f t="shared" ref="Q214" si="863">Q212*AG214</f>
        <v>228.55956018358503</v>
      </c>
      <c r="R214" s="68">
        <f t="shared" si="838"/>
        <v>0.12389369928599982</v>
      </c>
      <c r="S214" s="113" t="s">
        <v>61</v>
      </c>
      <c r="T214" s="116">
        <v>0.30000000000000004</v>
      </c>
      <c r="U214" s="116">
        <v>0.30015337479422161</v>
      </c>
      <c r="V214" s="116">
        <v>0.30030682800120145</v>
      </c>
      <c r="W214" s="116">
        <v>0.30046035966102813</v>
      </c>
      <c r="X214" s="116">
        <v>0.30061396981381056</v>
      </c>
      <c r="Y214" s="116">
        <v>0.30076765849967829</v>
      </c>
      <c r="Z214" s="116">
        <v>0.30092142575878128</v>
      </c>
      <c r="AA214" s="116">
        <v>0.30107527163128989</v>
      </c>
      <c r="AB214" s="116">
        <v>0.30122919615739541</v>
      </c>
      <c r="AC214" s="116">
        <v>0.30138319937730923</v>
      </c>
      <c r="AD214" s="116">
        <v>0.30153728133126367</v>
      </c>
      <c r="AE214" s="116">
        <v>0.30169144205951126</v>
      </c>
      <c r="AF214" s="116">
        <v>0.3018456816023255</v>
      </c>
      <c r="AG214" s="116">
        <v>0.30200000000000032</v>
      </c>
    </row>
    <row r="215" spans="1:33" s="117" customFormat="1" x14ac:dyDescent="0.35">
      <c r="A215" s="148"/>
      <c r="B215" s="113" t="s">
        <v>62</v>
      </c>
      <c r="C215" s="114"/>
      <c r="D215" s="115">
        <f>D212*T215</f>
        <v>26.329387499999999</v>
      </c>
      <c r="E215" s="115">
        <f t="shared" ref="E215" si="864">E212*U215</f>
        <v>29.16469472327983</v>
      </c>
      <c r="F215" s="115">
        <f t="shared" ref="F215" si="865">F212*V215</f>
        <v>32.368611427970976</v>
      </c>
      <c r="G215" s="115">
        <f t="shared" ref="G215" si="866">G212*W215</f>
        <v>35.99473650972763</v>
      </c>
      <c r="H215" s="115">
        <f t="shared" ref="H215" si="867">H212*X215</f>
        <v>40.105189254565992</v>
      </c>
      <c r="I215" s="115">
        <f t="shared" ref="I215" si="868">I212*Y215</f>
        <v>44.772066053733759</v>
      </c>
      <c r="J215" s="115">
        <f t="shared" ref="J215" si="869">J212*Z215</f>
        <v>50.079162236497595</v>
      </c>
      <c r="K215" s="115">
        <f t="shared" ref="K215" si="870">K212*AA215</f>
        <v>56.124009988293807</v>
      </c>
      <c r="L215" s="115">
        <f t="shared" ref="L215" si="871">L212*AB215</f>
        <v>63.020293611438603</v>
      </c>
      <c r="M215" s="115">
        <f t="shared" ref="M215" si="872">M212*AC215</f>
        <v>70.900715846818599</v>
      </c>
      <c r="N215" s="115">
        <f t="shared" ref="N215" si="873">N212*AD215</f>
        <v>79.920404084879252</v>
      </c>
      <c r="O215" s="115">
        <f t="shared" ref="O215" si="874">O212*AE215</f>
        <v>90.260963638866954</v>
      </c>
      <c r="P215" s="115">
        <f t="shared" ref="P215" si="875">P212*AF215</f>
        <v>102.13530755329556</v>
      </c>
      <c r="Q215" s="115">
        <f t="shared" ref="Q215" si="876">Q212*AG215</f>
        <v>115.79341956320668</v>
      </c>
      <c r="R215" s="68">
        <f t="shared" si="838"/>
        <v>0.12503183581957578</v>
      </c>
      <c r="S215" s="113" t="s">
        <v>62</v>
      </c>
      <c r="T215" s="116">
        <v>0.15</v>
      </c>
      <c r="U215" s="116">
        <v>0.15022866597023929</v>
      </c>
      <c r="V215" s="116">
        <v>0.15045768052798492</v>
      </c>
      <c r="W215" s="116">
        <v>0.15068704420463749</v>
      </c>
      <c r="X215" s="116">
        <v>0.15091675753240782</v>
      </c>
      <c r="Y215" s="116">
        <v>0.15114682104431795</v>
      </c>
      <c r="Z215" s="116">
        <v>0.15137723527420252</v>
      </c>
      <c r="AA215" s="116">
        <v>0.15160800075670999</v>
      </c>
      <c r="AB215" s="116">
        <v>0.15183911802730382</v>
      </c>
      <c r="AC215" s="116">
        <v>0.1520705876222638</v>
      </c>
      <c r="AD215" s="116">
        <v>0.15230241007868719</v>
      </c>
      <c r="AE215" s="116">
        <v>0.15253458593449007</v>
      </c>
      <c r="AF215" s="116">
        <v>0.15276711572840845</v>
      </c>
      <c r="AG215" s="116">
        <v>0.15299999999999978</v>
      </c>
    </row>
    <row r="216" spans="1:33" s="117" customFormat="1" x14ac:dyDescent="0.35">
      <c r="A216" s="148"/>
      <c r="B216" s="113" t="s">
        <v>63</v>
      </c>
      <c r="C216" s="114"/>
      <c r="D216" s="115">
        <f>D212*T216</f>
        <v>21.063510000000004</v>
      </c>
      <c r="E216" s="115">
        <f t="shared" ref="E216" si="877">E212*U216</f>
        <v>23.325881716064607</v>
      </c>
      <c r="F216" s="115">
        <f t="shared" ref="F216" si="878">F212*V216</f>
        <v>25.881852056556433</v>
      </c>
      <c r="G216" s="115">
        <f t="shared" ref="G216" si="879">G212*W216</f>
        <v>28.774045578126362</v>
      </c>
      <c r="H216" s="115">
        <f t="shared" ref="H216" si="880">H212*X216</f>
        <v>32.05185325106595</v>
      </c>
      <c r="I216" s="115">
        <f t="shared" ref="I216" si="881">I212*Y216</f>
        <v>35.772587820244112</v>
      </c>
      <c r="J216" s="115">
        <f t="shared" ref="J216" si="882">J212*Z216</f>
        <v>40.002849188488675</v>
      </c>
      <c r="K216" s="115">
        <f t="shared" ref="K216" si="883">K212*AA216</f>
        <v>44.820140152893508</v>
      </c>
      <c r="L216" s="115">
        <f t="shared" ref="L216" si="884">L212*AB216</f>
        <v>50.314780958164505</v>
      </c>
      <c r="M216" s="115">
        <f t="shared" ref="M216" si="885">M212*AC216</f>
        <v>56.592180979474222</v>
      </c>
      <c r="N216" s="115">
        <f t="shared" ref="N216" si="886">N212*AD216</f>
        <v>63.775537786835415</v>
      </c>
      <c r="O216" s="115">
        <f t="shared" ref="O216" si="887">O212*AE216</f>
        <v>72.009048335992233</v>
      </c>
      <c r="P216" s="115">
        <f t="shared" ref="P216" si="888">P212*AF216</f>
        <v>81.461734645571866</v>
      </c>
      <c r="Q216" s="115">
        <f t="shared" ref="Q216" si="889">Q212*AG216</f>
        <v>92.332007756282479</v>
      </c>
      <c r="R216" s="68">
        <f t="shared" si="838"/>
        <v>0.12474859492474451</v>
      </c>
      <c r="S216" s="113" t="s">
        <v>63</v>
      </c>
      <c r="T216" s="116">
        <v>0.12000000000000002</v>
      </c>
      <c r="U216" s="116">
        <v>0.12015267521339246</v>
      </c>
      <c r="V216" s="116">
        <v>0.12030554467445809</v>
      </c>
      <c r="W216" s="116">
        <v>0.12045860863033696</v>
      </c>
      <c r="X216" s="116">
        <v>0.12061186732848356</v>
      </c>
      <c r="Y216" s="116">
        <v>0.12076532101666719</v>
      </c>
      <c r="Z216" s="116">
        <v>0.1209189699429724</v>
      </c>
      <c r="AA216" s="116">
        <v>0.12107281435579939</v>
      </c>
      <c r="AB216" s="116">
        <v>0.12122685450386435</v>
      </c>
      <c r="AC216" s="116">
        <v>0.12138109063619994</v>
      </c>
      <c r="AD216" s="116">
        <v>0.12153552300215566</v>
      </c>
      <c r="AE216" s="116">
        <v>0.12169015185139827</v>
      </c>
      <c r="AF216" s="116">
        <v>0.12184497743391219</v>
      </c>
      <c r="AG216" s="116">
        <v>0.12199999999999984</v>
      </c>
    </row>
    <row r="217" spans="1:33" s="117" customFormat="1" x14ac:dyDescent="0.35">
      <c r="A217" s="148"/>
      <c r="B217" s="113" t="s">
        <v>64</v>
      </c>
      <c r="C217" s="114"/>
      <c r="D217" s="115">
        <f>D212*T217</f>
        <v>14.042340000000012</v>
      </c>
      <c r="E217" s="115">
        <f t="shared" ref="E217" si="890">E212*U217</f>
        <v>14.725492679614749</v>
      </c>
      <c r="F217" s="115">
        <f t="shared" ref="F217" si="891">F212*V217</f>
        <v>15.417694251987919</v>
      </c>
      <c r="G217" s="115">
        <f t="shared" ref="G217" si="892">G212*W217</f>
        <v>16.109654494358022</v>
      </c>
      <c r="H217" s="115">
        <f>H212*X217</f>
        <v>16.789052735111955</v>
      </c>
      <c r="I217" s="115">
        <f t="shared" ref="I217" si="893">I212*Y217</f>
        <v>17.439767250220253</v>
      </c>
      <c r="J217" s="115">
        <f t="shared" ref="J217" si="894">J212*Z217</f>
        <v>18.040920298720458</v>
      </c>
      <c r="K217" s="115">
        <f t="shared" ref="K217" si="895">K212*AA217</f>
        <v>18.565695127304604</v>
      </c>
      <c r="L217" s="115">
        <f t="shared" ref="L217" si="896">L212*AB217</f>
        <v>18.97987083612238</v>
      </c>
      <c r="M217" s="115">
        <f t="shared" ref="M217" si="897">M212*AC217</f>
        <v>19.240008021408187</v>
      </c>
      <c r="N217" s="115">
        <f t="shared" ref="N217" si="898">N212*AD217</f>
        <v>19.291201964886245</v>
      </c>
      <c r="O217" s="115">
        <f t="shared" ref="O217" si="899">O212*AE217</f>
        <v>19.064300034275007</v>
      </c>
      <c r="P217" s="115">
        <f t="shared" ref="P217" si="900">P212*AF217</f>
        <v>18.472454900833807</v>
      </c>
      <c r="Q217" s="115">
        <f t="shared" ref="Q217" si="901">Q212*AG217</f>
        <v>17.406853921266322</v>
      </c>
      <c r="R217" s="68">
        <f t="shared" si="838"/>
        <v>4.0232919161682229E-3</v>
      </c>
      <c r="S217" s="113" t="s">
        <v>64</v>
      </c>
      <c r="T217" s="116">
        <f>1-SUM(T213:T216)</f>
        <v>8.0000000000000071E-2</v>
      </c>
      <c r="U217" s="116">
        <f t="shared" ref="U217:AG217" si="902">1-SUM(U213:U216)</f>
        <v>7.585168101373041E-2</v>
      </c>
      <c r="V217" s="116">
        <f t="shared" si="902"/>
        <v>7.1665431846087646E-2</v>
      </c>
      <c r="W217" s="116">
        <f t="shared" si="902"/>
        <v>6.7440866479373307E-2</v>
      </c>
      <c r="X217" s="116">
        <f t="shared" si="902"/>
        <v>6.3177594917725788E-2</v>
      </c>
      <c r="Y217" s="116">
        <f t="shared" si="902"/>
        <v>5.887522314605742E-2</v>
      </c>
      <c r="Z217" s="116">
        <f t="shared" si="902"/>
        <v>5.4533353088566772E-2</v>
      </c>
      <c r="AA217" s="116">
        <f t="shared" si="902"/>
        <v>5.0151582566825281E-2</v>
      </c>
      <c r="AB217" s="116">
        <f t="shared" si="902"/>
        <v>4.5729505257428471E-2</v>
      </c>
      <c r="AC217" s="116">
        <f t="shared" si="902"/>
        <v>4.126671064921128E-2</v>
      </c>
      <c r="AD217" s="116">
        <f t="shared" si="902"/>
        <v>3.6762784000021864E-2</v>
      </c>
      <c r="AE217" s="116">
        <f t="shared" si="902"/>
        <v>3.2217306293047754E-2</v>
      </c>
      <c r="AF217" s="116">
        <f t="shared" si="902"/>
        <v>2.7629854192693704E-2</v>
      </c>
      <c r="AG217" s="116">
        <f t="shared" si="902"/>
        <v>2.2999999999999909E-2</v>
      </c>
    </row>
    <row r="218" spans="1:33" x14ac:dyDescent="0.35">
      <c r="A218" s="1"/>
      <c r="D218" s="81" t="b">
        <f>D212=SUM(D213:D217)</f>
        <v>1</v>
      </c>
      <c r="E218" s="81" t="b">
        <f t="shared" ref="E218:Q218" si="903">E212=SUM(E213:E217)</f>
        <v>1</v>
      </c>
      <c r="F218" s="81" t="b">
        <f t="shared" si="903"/>
        <v>1</v>
      </c>
      <c r="G218" s="81" t="b">
        <f t="shared" si="903"/>
        <v>1</v>
      </c>
      <c r="H218" s="81" t="b">
        <f t="shared" si="903"/>
        <v>1</v>
      </c>
      <c r="I218" s="81" t="b">
        <f t="shared" si="903"/>
        <v>1</v>
      </c>
      <c r="J218" s="81" t="b">
        <f t="shared" si="903"/>
        <v>1</v>
      </c>
      <c r="K218" s="81" t="b">
        <f t="shared" si="903"/>
        <v>1</v>
      </c>
      <c r="L218" s="81" t="b">
        <f t="shared" si="903"/>
        <v>1</v>
      </c>
      <c r="M218" s="81" t="b">
        <f t="shared" si="903"/>
        <v>1</v>
      </c>
      <c r="N218" s="81" t="b">
        <f t="shared" si="903"/>
        <v>1</v>
      </c>
      <c r="O218" s="81" t="b">
        <f t="shared" si="903"/>
        <v>1</v>
      </c>
      <c r="P218" s="81" t="b">
        <f t="shared" si="903"/>
        <v>1</v>
      </c>
      <c r="Q218" s="81" t="b">
        <f t="shared" si="903"/>
        <v>1</v>
      </c>
      <c r="R218" s="21"/>
    </row>
    <row r="219" spans="1:33" s="117" customFormat="1" x14ac:dyDescent="0.35">
      <c r="A219" s="149" t="s">
        <v>65</v>
      </c>
      <c r="B219" s="122" t="s">
        <v>66</v>
      </c>
      <c r="C219" s="123"/>
      <c r="D219" s="124">
        <f>D212*T219</f>
        <v>122.870475</v>
      </c>
      <c r="E219" s="124">
        <f t="shared" ref="E219" si="904">E212*U219</f>
        <v>135.96916775733558</v>
      </c>
      <c r="F219" s="124">
        <f t="shared" ref="F219" si="905">F212*V219</f>
        <v>150.75901699996422</v>
      </c>
      <c r="G219" s="124">
        <f t="shared" ref="G219" si="906">G212*W219</f>
        <v>167.48443409059925</v>
      </c>
      <c r="H219" s="124">
        <f t="shared" ref="H219" si="907">H212*X219</f>
        <v>186.42847411695669</v>
      </c>
      <c r="I219" s="124">
        <f t="shared" ref="I219" si="908">I212*Y219</f>
        <v>207.9194100205863</v>
      </c>
      <c r="J219" s="124">
        <f t="shared" ref="J219" si="909">J212*Z219</f>
        <v>232.33849769364875</v>
      </c>
      <c r="K219" s="124">
        <f t="shared" ref="K219" si="910">K212*AA219</f>
        <v>260.12916000915163</v>
      </c>
      <c r="L219" s="124">
        <f t="shared" ref="L219" si="911">L212*AB219</f>
        <v>291.80786358484994</v>
      </c>
      <c r="M219" s="124">
        <f t="shared" ref="M219" si="912">M212*AC219</f>
        <v>327.97701755043215</v>
      </c>
      <c r="N219" s="124">
        <f t="shared" ref="N219" si="913">N212*AD219</f>
        <v>369.3402908010849</v>
      </c>
      <c r="O219" s="124">
        <f t="shared" ref="O219" si="914">O212*AE219</f>
        <v>416.72082576690724</v>
      </c>
      <c r="P219" s="124">
        <f t="shared" ref="P219" si="915">P212*AF219</f>
        <v>471.08292578804594</v>
      </c>
      <c r="Q219" s="124">
        <f t="shared" ref="Q219" si="916">Q212*AG219</f>
        <v>533.55791367360121</v>
      </c>
      <c r="R219" s="68">
        <f>RATE(9,,-H219,Q219)</f>
        <v>0.12393458599001989</v>
      </c>
      <c r="S219" s="122" t="s">
        <v>66</v>
      </c>
      <c r="T219" s="116">
        <v>0.70000000000000007</v>
      </c>
      <c r="U219" s="116">
        <v>0.70038335319736411</v>
      </c>
      <c r="V219" s="116">
        <v>0.70076691633711929</v>
      </c>
      <c r="W219" s="116">
        <v>0.70115068953424042</v>
      </c>
      <c r="X219" s="116">
        <v>0.70153467290376448</v>
      </c>
      <c r="Y219" s="116">
        <v>0.70191886656079228</v>
      </c>
      <c r="Z219" s="116">
        <v>0.70230327062048659</v>
      </c>
      <c r="AA219" s="116">
        <v>0.70268788519807479</v>
      </c>
      <c r="AB219" s="116">
        <v>0.70307271040884567</v>
      </c>
      <c r="AC219" s="116">
        <v>0.70345774636815217</v>
      </c>
      <c r="AD219" s="116">
        <v>0.70384299319141008</v>
      </c>
      <c r="AE219" s="116">
        <v>0.70422845099409903</v>
      </c>
      <c r="AF219" s="116">
        <v>0.70461411989176093</v>
      </c>
      <c r="AG219" s="116">
        <v>0.70500000000000129</v>
      </c>
    </row>
    <row r="220" spans="1:33" s="117" customFormat="1" x14ac:dyDescent="0.35">
      <c r="A220" s="149"/>
      <c r="B220" s="122" t="s">
        <v>67</v>
      </c>
      <c r="C220" s="123"/>
      <c r="D220" s="124">
        <f>D212*T220</f>
        <v>35.105850000000004</v>
      </c>
      <c r="E220" s="124">
        <f t="shared" ref="E220" si="917">E212*U220</f>
        <v>38.856800106645132</v>
      </c>
      <c r="F220" s="124">
        <f t="shared" ref="F220" si="918">F212*V220</f>
        <v>43.092781680579719</v>
      </c>
      <c r="G220" s="124">
        <f t="shared" ref="G220" si="919">G212*W220</f>
        <v>47.883988790105136</v>
      </c>
      <c r="H220" s="124">
        <f t="shared" ref="H220" si="920">H212*X220</f>
        <v>53.311727249221953</v>
      </c>
      <c r="I220" s="124">
        <f t="shared" ref="I220" si="921">I212*Y220</f>
        <v>59.470307062792273</v>
      </c>
      <c r="J220" s="124">
        <f t="shared" ref="J220" si="922">J212*Z220</f>
        <v>66.469278060145527</v>
      </c>
      <c r="K220" s="124">
        <f t="shared" ref="K220" si="923">K212*AA220</f>
        <v>74.436074471228295</v>
      </c>
      <c r="L220" s="124">
        <f t="shared" ref="L220" si="924">L212*AB220</f>
        <v>83.519147432063193</v>
      </c>
      <c r="M220" s="124">
        <f t="shared" ref="M220" si="925">M212*AC220</f>
        <v>93.891680422966857</v>
      </c>
      <c r="N220" s="124">
        <f t="shared" ref="N220" si="926">N212*AD220</f>
        <v>105.75600205371133</v>
      </c>
      <c r="O220" s="124">
        <f t="shared" ref="O220" si="927">O212*AE220</f>
        <v>119.34883416339895</v>
      </c>
      <c r="P220" s="124">
        <f t="shared" ref="P220" si="928">P212*AF220</f>
        <v>134.94754181952226</v>
      </c>
      <c r="Q220" s="124">
        <f t="shared" ref="Q220" si="929">Q212*AG220</f>
        <v>152.87758661286159</v>
      </c>
      <c r="R220" s="68">
        <f>RATE(9,,-H220,Q220)</f>
        <v>0.12417953212345363</v>
      </c>
      <c r="S220" s="122" t="s">
        <v>67</v>
      </c>
      <c r="T220" s="116">
        <v>0.20000000000000004</v>
      </c>
      <c r="U220" s="116">
        <v>0.2001531406133327</v>
      </c>
      <c r="V220" s="116">
        <v>0.2003063984869026</v>
      </c>
      <c r="W220" s="116">
        <v>0.20045977371049628</v>
      </c>
      <c r="X220" s="116">
        <v>0.20061326637396906</v>
      </c>
      <c r="Y220" s="116">
        <v>0.2007668765672449</v>
      </c>
      <c r="Z220" s="116">
        <v>0.20092060438031684</v>
      </c>
      <c r="AA220" s="116">
        <v>0.20107444990324672</v>
      </c>
      <c r="AB220" s="116">
        <v>0.20122841322616528</v>
      </c>
      <c r="AC220" s="116">
        <v>0.20138249443927231</v>
      </c>
      <c r="AD220" s="116">
        <v>0.20153669363283677</v>
      </c>
      <c r="AE220" s="116">
        <v>0.2016910108971966</v>
      </c>
      <c r="AF220" s="116">
        <v>0.20184544632275897</v>
      </c>
      <c r="AG220" s="116">
        <v>0.20200000000000032</v>
      </c>
    </row>
    <row r="221" spans="1:33" s="117" customFormat="1" x14ac:dyDescent="0.35">
      <c r="A221" s="149"/>
      <c r="B221" s="122" t="s">
        <v>68</v>
      </c>
      <c r="C221" s="123"/>
      <c r="D221" s="124">
        <f>D212*T221</f>
        <v>17.552924999999977</v>
      </c>
      <c r="E221" s="124">
        <f t="shared" ref="E221" si="930">E212*U221</f>
        <v>19.309382636019301</v>
      </c>
      <c r="F221" s="124">
        <f t="shared" ref="F221" si="931">F212*V221</f>
        <v>21.282525565206114</v>
      </c>
      <c r="G221" s="124">
        <f t="shared" ref="G221" si="932">G212*W221</f>
        <v>23.502388473493408</v>
      </c>
      <c r="H221" s="124">
        <f t="shared" ref="H221" si="933">H212*X221</f>
        <v>26.00357626536643</v>
      </c>
      <c r="I221" s="124">
        <f t="shared" ref="I221" si="934">I212*Y221</f>
        <v>28.82601371658372</v>
      </c>
      <c r="J221" s="124">
        <f t="shared" ref="J221" si="935">J212*Z221</f>
        <v>32.015826261296908</v>
      </c>
      <c r="K221" s="124">
        <f t="shared" ref="K221" si="936">K212*AA221</f>
        <v>35.626376174507065</v>
      </c>
      <c r="L221" s="124">
        <f t="shared" ref="L221" si="937">L212*AB221</f>
        <v>39.719483128991044</v>
      </c>
      <c r="M221" s="124">
        <f>M212*AC221</f>
        <v>44.366863783833381</v>
      </c>
      <c r="N221" s="124">
        <f t="shared" ref="N221" si="938">N212*AD221</f>
        <v>49.651831902968922</v>
      </c>
      <c r="O221" s="124">
        <f t="shared" ref="O221" si="939">O212*AE221</f>
        <v>55.671308754867113</v>
      </c>
      <c r="P221" s="124">
        <f t="shared" ref="P221" si="940">P212*AF221</f>
        <v>62.538203511896775</v>
      </c>
      <c r="Q221" s="124">
        <f t="shared" ref="Q221" si="941">Q212*AG221</f>
        <v>70.384235420771603</v>
      </c>
      <c r="R221" s="68">
        <f>RATE(9,,-H221,Q221)</f>
        <v>0.11698964314855033</v>
      </c>
      <c r="S221" s="122" t="s">
        <v>68</v>
      </c>
      <c r="T221" s="116">
        <f>1-SUM(T219:T220)</f>
        <v>9.9999999999999867E-2</v>
      </c>
      <c r="U221" s="116">
        <f t="shared" ref="U221:AG221" si="942">1-SUM(U219:U220)</f>
        <v>9.9463506189303219E-2</v>
      </c>
      <c r="V221" s="116">
        <f t="shared" si="942"/>
        <v>9.8926685175978135E-2</v>
      </c>
      <c r="W221" s="116">
        <f t="shared" si="942"/>
        <v>9.8389536755263296E-2</v>
      </c>
      <c r="X221" s="116">
        <f t="shared" si="942"/>
        <v>9.7852060722266487E-2</v>
      </c>
      <c r="Y221" s="116">
        <f t="shared" si="942"/>
        <v>9.7314256871962823E-2</v>
      </c>
      <c r="Z221" s="116">
        <f t="shared" si="942"/>
        <v>9.6776124999196522E-2</v>
      </c>
      <c r="AA221" s="116">
        <f t="shared" si="942"/>
        <v>9.6237664898678466E-2</v>
      </c>
      <c r="AB221" s="116">
        <f t="shared" si="942"/>
        <v>9.5698876364989083E-2</v>
      </c>
      <c r="AC221" s="116">
        <f t="shared" si="942"/>
        <v>9.5159759192575466E-2</v>
      </c>
      <c r="AD221" s="116">
        <f t="shared" si="942"/>
        <v>9.4620313175753146E-2</v>
      </c>
      <c r="AE221" s="116">
        <f t="shared" si="942"/>
        <v>9.4080538108704426E-2</v>
      </c>
      <c r="AF221" s="116">
        <f t="shared" si="942"/>
        <v>9.3540433785480159E-2</v>
      </c>
      <c r="AG221" s="116">
        <f t="shared" si="942"/>
        <v>9.2999999999998417E-2</v>
      </c>
    </row>
    <row r="222" spans="1:33" x14ac:dyDescent="0.35">
      <c r="A222" s="1"/>
      <c r="D222" s="81" t="b">
        <f>D212=SUM(D219:D221)</f>
        <v>1</v>
      </c>
      <c r="E222" s="81" t="b">
        <f t="shared" ref="E222:Q222" si="943">E212=SUM(E219:E221)</f>
        <v>1</v>
      </c>
      <c r="F222" s="81" t="b">
        <f t="shared" si="943"/>
        <v>1</v>
      </c>
      <c r="G222" s="81" t="b">
        <f t="shared" si="943"/>
        <v>1</v>
      </c>
      <c r="H222" s="81" t="b">
        <f t="shared" si="943"/>
        <v>1</v>
      </c>
      <c r="I222" s="81" t="b">
        <f t="shared" si="943"/>
        <v>1</v>
      </c>
      <c r="J222" s="81" t="b">
        <f t="shared" si="943"/>
        <v>1</v>
      </c>
      <c r="K222" s="81" t="b">
        <f t="shared" si="943"/>
        <v>1</v>
      </c>
      <c r="L222" s="81" t="b">
        <f t="shared" si="943"/>
        <v>1</v>
      </c>
      <c r="M222" s="81" t="b">
        <f t="shared" si="943"/>
        <v>1</v>
      </c>
      <c r="N222" s="81" t="b">
        <f t="shared" si="943"/>
        <v>1</v>
      </c>
      <c r="O222" s="81" t="b">
        <f t="shared" si="943"/>
        <v>1</v>
      </c>
      <c r="P222" s="81" t="b">
        <f t="shared" si="943"/>
        <v>1</v>
      </c>
      <c r="Q222" s="81" t="b">
        <f t="shared" si="943"/>
        <v>1</v>
      </c>
      <c r="R222" s="21"/>
    </row>
    <row r="223" spans="1:33" s="117" customFormat="1" x14ac:dyDescent="0.35">
      <c r="A223" s="149" t="s">
        <v>69</v>
      </c>
      <c r="B223" s="125" t="s">
        <v>70</v>
      </c>
      <c r="C223" s="126"/>
      <c r="D223" s="127">
        <f>D212*T223</f>
        <v>73.722284999999999</v>
      </c>
      <c r="E223" s="127">
        <f t="shared" ref="E223" si="944">E212*U223</f>
        <v>81.551764313076035</v>
      </c>
      <c r="F223" s="127">
        <f t="shared" ref="F223" si="945">F212*V223</f>
        <v>90.3894804802663</v>
      </c>
      <c r="G223" s="127">
        <f t="shared" ref="G223" si="946">G212*W223</f>
        <v>100.38081439303322</v>
      </c>
      <c r="H223" s="127">
        <f t="shared" ref="H223" si="947">H212*X223</f>
        <v>111.69408662116568</v>
      </c>
      <c r="I223" s="127">
        <f t="shared" ref="I223" si="948">I212*Y223</f>
        <v>124.52445270549237</v>
      </c>
      <c r="J223" s="127">
        <f t="shared" ref="J223" si="949">J212*Z223</f>
        <v>139.09850290517505</v>
      </c>
      <c r="K223" s="127">
        <f t="shared" ref="K223" si="950">K212*AA223</f>
        <v>155.67970102196298</v>
      </c>
      <c r="L223" s="127">
        <f t="shared" ref="L223" si="951">L212*AB223</f>
        <v>174.57482394932964</v>
      </c>
      <c r="M223" s="127">
        <f t="shared" ref="M223" si="952">M212*AC223</f>
        <v>196.1415962925401</v>
      </c>
      <c r="N223" s="127">
        <f t="shared" ref="N223" si="953">N212*AD223</f>
        <v>220.79775401658097</v>
      </c>
      <c r="O223" s="127">
        <f t="shared" ref="O223" si="954">O212*AE223</f>
        <v>249.0318191242126</v>
      </c>
      <c r="P223" s="127">
        <f t="shared" ref="P223" si="955">P212*AF223</f>
        <v>281.41592571554071</v>
      </c>
      <c r="Q223" s="127">
        <f t="shared" ref="Q223" si="956">Q212*AG223</f>
        <v>318.62110873274554</v>
      </c>
      <c r="R223" s="68">
        <f>RATE(9,,-H223,Q223)</f>
        <v>0.12352491342690068</v>
      </c>
      <c r="S223" s="125" t="s">
        <v>70</v>
      </c>
      <c r="T223" s="116">
        <v>0.42</v>
      </c>
      <c r="U223" s="116">
        <v>0.42007683867486062</v>
      </c>
      <c r="V223" s="116">
        <v>0.4201536914072973</v>
      </c>
      <c r="W223" s="116">
        <v>0.42023055819988187</v>
      </c>
      <c r="X223" s="116">
        <v>0.42030743905518658</v>
      </c>
      <c r="Y223" s="116">
        <v>0.42038433397578434</v>
      </c>
      <c r="Z223" s="116">
        <v>0.42046124296424836</v>
      </c>
      <c r="AA223" s="116">
        <v>0.42053816602315214</v>
      </c>
      <c r="AB223" s="116">
        <v>0.42061510315507006</v>
      </c>
      <c r="AC223" s="116">
        <v>0.42069205436257667</v>
      </c>
      <c r="AD223" s="116">
        <v>0.4207690196482472</v>
      </c>
      <c r="AE223" s="116">
        <v>0.42084599901465702</v>
      </c>
      <c r="AF223" s="116">
        <v>0.42092299246438242</v>
      </c>
      <c r="AG223" s="137">
        <v>0.42099999999999982</v>
      </c>
    </row>
    <row r="224" spans="1:33" s="117" customFormat="1" x14ac:dyDescent="0.35">
      <c r="A224" s="149"/>
      <c r="B224" s="125" t="s">
        <v>71</v>
      </c>
      <c r="C224" s="126"/>
      <c r="D224" s="127">
        <f>D212*T224</f>
        <v>40.371727500000006</v>
      </c>
      <c r="E224" s="127">
        <f t="shared" ref="E224" si="957">E212*U224</f>
        <v>44.680878388474305</v>
      </c>
      <c r="F224" s="127">
        <f t="shared" ref="F224" si="958">F212*V224</f>
        <v>49.546847520954877</v>
      </c>
      <c r="G224" s="127">
        <f t="shared" ref="G224" si="959">G212*W224</f>
        <v>55.050167835189157</v>
      </c>
      <c r="H224" s="127">
        <f t="shared" ref="H224" si="960">H212*X224</f>
        <v>61.284113643467457</v>
      </c>
      <c r="I224" s="127">
        <f t="shared" ref="I224" si="961">I212*Y224</f>
        <v>68.356869522699839</v>
      </c>
      <c r="J224" s="127">
        <f t="shared" ref="J224" si="962">J212*Z224</f>
        <v>76.394092340461413</v>
      </c>
      <c r="K224" s="127">
        <f t="shared" ref="K224" si="963">K212*AA224</f>
        <v>85.541941707627984</v>
      </c>
      <c r="L224" s="127">
        <f t="shared" ref="L224" si="964">L212*AB224</f>
        <v>95.970669293710202</v>
      </c>
      <c r="M224" s="127">
        <f t="shared" ref="M224" si="965">M212*AC224</f>
        <v>107.87887577166688</v>
      </c>
      <c r="N224" s="127">
        <f t="shared" ref="N224" si="966">N212*AD224</f>
        <v>121.49856637249654</v>
      </c>
      <c r="O224" s="127">
        <f t="shared" ref="O224" si="967">O212*AE224</f>
        <v>137.10116298258924</v>
      </c>
      <c r="P224" s="127">
        <f t="shared" ref="P224" si="968">P212*AF224</f>
        <v>155.00466346098196</v>
      </c>
      <c r="Q224" s="127">
        <f t="shared" ref="Q224" si="969">Q212*AG224</f>
        <v>175.58217868407851</v>
      </c>
      <c r="R224" s="68">
        <f>RATE(9,,-H224,Q224)</f>
        <v>0.12406778834217094</v>
      </c>
      <c r="S224" s="125" t="s">
        <v>71</v>
      </c>
      <c r="T224" s="116">
        <v>0.23000000000000007</v>
      </c>
      <c r="U224" s="116">
        <v>0.230153232131076</v>
      </c>
      <c r="V224" s="116">
        <v>0.23030656634948232</v>
      </c>
      <c r="W224" s="116">
        <v>0.23046000272323239</v>
      </c>
      <c r="X224" s="116">
        <v>0.23061354132038475</v>
      </c>
      <c r="Y224" s="116">
        <v>0.23076718220904338</v>
      </c>
      <c r="Z224" s="116">
        <v>0.23092092545735762</v>
      </c>
      <c r="AA224" s="116">
        <v>0.23107477113352223</v>
      </c>
      <c r="AB224" s="116">
        <v>0.23122871930577729</v>
      </c>
      <c r="AC224" s="116">
        <v>0.23138277004240856</v>
      </c>
      <c r="AD224" s="116">
        <v>0.23153692341174703</v>
      </c>
      <c r="AE224" s="116">
        <v>0.23169117948216938</v>
      </c>
      <c r="AF224" s="116">
        <v>0.23184553832209787</v>
      </c>
      <c r="AG224" s="137">
        <v>0.23200000000000018</v>
      </c>
    </row>
    <row r="225" spans="1:33" s="117" customFormat="1" x14ac:dyDescent="0.35">
      <c r="A225" s="149"/>
      <c r="B225" s="125" t="s">
        <v>72</v>
      </c>
      <c r="C225" s="126"/>
      <c r="D225" s="127">
        <f>D212*T225</f>
        <v>35.105849999999997</v>
      </c>
      <c r="E225" s="127">
        <f t="shared" ref="E225" si="970">E212*U225</f>
        <v>38.841969236656247</v>
      </c>
      <c r="F225" s="127">
        <f t="shared" ref="F225" si="971">F212*V225</f>
        <v>43.059892638030909</v>
      </c>
      <c r="G225" s="127">
        <f t="shared" ref="G225" si="972">G212*W225</f>
        <v>47.829180607981463</v>
      </c>
      <c r="H225" s="127">
        <f t="shared" ref="H225" si="973">H212*X225</f>
        <v>53.230381719969962</v>
      </c>
      <c r="I225" s="127">
        <f t="shared" ref="I225" si="974">I212*Y225</f>
        <v>59.356900482001429</v>
      </c>
      <c r="J225" s="127">
        <f t="shared" ref="J225" si="975">J212*Z225</f>
        <v>66.317203203404205</v>
      </c>
      <c r="K225" s="127">
        <f t="shared" ref="K225" si="976">K212*AA225</f>
        <v>74.237426633011509</v>
      </c>
      <c r="L225" s="127">
        <f t="shared" ref="L225" si="977">L212*AB225</f>
        <v>83.264467031767666</v>
      </c>
      <c r="M225" s="127">
        <f t="shared" ref="M225" si="978">M212*AC225</f>
        <v>93.569643065742241</v>
      </c>
      <c r="N225" s="127">
        <f t="shared" ref="N225" si="979">N212*AD225</f>
        <v>105.35304495519344</v>
      </c>
      <c r="O225" s="127">
        <f t="shared" ref="O225" si="980">O212*AE225</f>
        <v>118.84870542454171</v>
      </c>
      <c r="P225" s="127">
        <f t="shared" ref="P225" si="981">P212*AF225</f>
        <v>134.33075606733181</v>
      </c>
      <c r="Q225" s="127">
        <f t="shared" ref="Q225" si="982">Q212*AG225</f>
        <v>152.1207668771539</v>
      </c>
      <c r="R225" s="68">
        <f>RATE(9,,-H225,Q225)</f>
        <v>0.12375045509088159</v>
      </c>
      <c r="S225" s="125" t="s">
        <v>72</v>
      </c>
      <c r="T225" s="116">
        <v>0.19999999999999998</v>
      </c>
      <c r="U225" s="116">
        <v>0.20007674612901705</v>
      </c>
      <c r="V225" s="116">
        <v>0.20015352170787573</v>
      </c>
      <c r="W225" s="116">
        <v>0.2002303267478768</v>
      </c>
      <c r="X225" s="116">
        <v>0.20030716126032544</v>
      </c>
      <c r="Y225" s="116">
        <v>0.20038402525653101</v>
      </c>
      <c r="Z225" s="116">
        <v>0.20046091874780753</v>
      </c>
      <c r="AA225" s="116">
        <v>0.20053784174547304</v>
      </c>
      <c r="AB225" s="116">
        <v>0.20061479426085005</v>
      </c>
      <c r="AC225" s="116">
        <v>0.20069177630526541</v>
      </c>
      <c r="AD225" s="116">
        <v>0.20076878789005037</v>
      </c>
      <c r="AE225" s="116">
        <v>0.20084582902654041</v>
      </c>
      <c r="AF225" s="116">
        <v>0.20092289972607549</v>
      </c>
      <c r="AG225" s="137">
        <v>0.20099999999999973</v>
      </c>
    </row>
    <row r="226" spans="1:33" s="117" customFormat="1" x14ac:dyDescent="0.35">
      <c r="A226" s="149"/>
      <c r="B226" s="125" t="s">
        <v>73</v>
      </c>
      <c r="C226" s="126"/>
      <c r="D226" s="127">
        <f>D212*T226</f>
        <v>17.552924999999998</v>
      </c>
      <c r="E226" s="127">
        <f t="shared" ref="E226" si="983">E212*U226</f>
        <v>19.443129815519889</v>
      </c>
      <c r="F226" s="127">
        <f t="shared" ref="F226" si="984">F212*V226</f>
        <v>21.579074285313983</v>
      </c>
      <c r="G226" s="127">
        <f t="shared" ref="G226" si="985">G212*W226</f>
        <v>23.996491006485087</v>
      </c>
      <c r="H226" s="127">
        <f t="shared" ref="H226" si="986">H212*X226</f>
        <v>26.736792836377326</v>
      </c>
      <c r="I226" s="127">
        <f t="shared" ref="I226" si="987">I212*Y226</f>
        <v>29.848044035822507</v>
      </c>
      <c r="J226" s="127">
        <f t="shared" ref="J226" si="988">J212*Z226</f>
        <v>33.386108157665063</v>
      </c>
      <c r="K226" s="127">
        <f t="shared" ref="K226" si="989">K212*AA226</f>
        <v>37.416006658862536</v>
      </c>
      <c r="L226" s="127">
        <f t="shared" ref="L226" si="990">L212*AB226</f>
        <v>42.013529074292407</v>
      </c>
      <c r="M226" s="127">
        <f t="shared" ref="M226" si="991">M212*AC226</f>
        <v>47.267143897879066</v>
      </c>
      <c r="N226" s="127">
        <f t="shared" ref="N226" si="992">N212*AD226</f>
        <v>53.280269389919503</v>
      </c>
      <c r="O226" s="127">
        <f t="shared" ref="O226" si="993">O212*AE226</f>
        <v>60.173975759244634</v>
      </c>
      <c r="P226" s="127">
        <f t="shared" ref="P226" si="994">P212*AF226</f>
        <v>68.090205035530374</v>
      </c>
      <c r="Q226" s="127">
        <f t="shared" ref="Q226" si="995">Q212*AG226</f>
        <v>77.195613042137794</v>
      </c>
      <c r="R226" s="68">
        <f>RATE(9,,-H226,Q226)</f>
        <v>0.12503183581957575</v>
      </c>
      <c r="S226" s="125" t="s">
        <v>73</v>
      </c>
      <c r="T226" s="116">
        <v>9.9999999999999992E-2</v>
      </c>
      <c r="U226" s="116">
        <v>0.10015244398015953</v>
      </c>
      <c r="V226" s="116">
        <v>0.10030512035198993</v>
      </c>
      <c r="W226" s="116">
        <v>0.10045802946975833</v>
      </c>
      <c r="X226" s="116">
        <v>0.10061117168827188</v>
      </c>
      <c r="Y226" s="116">
        <v>0.10076454736287864</v>
      </c>
      <c r="Z226" s="116">
        <v>0.10091815684946834</v>
      </c>
      <c r="AA226" s="116">
        <v>0.10107200050447333</v>
      </c>
      <c r="AB226" s="116">
        <v>0.10122607868486923</v>
      </c>
      <c r="AC226" s="116">
        <v>0.10138039174817587</v>
      </c>
      <c r="AD226" s="116">
        <v>0.10153494005245813</v>
      </c>
      <c r="AE226" s="116">
        <v>0.10168972395632671</v>
      </c>
      <c r="AF226" s="116">
        <v>0.10184474381893897</v>
      </c>
      <c r="AG226" s="137">
        <v>0.10199999999999985</v>
      </c>
    </row>
    <row r="227" spans="1:33" s="117" customFormat="1" x14ac:dyDescent="0.35">
      <c r="A227" s="149"/>
      <c r="B227" s="125" t="s">
        <v>74</v>
      </c>
      <c r="C227" s="126"/>
      <c r="D227" s="127">
        <f>D212*T227</f>
        <v>8.776462500000008</v>
      </c>
      <c r="E227" s="127">
        <f t="shared" ref="E227" si="996">E212*U227</f>
        <v>9.6176087462735413</v>
      </c>
      <c r="F227" s="127">
        <f t="shared" ref="F227" si="997">F212*V227</f>
        <v>10.559029321183985</v>
      </c>
      <c r="G227" s="127">
        <f t="shared" ref="G227" si="998">G212*W227</f>
        <v>11.61415751150887</v>
      </c>
      <c r="H227" s="127">
        <f t="shared" ref="H227" si="999">H212*X227</f>
        <v>12.798402810564625</v>
      </c>
      <c r="I227" s="127">
        <f t="shared" ref="I227" si="1000">I212*Y227</f>
        <v>14.12946405394614</v>
      </c>
      <c r="J227" s="127">
        <f t="shared" ref="J227" si="1001">J212*Z227</f>
        <v>15.627695408385403</v>
      </c>
      <c r="K227" s="127">
        <f t="shared" ref="K227" si="1002">K212*AA227</f>
        <v>17.316534633422034</v>
      </c>
      <c r="L227" s="127">
        <f t="shared" ref="L227" si="1003">L212*AB227</f>
        <v>19.223004796804208</v>
      </c>
      <c r="M227" s="127">
        <f t="shared" ref="M227" si="1004">M212*AC227</f>
        <v>21.37830272940414</v>
      </c>
      <c r="N227" s="127">
        <f t="shared" ref="N227" si="1005">N212*AD227</f>
        <v>23.818490023574711</v>
      </c>
      <c r="O227" s="127">
        <f t="shared" ref="O227" si="1006">O212*AE227</f>
        <v>26.585305394585049</v>
      </c>
      <c r="P227" s="127">
        <f t="shared" ref="P227" si="1007">P212*AF227</f>
        <v>29.727120840080119</v>
      </c>
      <c r="Q227" s="127">
        <f t="shared" ref="Q227" si="1008">Q212*AG227</f>
        <v>33.300068371118591</v>
      </c>
      <c r="R227" s="68">
        <f>RATE(9,,-H227,Q227)</f>
        <v>0.11209851583211278</v>
      </c>
      <c r="S227" s="125" t="s">
        <v>74</v>
      </c>
      <c r="T227" s="116">
        <f>1-SUM(T223:T226)</f>
        <v>5.0000000000000044E-2</v>
      </c>
      <c r="U227" s="116">
        <f t="shared" ref="U227:AG227" si="1009">1-SUM(U223:U226)</f>
        <v>4.9540739084886765E-2</v>
      </c>
      <c r="V227" s="116">
        <f t="shared" si="1009"/>
        <v>4.9081100183354764E-2</v>
      </c>
      <c r="W227" s="116">
        <f t="shared" si="1009"/>
        <v>4.8621082859250597E-2</v>
      </c>
      <c r="X227" s="116">
        <f t="shared" si="1009"/>
        <v>4.8160686675831288E-2</v>
      </c>
      <c r="Y227" s="116">
        <f t="shared" si="1009"/>
        <v>4.7699911195762668E-2</v>
      </c>
      <c r="Z227" s="116">
        <f t="shared" si="1009"/>
        <v>4.7238755981118041E-2</v>
      </c>
      <c r="AA227" s="116">
        <f t="shared" si="1009"/>
        <v>4.6777220593379298E-2</v>
      </c>
      <c r="AB227" s="116">
        <f t="shared" si="1009"/>
        <v>4.631530459343336E-2</v>
      </c>
      <c r="AC227" s="116">
        <f t="shared" si="1009"/>
        <v>4.5853007541573509E-2</v>
      </c>
      <c r="AD227" s="116">
        <f t="shared" si="1009"/>
        <v>4.5390328997497287E-2</v>
      </c>
      <c r="AE227" s="116">
        <f t="shared" si="1009"/>
        <v>4.4927268520306485E-2</v>
      </c>
      <c r="AF227" s="116">
        <f t="shared" si="1009"/>
        <v>4.4463825668505264E-2</v>
      </c>
      <c r="AG227" s="116">
        <f t="shared" si="1009"/>
        <v>4.4000000000000372E-2</v>
      </c>
    </row>
    <row r="228" spans="1:33" x14ac:dyDescent="0.35">
      <c r="A228" s="2"/>
      <c r="D228" s="81" t="b">
        <f>D212=SUM(D223:D227)</f>
        <v>1</v>
      </c>
      <c r="E228" s="81" t="b">
        <f t="shared" ref="E228:Q228" si="1010">E212=SUM(E223:E227)</f>
        <v>1</v>
      </c>
      <c r="F228" s="81" t="b">
        <f t="shared" si="1010"/>
        <v>1</v>
      </c>
      <c r="G228" s="81" t="b">
        <f t="shared" si="1010"/>
        <v>1</v>
      </c>
      <c r="H228" s="81" t="b">
        <f t="shared" si="1010"/>
        <v>1</v>
      </c>
      <c r="I228" s="81" t="b">
        <f t="shared" si="1010"/>
        <v>1</v>
      </c>
      <c r="J228" s="81" t="b">
        <f t="shared" si="1010"/>
        <v>1</v>
      </c>
      <c r="K228" s="81" t="b">
        <f t="shared" si="1010"/>
        <v>1</v>
      </c>
      <c r="L228" s="81" t="b">
        <f t="shared" si="1010"/>
        <v>1</v>
      </c>
      <c r="M228" s="81" t="b">
        <f t="shared" si="1010"/>
        <v>1</v>
      </c>
      <c r="N228" s="81" t="b">
        <f t="shared" si="1010"/>
        <v>1</v>
      </c>
      <c r="O228" s="81" t="b">
        <f t="shared" si="1010"/>
        <v>1</v>
      </c>
      <c r="P228" s="81" t="b">
        <f t="shared" si="1010"/>
        <v>1</v>
      </c>
      <c r="Q228" s="81" t="b">
        <f t="shared" si="1010"/>
        <v>1</v>
      </c>
      <c r="R228" s="21"/>
    </row>
    <row r="229" spans="1:33" s="117" customFormat="1" x14ac:dyDescent="0.35">
      <c r="A229" s="149" t="s">
        <v>75</v>
      </c>
      <c r="B229" s="128" t="s">
        <v>76</v>
      </c>
      <c r="C229" s="129"/>
      <c r="D229" s="130">
        <f>D212*T229</f>
        <v>38.616435000000003</v>
      </c>
      <c r="E229" s="130">
        <f t="shared" ref="E229" si="1011">E212*U229</f>
        <v>42.783672552003708</v>
      </c>
      <c r="F229" s="130">
        <f t="shared" ref="F229" si="1012">F212*V229</f>
        <v>47.493469946837628</v>
      </c>
      <c r="G229" s="130">
        <f t="shared" ref="G229" si="1013">G212*W229</f>
        <v>52.824821190179009</v>
      </c>
      <c r="H229" s="130">
        <f t="shared" ref="H229" si="1014">H212*X229</f>
        <v>58.869291903356327</v>
      </c>
      <c r="I229" s="130">
        <f t="shared" ref="I229" si="1015">I212*Y229</f>
        <v>65.733170913068889</v>
      </c>
      <c r="J229" s="130">
        <f t="shared" ref="J229" si="1016">J212*Z229</f>
        <v>73.540013804201791</v>
      </c>
      <c r="K229" s="130">
        <f t="shared" ref="K229" si="1017">K212*AA229</f>
        <v>82.433653857272247</v>
      </c>
      <c r="L229" s="130">
        <f t="shared" ref="L229" si="1018">L212*AB229</f>
        <v>92.581771031981845</v>
      </c>
      <c r="M229" s="130">
        <f t="shared" ref="M229" si="1019">M212*AC229</f>
        <v>104.18012811707015</v>
      </c>
      <c r="N229" s="130">
        <f t="shared" ref="N229" si="1020">N212*AD229</f>
        <v>117.45760555208227</v>
      </c>
      <c r="O229" s="130">
        <f t="shared" ref="O229" si="1021">O212*AE229</f>
        <v>132.68219360831952</v>
      </c>
      <c r="P229" s="130">
        <f t="shared" ref="P229" si="1022">P212*AF229</f>
        <v>150.16813366349012</v>
      </c>
      <c r="Q229" s="130">
        <f>Q212*AG229</f>
        <v>170.28444053412787</v>
      </c>
      <c r="R229" s="68">
        <f t="shared" ref="R229:R234" si="1023">RATE(9,,-H229,Q229)</f>
        <v>0.12526294356411</v>
      </c>
      <c r="S229" s="134" t="s">
        <v>76</v>
      </c>
      <c r="T229" s="116">
        <v>0.22000000000000003</v>
      </c>
      <c r="U229" s="116">
        <v>0.22038063877502673</v>
      </c>
      <c r="V229" s="116">
        <v>0.22076193612222184</v>
      </c>
      <c r="W229" s="116">
        <v>0.22114389318103134</v>
      </c>
      <c r="X229" s="116">
        <v>0.22152651109287255</v>
      </c>
      <c r="Y229" s="116">
        <v>0.22190979100113767</v>
      </c>
      <c r="Z229" s="116">
        <v>0.22229373405119721</v>
      </c>
      <c r="AA229" s="116">
        <v>0.22267834139040343</v>
      </c>
      <c r="AB229" s="116">
        <v>0.2230636141680935</v>
      </c>
      <c r="AC229" s="116">
        <v>0.22344955353559337</v>
      </c>
      <c r="AD229" s="116">
        <v>0.22383616064622086</v>
      </c>
      <c r="AE229" s="116">
        <v>0.22422343665528938</v>
      </c>
      <c r="AF229" s="116">
        <v>0.22461138272011094</v>
      </c>
      <c r="AG229" s="116">
        <v>0.22500000000000017</v>
      </c>
    </row>
    <row r="230" spans="1:33" s="117" customFormat="1" x14ac:dyDescent="0.35">
      <c r="A230" s="149"/>
      <c r="B230" s="128" t="s">
        <v>77</v>
      </c>
      <c r="C230" s="129"/>
      <c r="D230" s="130">
        <f>D212*T230</f>
        <v>66.701115000000001</v>
      </c>
      <c r="E230" s="130">
        <f t="shared" ref="E230" si="1024">E212*U230</f>
        <v>73.77143319000001</v>
      </c>
      <c r="F230" s="130">
        <f t="shared" ref="F230" si="1025">F212*V230</f>
        <v>81.751043213385017</v>
      </c>
      <c r="G230" s="130">
        <f t="shared" ref="G230" si="1026">G212*W230</f>
        <v>90.770908314595161</v>
      </c>
      <c r="H230" s="130">
        <f t="shared" ref="H230" si="1027">H212*X230</f>
        <v>100.98263549998713</v>
      </c>
      <c r="I230" s="130">
        <f t="shared" ref="I230" si="1028">I212*Y230</f>
        <v>112.56197770398566</v>
      </c>
      <c r="J230" s="130">
        <f t="shared" ref="J230" si="1029">J212*Z230</f>
        <v>125.71296876573466</v>
      </c>
      <c r="K230" s="130">
        <f t="shared" ref="K230" si="1030">K212*AA230</f>
        <v>140.67281204885708</v>
      </c>
      <c r="L230" s="130">
        <f t="shared" ref="L230" si="1031">L212*AB230</f>
        <v>157.71766777544357</v>
      </c>
      <c r="M230" s="130">
        <f t="shared" ref="M230" si="1032">M212*AC230</f>
        <v>177.16951346774832</v>
      </c>
      <c r="N230" s="130">
        <f t="shared" ref="N230" si="1033">N212*AD230</f>
        <v>199.40428740795076</v>
      </c>
      <c r="O230" s="130">
        <f t="shared" ref="O230" si="1034">O212*AE230</f>
        <v>224.86156810036584</v>
      </c>
      <c r="P230" s="130">
        <f t="shared" ref="P230" si="1035">P212*AF230</f>
        <v>254.0560950253967</v>
      </c>
      <c r="Q230" s="130">
        <f t="shared" ref="Q230" si="1036">Q212*AG230</f>
        <v>287.59149956874904</v>
      </c>
      <c r="R230" s="68">
        <f t="shared" si="1023"/>
        <v>0.12331940301172845</v>
      </c>
      <c r="S230" s="134" t="s">
        <v>77</v>
      </c>
      <c r="T230" s="116">
        <v>0.38</v>
      </c>
      <c r="U230" s="116">
        <v>0.38</v>
      </c>
      <c r="V230" s="116">
        <v>0.38</v>
      </c>
      <c r="W230" s="116">
        <v>0.38</v>
      </c>
      <c r="X230" s="116">
        <v>0.38</v>
      </c>
      <c r="Y230" s="116">
        <v>0.38</v>
      </c>
      <c r="Z230" s="116">
        <v>0.38</v>
      </c>
      <c r="AA230" s="116">
        <v>0.38</v>
      </c>
      <c r="AB230" s="116">
        <v>0.38</v>
      </c>
      <c r="AC230" s="116">
        <v>0.38</v>
      </c>
      <c r="AD230" s="116">
        <v>0.38</v>
      </c>
      <c r="AE230" s="116">
        <v>0.38</v>
      </c>
      <c r="AF230" s="116">
        <v>0.38</v>
      </c>
      <c r="AG230" s="116">
        <v>0.38</v>
      </c>
    </row>
    <row r="231" spans="1:33" s="117" customFormat="1" x14ac:dyDescent="0.35">
      <c r="A231" s="149"/>
      <c r="B231" s="128" t="s">
        <v>78</v>
      </c>
      <c r="C231" s="129"/>
      <c r="D231" s="132">
        <f>D212*T231</f>
        <v>29.839972499999995</v>
      </c>
      <c r="E231" s="132">
        <f t="shared" ref="E231" si="1037">E212*U231</f>
        <v>33.162566529860541</v>
      </c>
      <c r="F231" s="132">
        <f t="shared" ref="F231" si="1038">F212*V231</f>
        <v>36.927321333546914</v>
      </c>
      <c r="G231" s="132">
        <f t="shared" ref="G231" si="1039">G212*W231</f>
        <v>41.199863034583529</v>
      </c>
      <c r="H231" s="132">
        <f t="shared" ref="H231" si="1040">H212*X231</f>
        <v>46.056441606259938</v>
      </c>
      <c r="I231" s="132">
        <f t="shared" ref="I231" si="1041">I212*Y231</f>
        <v>51.58577783433789</v>
      </c>
      <c r="J231" s="132">
        <f t="shared" ref="J231" si="1042">J212*Z231</f>
        <v>57.891251687304376</v>
      </c>
      <c r="K231" s="132">
        <f t="shared" ref="K231" si="1043">K212*AA231</f>
        <v>65.093498695258816</v>
      </c>
      <c r="L231" s="132">
        <f t="shared" ref="L231" si="1044">L212*AB231</f>
        <v>73.333494572408</v>
      </c>
      <c r="M231" s="132">
        <f t="shared" ref="M231" si="1045">M212*AC231</f>
        <v>82.776224867584943</v>
      </c>
      <c r="N231" s="132">
        <f t="shared" ref="N231" si="1046">N212*AD231</f>
        <v>93.615056541118832</v>
      </c>
      <c r="O231" s="132">
        <f t="shared" ref="O231" si="1047">O212*AE231</f>
        <v>106.07695284353693</v>
      </c>
      <c r="P231" s="132">
        <f t="shared" ref="P231" si="1048">P212*AF231</f>
        <v>120.42870269641728</v>
      </c>
      <c r="Q231" s="132">
        <f t="shared" ref="Q231" si="1049">Q212*AG231</f>
        <v>136.9843721630092</v>
      </c>
      <c r="R231" s="68">
        <f t="shared" si="1023"/>
        <v>0.1287502232398951</v>
      </c>
      <c r="S231" s="134" t="s">
        <v>78</v>
      </c>
      <c r="T231" s="116">
        <v>0.16999999999999998</v>
      </c>
      <c r="U231" s="116">
        <v>0.17082188506343435</v>
      </c>
      <c r="V231" s="116">
        <v>0.17164774362720694</v>
      </c>
      <c r="W231" s="116">
        <v>0.17247759490167405</v>
      </c>
      <c r="X231" s="116">
        <v>0.17331145819006682</v>
      </c>
      <c r="Y231" s="116">
        <v>0.17414935288894001</v>
      </c>
      <c r="Z231" s="116">
        <v>0.17499129848862341</v>
      </c>
      <c r="AA231" s="116">
        <v>0.17583731457367507</v>
      </c>
      <c r="AB231" s="116">
        <v>0.17668742082333691</v>
      </c>
      <c r="AC231" s="116">
        <v>0.17754163701199244</v>
      </c>
      <c r="AD231" s="116">
        <v>0.17839998300962681</v>
      </c>
      <c r="AE231" s="116">
        <v>0.17926247878228888</v>
      </c>
      <c r="AF231" s="116">
        <v>0.18012914439255584</v>
      </c>
      <c r="AG231" s="116">
        <v>0.18099999999999969</v>
      </c>
    </row>
    <row r="232" spans="1:33" s="117" customFormat="1" x14ac:dyDescent="0.35">
      <c r="A232" s="149"/>
      <c r="B232" s="128" t="s">
        <v>79</v>
      </c>
      <c r="C232" s="129"/>
      <c r="D232" s="132">
        <f>D212*T232</f>
        <v>24.574095</v>
      </c>
      <c r="E232" s="132">
        <f t="shared" ref="E232" si="1050">E212*U232</f>
        <v>27.193833551467119</v>
      </c>
      <c r="F232" s="132">
        <f t="shared" ref="F232" si="1051">F212*V232</f>
        <v>30.15180339999284</v>
      </c>
      <c r="G232" s="132">
        <f t="shared" ref="G232" si="1052">G212*W232</f>
        <v>33.496886818119854</v>
      </c>
      <c r="H232" s="132">
        <f t="shared" ref="H232" si="1053">H212*X232</f>
        <v>37.285694823391346</v>
      </c>
      <c r="I232" s="132">
        <f t="shared" ref="I232" si="1054">I212*Y232</f>
        <v>41.583882004117257</v>
      </c>
      <c r="J232" s="132">
        <f t="shared" ref="J232" si="1055">J212*Z232</f>
        <v>46.467699538729747</v>
      </c>
      <c r="K232" s="132">
        <f t="shared" ref="K232" si="1056">K212*AA232</f>
        <v>52.025832001830331</v>
      </c>
      <c r="L232" s="132">
        <f t="shared" ref="L232" si="1057">L212*AB232</f>
        <v>58.361572716969981</v>
      </c>
      <c r="M232" s="132">
        <f t="shared" ref="M232" si="1058">M212*AC232</f>
        <v>65.595403510086427</v>
      </c>
      <c r="N232" s="132">
        <f t="shared" ref="N232" si="1059">N212*AD232</f>
        <v>73.868058160216989</v>
      </c>
      <c r="O232" s="132">
        <f t="shared" ref="O232" si="1060">O212*AE232</f>
        <v>83.344165153381454</v>
      </c>
      <c r="P232" s="132">
        <f t="shared" ref="P232" si="1061">P212*AF232</f>
        <v>94.216585157609188</v>
      </c>
      <c r="Q232" s="132">
        <f t="shared" ref="Q232" si="1062">Q212*AG232</f>
        <v>106.71158273472025</v>
      </c>
      <c r="R232" s="68">
        <f t="shared" si="1023"/>
        <v>0.12393458599001997</v>
      </c>
      <c r="S232" s="134" t="s">
        <v>79</v>
      </c>
      <c r="T232" s="116">
        <v>0.14000000000000001</v>
      </c>
      <c r="U232" s="116">
        <v>0.14007667063947282</v>
      </c>
      <c r="V232" s="116">
        <v>0.14015338326742385</v>
      </c>
      <c r="W232" s="116">
        <v>0.1402301379068481</v>
      </c>
      <c r="X232" s="116">
        <v>0.14030693458075291</v>
      </c>
      <c r="Y232" s="116">
        <v>0.14038377331215846</v>
      </c>
      <c r="Z232" s="116">
        <v>0.14046065412409731</v>
      </c>
      <c r="AA232" s="116">
        <v>0.14053757703961495</v>
      </c>
      <c r="AB232" s="116">
        <v>0.14061454208176913</v>
      </c>
      <c r="AC232" s="116">
        <v>0.14069154927363042</v>
      </c>
      <c r="AD232" s="116">
        <v>0.14076859863828203</v>
      </c>
      <c r="AE232" s="116">
        <v>0.14084569019881982</v>
      </c>
      <c r="AF232" s="116">
        <v>0.14092282397835218</v>
      </c>
      <c r="AG232" s="116">
        <v>0.14100000000000026</v>
      </c>
    </row>
    <row r="233" spans="1:33" s="117" customFormat="1" x14ac:dyDescent="0.35">
      <c r="A233" s="149"/>
      <c r="B233" s="128" t="s">
        <v>80</v>
      </c>
      <c r="C233" s="129"/>
      <c r="D233" s="132">
        <f>D212*T233</f>
        <v>7.021170000000005</v>
      </c>
      <c r="E233" s="132">
        <f t="shared" ref="E233" si="1063">E212*U233</f>
        <v>7.2010825568607437</v>
      </c>
      <c r="F233" s="132">
        <f t="shared" ref="F233" si="1064">F212*V233</f>
        <v>7.4000737320705037</v>
      </c>
      <c r="G233" s="132">
        <f t="shared" ref="G233" si="1065">G212*W233</f>
        <v>7.6194320318611073</v>
      </c>
      <c r="H233" s="132">
        <f t="shared" ref="H233" si="1066">H212*X233</f>
        <v>7.8606017450085517</v>
      </c>
      <c r="I233" s="132">
        <f t="shared" ref="I233" si="1067">I212*Y233</f>
        <v>8.125198542167773</v>
      </c>
      <c r="J233" s="132">
        <f t="shared" ref="J233" si="1068">J212*Z233</f>
        <v>8.4150271966401693</v>
      </c>
      <c r="K233" s="132">
        <f t="shared" ref="K233" si="1069">K212*AA233</f>
        <v>8.7321016945624645</v>
      </c>
      <c r="L233" s="132">
        <f t="shared" ref="L233" si="1070">L212*AB233</f>
        <v>9.0786680429785935</v>
      </c>
      <c r="M233" s="132">
        <f t="shared" ref="M233" si="1071">M212*AC233</f>
        <v>9.4572301307243869</v>
      </c>
      <c r="N233" s="132">
        <f t="shared" ref="N233" si="1072">N212*AD233</f>
        <v>9.8705790505120579</v>
      </c>
      <c r="O233" s="132">
        <f t="shared" ref="O233" si="1073">O212*AE233</f>
        <v>10.321826352207827</v>
      </c>
      <c r="P233" s="132">
        <f t="shared" ref="P233" si="1074">P212*AF233</f>
        <v>10.814441768406462</v>
      </c>
      <c r="Q233" s="132">
        <f t="shared" ref="Q233" si="1075">Q212*AG233</f>
        <v>11.35229603560852</v>
      </c>
      <c r="R233" s="68">
        <f t="shared" si="1023"/>
        <v>4.1685058643019073E-2</v>
      </c>
      <c r="S233" s="134" t="s">
        <v>80</v>
      </c>
      <c r="T233" s="116">
        <v>4.0000000000000029E-2</v>
      </c>
      <c r="U233" s="116">
        <v>3.7093103024844219E-2</v>
      </c>
      <c r="V233" s="116">
        <v>3.4397457300292665E-2</v>
      </c>
      <c r="W233" s="116">
        <v>3.1897710685810869E-2</v>
      </c>
      <c r="X233" s="116">
        <v>2.9579626718136409E-2</v>
      </c>
      <c r="Y233" s="116">
        <v>2.7430003532306693E-2</v>
      </c>
      <c r="Z233" s="116">
        <v>2.543659867489231E-2</v>
      </c>
      <c r="AA233" s="116">
        <v>2.3588059381234896E-2</v>
      </c>
      <c r="AB233" s="116">
        <v>2.1873857919607213E-2</v>
      </c>
      <c r="AC233" s="116">
        <v>2.0284231634069862E-2</v>
      </c>
      <c r="AD233" s="116">
        <v>1.8810127344558929E-2</v>
      </c>
      <c r="AE233" s="116">
        <v>1.7443149787554083E-2</v>
      </c>
      <c r="AF233" s="116">
        <v>1.617551380368832E-2</v>
      </c>
      <c r="AG233" s="116">
        <v>1.5000000000000005E-2</v>
      </c>
    </row>
    <row r="234" spans="1:33" s="117" customFormat="1" x14ac:dyDescent="0.35">
      <c r="A234" s="149"/>
      <c r="B234" s="128" t="s">
        <v>81</v>
      </c>
      <c r="C234" s="129"/>
      <c r="D234" s="132">
        <f>D212*T234</f>
        <v>3.5105850000000003</v>
      </c>
      <c r="E234" s="132">
        <f t="shared" ref="E234" si="1076">E212*U234</f>
        <v>3.9112778859387625</v>
      </c>
      <c r="F234" s="132">
        <f t="shared" ref="F234" si="1077">F212*V234</f>
        <v>4.3662420490479903</v>
      </c>
      <c r="G234" s="132">
        <f t="shared" ref="G234" si="1078">G212*W234</f>
        <v>4.8836579499144568</v>
      </c>
      <c r="H234" s="132">
        <f t="shared" ref="H234" si="1079">H212*X234</f>
        <v>5.473048677954008</v>
      </c>
      <c r="I234" s="132">
        <f t="shared" ref="I234" si="1080">I212*Y234</f>
        <v>6.1455163378079138</v>
      </c>
      <c r="J234" s="132">
        <f t="shared" ref="J234" si="1081">J212*Z234</f>
        <v>6.9140226483992366</v>
      </c>
      <c r="K234" s="132">
        <f t="shared" ref="K234" si="1082">K212*AA234</f>
        <v>7.7937224756456098</v>
      </c>
      <c r="L234" s="132">
        <f t="shared" ref="L234" si="1083">L212*AB234</f>
        <v>8.8023608239609228</v>
      </c>
      <c r="M234" s="132">
        <f t="shared" ref="M234" si="1084">M212*AC234</f>
        <v>9.9607460055140429</v>
      </c>
      <c r="N234" s="132">
        <f t="shared" ref="N234" si="1085">N212*AD234</f>
        <v>11.293314377321984</v>
      </c>
      <c r="O234" s="132">
        <f t="shared" ref="O234" si="1086">O212*AE234</f>
        <v>12.828805292624969</v>
      </c>
      <c r="P234" s="132">
        <f t="shared" ref="P234" si="1087">P212*AF234</f>
        <v>14.601068887943658</v>
      </c>
      <c r="Q234" s="132">
        <f t="shared" ref="Q234" si="1088">Q212*AG234</f>
        <v>16.650034185559161</v>
      </c>
      <c r="R234" s="68">
        <f t="shared" si="1023"/>
        <v>0.13158534201236294</v>
      </c>
      <c r="S234" s="134" t="s">
        <v>81</v>
      </c>
      <c r="T234" s="116">
        <v>2.0000000000000004E-2</v>
      </c>
      <c r="U234" s="116">
        <v>2.0147169878464571E-2</v>
      </c>
      <c r="V234" s="116">
        <v>2.0295422705585511E-2</v>
      </c>
      <c r="W234" s="116">
        <v>2.0444766450233912E-2</v>
      </c>
      <c r="X234" s="116">
        <v>2.0595209139919784E-2</v>
      </c>
      <c r="Y234" s="116">
        <v>2.0746758861223506E-2</v>
      </c>
      <c r="Z234" s="116">
        <v>2.0899423760230504E-2</v>
      </c>
      <c r="AA234" s="116">
        <v>2.1053212042969137E-2</v>
      </c>
      <c r="AB234" s="116">
        <v>2.1208131975851766E-2</v>
      </c>
      <c r="AC234" s="116">
        <v>2.1364191886119096E-2</v>
      </c>
      <c r="AD234" s="116">
        <v>2.1521400162287797E-2</v>
      </c>
      <c r="AE234" s="116">
        <v>2.1679765254601358E-2</v>
      </c>
      <c r="AF234" s="116">
        <v>2.1839295675484361E-2</v>
      </c>
      <c r="AG234" s="116">
        <v>2.2000000000000006E-2</v>
      </c>
    </row>
    <row r="235" spans="1:33" s="117" customFormat="1" x14ac:dyDescent="0.35">
      <c r="A235" s="149"/>
      <c r="B235" s="128" t="s">
        <v>82</v>
      </c>
      <c r="C235" s="129"/>
      <c r="D235" s="132">
        <f>D212*T235</f>
        <v>5.2658774999999851</v>
      </c>
      <c r="E235" s="132">
        <f t="shared" ref="E235" si="1089">E212*U235</f>
        <v>6.1114842338691266</v>
      </c>
      <c r="F235" s="132">
        <f t="shared" ref="F235" si="1090">F212*V235</f>
        <v>7.0443705708691526</v>
      </c>
      <c r="G235" s="132">
        <f t="shared" ref="G235" si="1091">G212*W235</f>
        <v>8.0752420149446777</v>
      </c>
      <c r="H235" s="132">
        <f t="shared" ref="H235" si="1092">H212*X235</f>
        <v>9.2160633755877566</v>
      </c>
      <c r="I235" s="132">
        <f t="shared" ref="I235" si="1093">I212*Y235</f>
        <v>10.480207464476893</v>
      </c>
      <c r="J235" s="132">
        <f t="shared" ref="J235" si="1094">J212*Z235</f>
        <v>11.882618374081202</v>
      </c>
      <c r="K235" s="132">
        <f t="shared" ref="K235" si="1095">K212*AA235</f>
        <v>13.439989881460534</v>
      </c>
      <c r="L235" s="132">
        <f t="shared" ref="L235" si="1096">L212*AB235</f>
        <v>15.170959182161225</v>
      </c>
      <c r="M235" s="132">
        <f t="shared" ref="M235" si="1097">M212*AC235</f>
        <v>17.096315658504182</v>
      </c>
      <c r="N235" s="132">
        <f t="shared" ref="N235" si="1098">N212*AD235</f>
        <v>19.239223668562325</v>
      </c>
      <c r="O235" s="132">
        <f t="shared" ref="O235" si="1099">O212*AE235</f>
        <v>21.625457334736637</v>
      </c>
      <c r="P235" s="132">
        <f t="shared" ref="P235" si="1100">P212*AF235</f>
        <v>24.283643920201499</v>
      </c>
      <c r="Q235" s="132">
        <f t="shared" ref="Q235" si="1101">Q212*AG235</f>
        <v>27.245510485460294</v>
      </c>
      <c r="R235" s="68">
        <f>RATE(9,,-H235,Q235)</f>
        <v>0.12799064972142984</v>
      </c>
      <c r="S235" s="134" t="s">
        <v>82</v>
      </c>
      <c r="T235" s="116">
        <f>1-SUM(T229:T234)</f>
        <v>2.9999999999999916E-2</v>
      </c>
      <c r="U235" s="116">
        <f t="shared" ref="U235:AG235" si="1102">1-SUM(U229:U234)</f>
        <v>3.1480532618757273E-2</v>
      </c>
      <c r="V235" s="116">
        <f t="shared" si="1102"/>
        <v>3.2744056977269231E-2</v>
      </c>
      <c r="W235" s="116">
        <f t="shared" si="1102"/>
        <v>3.380589687440172E-2</v>
      </c>
      <c r="X235" s="116">
        <f t="shared" si="1102"/>
        <v>3.468026027825144E-2</v>
      </c>
      <c r="Y235" s="116">
        <f t="shared" si="1102"/>
        <v>3.5380320404233667E-2</v>
      </c>
      <c r="Z235" s="116">
        <f t="shared" si="1102"/>
        <v>3.5918290900959216E-2</v>
      </c>
      <c r="AA235" s="116">
        <f t="shared" si="1102"/>
        <v>3.6305495572102608E-2</v>
      </c>
      <c r="AB235" s="116">
        <f t="shared" si="1102"/>
        <v>3.655243303134148E-2</v>
      </c>
      <c r="AC235" s="116">
        <f t="shared" si="1102"/>
        <v>3.6668836658594883E-2</v>
      </c>
      <c r="AD235" s="116">
        <f t="shared" si="1102"/>
        <v>3.6663730199023692E-2</v>
      </c>
      <c r="AE235" s="116">
        <f t="shared" si="1102"/>
        <v>3.6545479321446361E-2</v>
      </c>
      <c r="AF235" s="116">
        <f t="shared" si="1102"/>
        <v>3.6321839429808267E-2</v>
      </c>
      <c r="AG235" s="116">
        <f t="shared" si="1102"/>
        <v>3.599999999999981E-2</v>
      </c>
    </row>
    <row r="237" spans="1:33" ht="25" x14ac:dyDescent="0.5">
      <c r="A237" s="146" t="s">
        <v>88</v>
      </c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63"/>
    </row>
    <row r="238" spans="1:33" ht="23.5" thickBot="1" x14ac:dyDescent="0.55000000000000004">
      <c r="A238" s="63"/>
      <c r="B238" s="63"/>
      <c r="C238" s="63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</row>
    <row r="239" spans="1:33" ht="16" hidden="1" thickBot="1" x14ac:dyDescent="0.4">
      <c r="A239" s="42"/>
      <c r="B239" s="43"/>
      <c r="C239" s="93"/>
      <c r="D239" s="91">
        <v>2023</v>
      </c>
      <c r="E239" s="65">
        <v>2024</v>
      </c>
      <c r="F239" s="65">
        <v>2025</v>
      </c>
      <c r="G239" s="65">
        <v>2026</v>
      </c>
      <c r="H239" s="65">
        <v>2027</v>
      </c>
      <c r="I239" s="65">
        <v>2028</v>
      </c>
      <c r="J239" s="65">
        <v>2029</v>
      </c>
      <c r="K239" s="65">
        <v>2030</v>
      </c>
      <c r="L239" s="65">
        <v>2031</v>
      </c>
      <c r="M239" s="65">
        <v>2032</v>
      </c>
      <c r="N239" s="65">
        <v>2033</v>
      </c>
      <c r="O239" s="65">
        <v>2034</v>
      </c>
      <c r="P239" s="65">
        <v>2035</v>
      </c>
      <c r="Q239" s="65">
        <v>2036</v>
      </c>
      <c r="R239" s="66" t="s">
        <v>13</v>
      </c>
    </row>
    <row r="240" spans="1:33" ht="16" hidden="1" thickBot="1" x14ac:dyDescent="0.4">
      <c r="A240" s="25"/>
      <c r="B240" s="94"/>
      <c r="C240" s="95"/>
      <c r="D240" s="92" t="e">
        <f>#REF!</f>
        <v>#REF!</v>
      </c>
      <c r="E240" s="92" t="e">
        <f>#REF!</f>
        <v>#REF!</v>
      </c>
      <c r="F240" s="92" t="e">
        <f>#REF!</f>
        <v>#REF!</v>
      </c>
      <c r="G240" s="92" t="e">
        <f>#REF!</f>
        <v>#REF!</v>
      </c>
      <c r="H240" s="92" t="e">
        <f>#REF!</f>
        <v>#REF!</v>
      </c>
      <c r="I240" s="92" t="e">
        <f>#REF!</f>
        <v>#REF!</v>
      </c>
      <c r="J240" s="92" t="e">
        <f>#REF!</f>
        <v>#REF!</v>
      </c>
      <c r="K240" s="92" t="e">
        <f>#REF!</f>
        <v>#REF!</v>
      </c>
      <c r="L240" s="92" t="e">
        <f>#REF!</f>
        <v>#REF!</v>
      </c>
      <c r="M240" s="92" t="e">
        <f>#REF!</f>
        <v>#REF!</v>
      </c>
      <c r="N240" s="92" t="e">
        <f>#REF!</f>
        <v>#REF!</v>
      </c>
      <c r="O240" s="92" t="e">
        <f>#REF!</f>
        <v>#REF!</v>
      </c>
      <c r="P240" s="92" t="e">
        <f>#REF!</f>
        <v>#REF!</v>
      </c>
      <c r="Q240" s="92" t="e">
        <f>#REF!</f>
        <v>#REF!</v>
      </c>
      <c r="R240" s="68" t="e">
        <f>RATE(12,,-E240,Q240)</f>
        <v>#REF!</v>
      </c>
      <c r="T240" s="65">
        <v>2023</v>
      </c>
      <c r="U240" s="65">
        <v>2024</v>
      </c>
      <c r="V240" s="65">
        <v>2025</v>
      </c>
      <c r="W240" s="65">
        <v>2026</v>
      </c>
      <c r="X240" s="65">
        <v>2027</v>
      </c>
      <c r="Y240" s="65">
        <v>2028</v>
      </c>
      <c r="Z240" s="65">
        <v>2029</v>
      </c>
      <c r="AA240" s="65">
        <v>2030</v>
      </c>
      <c r="AB240" s="65">
        <v>2031</v>
      </c>
      <c r="AC240" s="65">
        <v>2032</v>
      </c>
      <c r="AD240" s="65">
        <v>2033</v>
      </c>
      <c r="AE240" s="65">
        <v>2034</v>
      </c>
      <c r="AF240" s="65">
        <v>2035</v>
      </c>
      <c r="AG240" s="65">
        <v>2036</v>
      </c>
    </row>
    <row r="241" spans="1:33" ht="15" hidden="1" thickBot="1" x14ac:dyDescent="0.4">
      <c r="A241" s="150" t="s">
        <v>49</v>
      </c>
      <c r="B241" s="52" t="s">
        <v>34</v>
      </c>
      <c r="C241" s="45"/>
      <c r="D241" s="79" t="e">
        <f t="shared" ref="D241" si="1103">D240*T241</f>
        <v>#REF!</v>
      </c>
      <c r="E241" s="79" t="e">
        <f t="shared" ref="E241" si="1104">E240*U241</f>
        <v>#REF!</v>
      </c>
      <c r="F241" s="79" t="e">
        <f t="shared" ref="F241" si="1105">F240*V241</f>
        <v>#REF!</v>
      </c>
      <c r="G241" s="79" t="e">
        <f t="shared" ref="G241" si="1106">G240*W241</f>
        <v>#REF!</v>
      </c>
      <c r="H241" s="79" t="e">
        <f t="shared" ref="H241" si="1107">H240*X241</f>
        <v>#REF!</v>
      </c>
      <c r="I241" s="79" t="e">
        <f t="shared" ref="I241" si="1108">I240*Y241</f>
        <v>#REF!</v>
      </c>
      <c r="J241" s="79" t="e">
        <f t="shared" ref="J241" si="1109">J240*Z241</f>
        <v>#REF!</v>
      </c>
      <c r="K241" s="79" t="e">
        <f t="shared" ref="K241" si="1110">K240*AA241</f>
        <v>#REF!</v>
      </c>
      <c r="L241" s="79" t="e">
        <f t="shared" ref="L241" si="1111">L240*AB241</f>
        <v>#REF!</v>
      </c>
      <c r="M241" s="79" t="e">
        <f t="shared" ref="M241" si="1112">M240*AC241</f>
        <v>#REF!</v>
      </c>
      <c r="N241" s="79" t="e">
        <f t="shared" ref="N241" si="1113">N240*AD241</f>
        <v>#REF!</v>
      </c>
      <c r="O241" s="79" t="e">
        <f t="shared" ref="O241" si="1114">O240*AE241</f>
        <v>#REF!</v>
      </c>
      <c r="P241" s="79" t="e">
        <f t="shared" ref="P241" si="1115">P240*AF241</f>
        <v>#REF!</v>
      </c>
      <c r="Q241" s="79" t="e">
        <f t="shared" ref="Q241" si="1116">Q240*AG241</f>
        <v>#REF!</v>
      </c>
      <c r="R241" s="77" t="e">
        <f>RATE(12,,-E241,Q241)</f>
        <v>#REF!</v>
      </c>
      <c r="S241" s="52"/>
      <c r="T241" s="12">
        <v>0.56000000000000005</v>
      </c>
      <c r="U241" s="12">
        <v>0.56092161367703952</v>
      </c>
      <c r="V241" s="12">
        <v>0.56184474408938223</v>
      </c>
      <c r="W241" s="12">
        <v>0.56276939373317769</v>
      </c>
      <c r="X241" s="12">
        <v>0.56369556510868446</v>
      </c>
      <c r="Y241" s="12">
        <v>0.56462326072027491</v>
      </c>
      <c r="Z241" s="12">
        <v>0.56555248307644368</v>
      </c>
      <c r="AA241" s="12">
        <v>0.56648323468981299</v>
      </c>
      <c r="AB241" s="12">
        <v>0.56741551807714108</v>
      </c>
      <c r="AC241" s="12">
        <v>0.56834933575932756</v>
      </c>
      <c r="AD241" s="12">
        <v>0.56928469026142059</v>
      </c>
      <c r="AE241" s="12">
        <v>0.57022158411262425</v>
      </c>
      <c r="AF241" s="12">
        <v>0.57116001984630527</v>
      </c>
      <c r="AG241" s="12">
        <v>0.57209999999999905</v>
      </c>
    </row>
    <row r="242" spans="1:33" ht="15" hidden="1" thickBot="1" x14ac:dyDescent="0.4">
      <c r="A242" s="151"/>
      <c r="B242" s="53" t="s">
        <v>35</v>
      </c>
      <c r="C242" s="46"/>
      <c r="D242" s="80" t="e">
        <f t="shared" ref="D242" si="1117">D240*T242</f>
        <v>#REF!</v>
      </c>
      <c r="E242" s="80" t="e">
        <f t="shared" ref="E242" si="1118">E240*U242</f>
        <v>#REF!</v>
      </c>
      <c r="F242" s="80" t="e">
        <f t="shared" ref="F242" si="1119">F240*V242</f>
        <v>#REF!</v>
      </c>
      <c r="G242" s="80" t="e">
        <f t="shared" ref="G242" si="1120">G240*W242</f>
        <v>#REF!</v>
      </c>
      <c r="H242" s="80" t="e">
        <f t="shared" ref="H242" si="1121">H240*X242</f>
        <v>#REF!</v>
      </c>
      <c r="I242" s="80" t="e">
        <f t="shared" ref="I242" si="1122">I240*Y242</f>
        <v>#REF!</v>
      </c>
      <c r="J242" s="80" t="e">
        <f t="shared" ref="J242" si="1123">J240*Z242</f>
        <v>#REF!</v>
      </c>
      <c r="K242" s="80" t="e">
        <f t="shared" ref="K242" si="1124">K240*AA242</f>
        <v>#REF!</v>
      </c>
      <c r="L242" s="80" t="e">
        <f t="shared" ref="L242" si="1125">L240*AB242</f>
        <v>#REF!</v>
      </c>
      <c r="M242" s="80" t="e">
        <f t="shared" ref="M242" si="1126">M240*AC242</f>
        <v>#REF!</v>
      </c>
      <c r="N242" s="80" t="e">
        <f t="shared" ref="N242" si="1127">N240*AD242</f>
        <v>#REF!</v>
      </c>
      <c r="O242" s="80" t="e">
        <f t="shared" ref="O242" si="1128">O240*AE242</f>
        <v>#REF!</v>
      </c>
      <c r="P242" s="80" t="e">
        <f t="shared" ref="P242" si="1129">P240*AF242</f>
        <v>#REF!</v>
      </c>
      <c r="Q242" s="80" t="e">
        <f t="shared" ref="Q242" si="1130">Q240*AG242</f>
        <v>#REF!</v>
      </c>
      <c r="R242" s="78" t="e">
        <f>RATE(12,,-E242,Q242)</f>
        <v>#REF!</v>
      </c>
      <c r="S242" s="53"/>
      <c r="T242" s="12">
        <f>1-T241</f>
        <v>0.43999999999999995</v>
      </c>
      <c r="U242" s="12">
        <f t="shared" ref="U242:AG242" si="1131">1-U241</f>
        <v>0.43907838632296048</v>
      </c>
      <c r="V242" s="12">
        <f t="shared" si="1131"/>
        <v>0.43815525591061777</v>
      </c>
      <c r="W242" s="12">
        <f t="shared" si="1131"/>
        <v>0.43723060626682231</v>
      </c>
      <c r="X242" s="12">
        <f t="shared" si="1131"/>
        <v>0.43630443489131554</v>
      </c>
      <c r="Y242" s="12">
        <f t="shared" si="1131"/>
        <v>0.43537673927972509</v>
      </c>
      <c r="Z242" s="12">
        <f t="shared" si="1131"/>
        <v>0.43444751692355632</v>
      </c>
      <c r="AA242" s="12">
        <f t="shared" si="1131"/>
        <v>0.43351676531018701</v>
      </c>
      <c r="AB242" s="12">
        <f t="shared" si="1131"/>
        <v>0.43258448192285892</v>
      </c>
      <c r="AC242" s="12">
        <f t="shared" si="1131"/>
        <v>0.43165066424067244</v>
      </c>
      <c r="AD242" s="12">
        <f t="shared" si="1131"/>
        <v>0.43071530973857941</v>
      </c>
      <c r="AE242" s="12">
        <f t="shared" si="1131"/>
        <v>0.42977841588737575</v>
      </c>
      <c r="AF242" s="12">
        <f t="shared" si="1131"/>
        <v>0.42883998015369473</v>
      </c>
      <c r="AG242" s="12">
        <f t="shared" si="1131"/>
        <v>0.42790000000000095</v>
      </c>
    </row>
    <row r="243" spans="1:33" ht="15" hidden="1" thickBot="1" x14ac:dyDescent="0.4">
      <c r="A243" s="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21"/>
    </row>
    <row r="244" spans="1:33" ht="15" hidden="1" thickBot="1" x14ac:dyDescent="0.4">
      <c r="A244" s="150" t="s">
        <v>15</v>
      </c>
      <c r="B244" s="57" t="s">
        <v>16</v>
      </c>
      <c r="C244" s="47"/>
      <c r="D244" s="82" t="e">
        <f t="shared" ref="D244" si="1132">D240*T244</f>
        <v>#REF!</v>
      </c>
      <c r="E244" s="82" t="e">
        <f t="shared" ref="E244" si="1133">E240*U244</f>
        <v>#REF!</v>
      </c>
      <c r="F244" s="82" t="e">
        <f t="shared" ref="F244" si="1134">F240*V244</f>
        <v>#REF!</v>
      </c>
      <c r="G244" s="82" t="e">
        <f t="shared" ref="G244" si="1135">G240*W244</f>
        <v>#REF!</v>
      </c>
      <c r="H244" s="82" t="e">
        <f t="shared" ref="H244" si="1136">H240*X244</f>
        <v>#REF!</v>
      </c>
      <c r="I244" s="82" t="e">
        <f t="shared" ref="I244" si="1137">I240*Y244</f>
        <v>#REF!</v>
      </c>
      <c r="J244" s="82" t="e">
        <f t="shared" ref="J244" si="1138">J240*Z244</f>
        <v>#REF!</v>
      </c>
      <c r="K244" s="82" t="e">
        <f t="shared" ref="K244" si="1139">K240*AA244</f>
        <v>#REF!</v>
      </c>
      <c r="L244" s="82" t="e">
        <f t="shared" ref="L244" si="1140">L240*AB244</f>
        <v>#REF!</v>
      </c>
      <c r="M244" s="82" t="e">
        <f t="shared" ref="M244" si="1141">M240*AC244</f>
        <v>#REF!</v>
      </c>
      <c r="N244" s="82" t="e">
        <f t="shared" ref="N244" si="1142">N240*AD244</f>
        <v>#REF!</v>
      </c>
      <c r="O244" s="82" t="e">
        <f t="shared" ref="O244" si="1143">O240*AE244</f>
        <v>#REF!</v>
      </c>
      <c r="P244" s="82" t="e">
        <f t="shared" ref="P244" si="1144">P240*AF244</f>
        <v>#REF!</v>
      </c>
      <c r="Q244" s="82" t="e">
        <f t="shared" ref="Q244" si="1145">Q240*AG244</f>
        <v>#REF!</v>
      </c>
      <c r="R244" s="69" t="e">
        <f>RATE(12,,-E244,Q244)</f>
        <v>#REF!</v>
      </c>
      <c r="S244" s="57"/>
      <c r="T244" s="12">
        <v>0.47099999999999992</v>
      </c>
      <c r="U244" s="12">
        <v>0.47038461538461535</v>
      </c>
      <c r="V244" s="12">
        <v>0.46976923076923072</v>
      </c>
      <c r="W244" s="12">
        <v>0.46915384615384609</v>
      </c>
      <c r="X244" s="12">
        <v>0.46853846153846151</v>
      </c>
      <c r="Y244" s="12">
        <v>0.46792307692307689</v>
      </c>
      <c r="Z244" s="12">
        <v>0.46730769230769226</v>
      </c>
      <c r="AA244" s="12">
        <v>0.46669230769230763</v>
      </c>
      <c r="AB244" s="12">
        <v>0.46607692307692306</v>
      </c>
      <c r="AC244" s="12">
        <v>0.46546153846153843</v>
      </c>
      <c r="AD244" s="12">
        <v>0.4648461538461538</v>
      </c>
      <c r="AE244" s="12">
        <v>0.46423076923076922</v>
      </c>
      <c r="AF244" s="12">
        <v>0.4636153846153846</v>
      </c>
      <c r="AG244" s="12">
        <v>0.46299999999999997</v>
      </c>
    </row>
    <row r="245" spans="1:33" ht="15" hidden="1" thickBot="1" x14ac:dyDescent="0.4">
      <c r="A245" s="151"/>
      <c r="B245" s="58" t="s">
        <v>17</v>
      </c>
      <c r="C245" s="48"/>
      <c r="D245" s="83" t="e">
        <f t="shared" ref="D245" si="1146">D240*T245</f>
        <v>#REF!</v>
      </c>
      <c r="E245" s="83" t="e">
        <f t="shared" ref="E245" si="1147">E240*U245</f>
        <v>#REF!</v>
      </c>
      <c r="F245" s="83" t="e">
        <f t="shared" ref="F245" si="1148">F240*V245</f>
        <v>#REF!</v>
      </c>
      <c r="G245" s="83" t="e">
        <f t="shared" ref="G245" si="1149">G240*W245</f>
        <v>#REF!</v>
      </c>
      <c r="H245" s="83" t="e">
        <f t="shared" ref="H245" si="1150">H240*X245</f>
        <v>#REF!</v>
      </c>
      <c r="I245" s="83" t="e">
        <f t="shared" ref="I245" si="1151">I240*Y245</f>
        <v>#REF!</v>
      </c>
      <c r="J245" s="83" t="e">
        <f t="shared" ref="J245" si="1152">J240*Z245</f>
        <v>#REF!</v>
      </c>
      <c r="K245" s="83" t="e">
        <f t="shared" ref="K245" si="1153">K240*AA245</f>
        <v>#REF!</v>
      </c>
      <c r="L245" s="83" t="e">
        <f t="shared" ref="L245" si="1154">L240*AB245</f>
        <v>#REF!</v>
      </c>
      <c r="M245" s="83" t="e">
        <f t="shared" ref="M245" si="1155">M240*AC245</f>
        <v>#REF!</v>
      </c>
      <c r="N245" s="83" t="e">
        <f t="shared" ref="N245" si="1156">N240*AD245</f>
        <v>#REF!</v>
      </c>
      <c r="O245" s="83" t="e">
        <f t="shared" ref="O245" si="1157">O240*AE245</f>
        <v>#REF!</v>
      </c>
      <c r="P245" s="83" t="e">
        <f t="shared" ref="P245" si="1158">P240*AF245</f>
        <v>#REF!</v>
      </c>
      <c r="Q245" s="83" t="e">
        <f t="shared" ref="Q245" si="1159">Q240*AG245</f>
        <v>#REF!</v>
      </c>
      <c r="R245" s="70" t="e">
        <f>RATE(12,,-E245,Q245)</f>
        <v>#REF!</v>
      </c>
      <c r="S245" s="58"/>
      <c r="T245" s="12">
        <f>1-T244</f>
        <v>0.52900000000000014</v>
      </c>
      <c r="U245" s="12">
        <f t="shared" ref="U245:AG245" si="1160">1-U244</f>
        <v>0.5296153846153846</v>
      </c>
      <c r="V245" s="12">
        <f t="shared" si="1160"/>
        <v>0.53023076923076928</v>
      </c>
      <c r="W245" s="12">
        <f t="shared" si="1160"/>
        <v>0.53084615384615397</v>
      </c>
      <c r="X245" s="12">
        <f t="shared" si="1160"/>
        <v>0.53146153846153843</v>
      </c>
      <c r="Y245" s="12">
        <f t="shared" si="1160"/>
        <v>0.53207692307692311</v>
      </c>
      <c r="Z245" s="12">
        <f t="shared" si="1160"/>
        <v>0.5326923076923078</v>
      </c>
      <c r="AA245" s="12">
        <f t="shared" si="1160"/>
        <v>0.53330769230769237</v>
      </c>
      <c r="AB245" s="12">
        <f t="shared" si="1160"/>
        <v>0.53392307692307694</v>
      </c>
      <c r="AC245" s="12">
        <f t="shared" si="1160"/>
        <v>0.53453846153846163</v>
      </c>
      <c r="AD245" s="12">
        <f t="shared" si="1160"/>
        <v>0.5351538461538462</v>
      </c>
      <c r="AE245" s="12">
        <f t="shared" si="1160"/>
        <v>0.53576923076923078</v>
      </c>
      <c r="AF245" s="12">
        <f t="shared" si="1160"/>
        <v>0.53638461538461546</v>
      </c>
      <c r="AG245" s="12">
        <f t="shared" si="1160"/>
        <v>0.53700000000000003</v>
      </c>
    </row>
    <row r="246" spans="1:33" ht="15" hidden="1" thickBot="1" x14ac:dyDescent="0.4">
      <c r="A246" s="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21"/>
    </row>
    <row r="247" spans="1:33" ht="15" hidden="1" thickBot="1" x14ac:dyDescent="0.4">
      <c r="A247" s="150" t="s">
        <v>18</v>
      </c>
      <c r="B247" s="54" t="s">
        <v>19</v>
      </c>
      <c r="C247" s="49"/>
      <c r="D247" s="84" t="e">
        <f t="shared" ref="D247" si="1161">D240*T247</f>
        <v>#REF!</v>
      </c>
      <c r="E247" s="84" t="e">
        <f t="shared" ref="E247" si="1162">E240*U247</f>
        <v>#REF!</v>
      </c>
      <c r="F247" s="84" t="e">
        <f t="shared" ref="F247" si="1163">F240*V247</f>
        <v>#REF!</v>
      </c>
      <c r="G247" s="84" t="e">
        <f t="shared" ref="G247" si="1164">G240*W247</f>
        <v>#REF!</v>
      </c>
      <c r="H247" s="84" t="e">
        <f t="shared" ref="H247" si="1165">H240*X247</f>
        <v>#REF!</v>
      </c>
      <c r="I247" s="84" t="e">
        <f t="shared" ref="I247" si="1166">I240*Y247</f>
        <v>#REF!</v>
      </c>
      <c r="J247" s="84" t="e">
        <f t="shared" ref="J247" si="1167">J240*Z247</f>
        <v>#REF!</v>
      </c>
      <c r="K247" s="84" t="e">
        <f t="shared" ref="K247" si="1168">K240*AA247</f>
        <v>#REF!</v>
      </c>
      <c r="L247" s="84" t="e">
        <f t="shared" ref="L247" si="1169">L240*AB247</f>
        <v>#REF!</v>
      </c>
      <c r="M247" s="84" t="e">
        <f t="shared" ref="M247" si="1170">M240*AC247</f>
        <v>#REF!</v>
      </c>
      <c r="N247" s="84" t="e">
        <f t="shared" ref="N247" si="1171">N240*AD247</f>
        <v>#REF!</v>
      </c>
      <c r="O247" s="84" t="e">
        <f t="shared" ref="O247" si="1172">O240*AE247</f>
        <v>#REF!</v>
      </c>
      <c r="P247" s="84" t="e">
        <f t="shared" ref="P247" si="1173">P240*AF247</f>
        <v>#REF!</v>
      </c>
      <c r="Q247" s="84" t="e">
        <f t="shared" ref="Q247" si="1174">Q240*AG247</f>
        <v>#REF!</v>
      </c>
      <c r="R247" s="71" t="e">
        <f>RATE(12,,-E247,Q247)</f>
        <v>#REF!</v>
      </c>
      <c r="S247" s="54"/>
      <c r="T247" s="12">
        <v>0.40099999999999997</v>
      </c>
      <c r="U247" s="12">
        <v>0.40265090533119946</v>
      </c>
      <c r="V247" s="12">
        <v>0.40430860739160734</v>
      </c>
      <c r="W247" s="12">
        <v>0.40597313416316017</v>
      </c>
      <c r="X247" s="12">
        <v>0.40764451374299493</v>
      </c>
      <c r="Y247" s="12">
        <v>0.40932277434392395</v>
      </c>
      <c r="Z247" s="12">
        <v>0.41100794429491083</v>
      </c>
      <c r="AA247" s="12">
        <v>0.4127000520415488</v>
      </c>
      <c r="AB247" s="12">
        <v>0.41439912614654062</v>
      </c>
      <c r="AC247" s="12">
        <v>0.41610519529018092</v>
      </c>
      <c r="AD247" s="12">
        <v>0.41781828827084017</v>
      </c>
      <c r="AE247" s="12">
        <v>0.4195384340054511</v>
      </c>
      <c r="AF247" s="12">
        <v>0.4212656615299965</v>
      </c>
      <c r="AG247" s="12">
        <v>0.42299999999999938</v>
      </c>
    </row>
    <row r="248" spans="1:33" ht="15" hidden="1" thickBot="1" x14ac:dyDescent="0.4">
      <c r="A248" s="151"/>
      <c r="B248" s="56" t="s">
        <v>20</v>
      </c>
      <c r="C248" s="44"/>
      <c r="D248" s="85" t="e">
        <f t="shared" ref="D248" si="1175">D240*T248</f>
        <v>#REF!</v>
      </c>
      <c r="E248" s="85" t="e">
        <f t="shared" ref="E248" si="1176">E240*U248</f>
        <v>#REF!</v>
      </c>
      <c r="F248" s="85" t="e">
        <f t="shared" ref="F248" si="1177">F240*V248</f>
        <v>#REF!</v>
      </c>
      <c r="G248" s="85" t="e">
        <f t="shared" ref="G248" si="1178">G240*W248</f>
        <v>#REF!</v>
      </c>
      <c r="H248" s="85" t="e">
        <f t="shared" ref="H248" si="1179">H240*X248</f>
        <v>#REF!</v>
      </c>
      <c r="I248" s="85" t="e">
        <f t="shared" ref="I248" si="1180">I240*Y248</f>
        <v>#REF!</v>
      </c>
      <c r="J248" s="85" t="e">
        <f t="shared" ref="J248" si="1181">J240*Z248</f>
        <v>#REF!</v>
      </c>
      <c r="K248" s="85" t="e">
        <f t="shared" ref="K248" si="1182">K240*AA248</f>
        <v>#REF!</v>
      </c>
      <c r="L248" s="85" t="e">
        <f t="shared" ref="L248" si="1183">L240*AB248</f>
        <v>#REF!</v>
      </c>
      <c r="M248" s="85" t="e">
        <f t="shared" ref="M248" si="1184">M240*AC248</f>
        <v>#REF!</v>
      </c>
      <c r="N248" s="85" t="e">
        <f t="shared" ref="N248" si="1185">N240*AD248</f>
        <v>#REF!</v>
      </c>
      <c r="O248" s="85" t="e">
        <f t="shared" ref="O248" si="1186">O240*AE248</f>
        <v>#REF!</v>
      </c>
      <c r="P248" s="85" t="e">
        <f t="shared" ref="P248" si="1187">P240*AF248</f>
        <v>#REF!</v>
      </c>
      <c r="Q248" s="85" t="e">
        <f t="shared" ref="Q248" si="1188">Q240*AG248</f>
        <v>#REF!</v>
      </c>
      <c r="R248" s="72" t="e">
        <f>RATE(12,,-E248,Q248)</f>
        <v>#REF!</v>
      </c>
      <c r="S248" s="56"/>
      <c r="T248" s="12">
        <f>1-T247</f>
        <v>0.59899999999999998</v>
      </c>
      <c r="U248" s="12">
        <f t="shared" ref="U248:AG248" si="1189">1-U247</f>
        <v>0.59734909466880048</v>
      </c>
      <c r="V248" s="12">
        <f t="shared" si="1189"/>
        <v>0.59569139260839266</v>
      </c>
      <c r="W248" s="12">
        <f t="shared" si="1189"/>
        <v>0.59402686583683983</v>
      </c>
      <c r="X248" s="12">
        <f t="shared" si="1189"/>
        <v>0.59235548625700507</v>
      </c>
      <c r="Y248" s="12">
        <f t="shared" si="1189"/>
        <v>0.59067722565607605</v>
      </c>
      <c r="Z248" s="12">
        <f t="shared" si="1189"/>
        <v>0.58899205570508917</v>
      </c>
      <c r="AA248" s="12">
        <f t="shared" si="1189"/>
        <v>0.5872999479584512</v>
      </c>
      <c r="AB248" s="12">
        <f t="shared" si="1189"/>
        <v>0.58560087385345938</v>
      </c>
      <c r="AC248" s="12">
        <f t="shared" si="1189"/>
        <v>0.58389480470981914</v>
      </c>
      <c r="AD248" s="12">
        <f t="shared" si="1189"/>
        <v>0.58218171172915989</v>
      </c>
      <c r="AE248" s="12">
        <f t="shared" si="1189"/>
        <v>0.5804615659945489</v>
      </c>
      <c r="AF248" s="12">
        <f t="shared" si="1189"/>
        <v>0.57873433847000344</v>
      </c>
      <c r="AG248" s="12">
        <f t="shared" si="1189"/>
        <v>0.57700000000000062</v>
      </c>
    </row>
    <row r="249" spans="1:33" ht="15" hidden="1" thickBot="1" x14ac:dyDescent="0.4">
      <c r="A249" s="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21"/>
    </row>
    <row r="250" spans="1:33" ht="15" hidden="1" thickBot="1" x14ac:dyDescent="0.4">
      <c r="A250" s="150" t="s">
        <v>14</v>
      </c>
      <c r="B250" s="59" t="s">
        <v>21</v>
      </c>
      <c r="C250" s="50"/>
      <c r="D250" s="86" t="e">
        <f t="shared" ref="D250" si="1190">D240*T250</f>
        <v>#REF!</v>
      </c>
      <c r="E250" s="86" t="e">
        <f t="shared" ref="E250" si="1191">E240*U250</f>
        <v>#REF!</v>
      </c>
      <c r="F250" s="86" t="e">
        <f t="shared" ref="F250" si="1192">F240*V250</f>
        <v>#REF!</v>
      </c>
      <c r="G250" s="86" t="e">
        <f t="shared" ref="G250" si="1193">G240*W250</f>
        <v>#REF!</v>
      </c>
      <c r="H250" s="86" t="e">
        <f t="shared" ref="H250" si="1194">H240*X250</f>
        <v>#REF!</v>
      </c>
      <c r="I250" s="86" t="e">
        <f t="shared" ref="I250" si="1195">I240*Y250</f>
        <v>#REF!</v>
      </c>
      <c r="J250" s="86" t="e">
        <f t="shared" ref="J250" si="1196">J240*Z250</f>
        <v>#REF!</v>
      </c>
      <c r="K250" s="86" t="e">
        <f t="shared" ref="K250" si="1197">K240*AA250</f>
        <v>#REF!</v>
      </c>
      <c r="L250" s="86" t="e">
        <f t="shared" ref="L250" si="1198">L240*AB250</f>
        <v>#REF!</v>
      </c>
      <c r="M250" s="86" t="e">
        <f t="shared" ref="M250" si="1199">M240*AC250</f>
        <v>#REF!</v>
      </c>
      <c r="N250" s="86" t="e">
        <f t="shared" ref="N250" si="1200">N240*AD250</f>
        <v>#REF!</v>
      </c>
      <c r="O250" s="86" t="e">
        <f t="shared" ref="O250" si="1201">O240*AE250</f>
        <v>#REF!</v>
      </c>
      <c r="P250" s="86" t="e">
        <f t="shared" ref="P250" si="1202">P240*AF250</f>
        <v>#REF!</v>
      </c>
      <c r="Q250" s="86" t="e">
        <f t="shared" ref="Q250" si="1203">Q240*AG250</f>
        <v>#REF!</v>
      </c>
      <c r="R250" s="73" t="e">
        <f t="shared" ref="R250:R255" si="1204">RATE(12,,-E250,Q250)</f>
        <v>#REF!</v>
      </c>
      <c r="S250" s="59"/>
      <c r="T250" s="12">
        <v>0.25</v>
      </c>
      <c r="U250" s="12">
        <v>0.25155593539307364</v>
      </c>
      <c r="V250" s="12">
        <v>0.25312155452593693</v>
      </c>
      <c r="W250" s="12">
        <v>0.25469691766768382</v>
      </c>
      <c r="X250" s="12">
        <v>0.25628208546250747</v>
      </c>
      <c r="Y250" s="12">
        <v>0.2578771189320348</v>
      </c>
      <c r="Z250" s="12">
        <v>0.25948207947767565</v>
      </c>
      <c r="AA250" s="12">
        <v>0.2610970288829863</v>
      </c>
      <c r="AB250" s="12">
        <v>0.26272202931604799</v>
      </c>
      <c r="AC250" s="12">
        <v>0.26435714333185978</v>
      </c>
      <c r="AD250" s="12">
        <v>0.26600243387474731</v>
      </c>
      <c r="AE250" s="12">
        <v>0.26765796428078514</v>
      </c>
      <c r="AF250" s="12">
        <v>0.26932379828023517</v>
      </c>
      <c r="AG250" s="12">
        <v>0.27100000000000013</v>
      </c>
    </row>
    <row r="251" spans="1:33" ht="15" hidden="1" thickBot="1" x14ac:dyDescent="0.4">
      <c r="A251" s="155"/>
      <c r="B251" s="60" t="s">
        <v>22</v>
      </c>
      <c r="C251" s="41"/>
      <c r="D251" s="87" t="e">
        <f t="shared" ref="D251" si="1205">D240*T251</f>
        <v>#REF!</v>
      </c>
      <c r="E251" s="87" t="e">
        <f t="shared" ref="E251" si="1206">E240*U251</f>
        <v>#REF!</v>
      </c>
      <c r="F251" s="87" t="e">
        <f t="shared" ref="F251" si="1207">F240*V251</f>
        <v>#REF!</v>
      </c>
      <c r="G251" s="87" t="e">
        <f t="shared" ref="G251" si="1208">G240*W251</f>
        <v>#REF!</v>
      </c>
      <c r="H251" s="87" t="e">
        <f t="shared" ref="H251" si="1209">H240*X251</f>
        <v>#REF!</v>
      </c>
      <c r="I251" s="87" t="e">
        <f t="shared" ref="I251" si="1210">I240*Y251</f>
        <v>#REF!</v>
      </c>
      <c r="J251" s="87" t="e">
        <f t="shared" ref="J251" si="1211">J240*Z251</f>
        <v>#REF!</v>
      </c>
      <c r="K251" s="87" t="e">
        <f t="shared" ref="K251" si="1212">K240*AA251</f>
        <v>#REF!</v>
      </c>
      <c r="L251" s="87" t="e">
        <f t="shared" ref="L251" si="1213">L240*AB251</f>
        <v>#REF!</v>
      </c>
      <c r="M251" s="87" t="e">
        <f t="shared" ref="M251" si="1214">M240*AC251</f>
        <v>#REF!</v>
      </c>
      <c r="N251" s="87" t="e">
        <f t="shared" ref="N251" si="1215">N240*AD251</f>
        <v>#REF!</v>
      </c>
      <c r="O251" s="87" t="e">
        <f t="shared" ref="O251" si="1216">O240*AE251</f>
        <v>#REF!</v>
      </c>
      <c r="P251" s="87" t="e">
        <f t="shared" ref="P251" si="1217">P240*AF251</f>
        <v>#REF!</v>
      </c>
      <c r="Q251" s="87" t="e">
        <f t="shared" ref="Q251" si="1218">Q240*AG251</f>
        <v>#REF!</v>
      </c>
      <c r="R251" s="74" t="e">
        <f t="shared" si="1204"/>
        <v>#REF!</v>
      </c>
      <c r="S251" s="60"/>
      <c r="T251" s="12">
        <v>0.38</v>
      </c>
      <c r="U251" s="12">
        <v>0.38090988938047371</v>
      </c>
      <c r="V251" s="12">
        <v>0.38182195744169661</v>
      </c>
      <c r="W251" s="12">
        <v>0.38273620940040159</v>
      </c>
      <c r="X251" s="12">
        <v>0.38365265048581265</v>
      </c>
      <c r="Y251" s="12">
        <v>0.38457128593967477</v>
      </c>
      <c r="Z251" s="12">
        <v>0.38549212101628438</v>
      </c>
      <c r="AA251" s="12">
        <v>0.38641516098251855</v>
      </c>
      <c r="AB251" s="12">
        <v>0.38734041111786593</v>
      </c>
      <c r="AC251" s="12">
        <v>0.38826787671445667</v>
      </c>
      <c r="AD251" s="12">
        <v>0.38919756307709236</v>
      </c>
      <c r="AE251" s="12">
        <v>0.39012947552327681</v>
      </c>
      <c r="AF251" s="12">
        <v>0.3910636193832463</v>
      </c>
      <c r="AG251" s="12">
        <v>0.39200000000000002</v>
      </c>
    </row>
    <row r="252" spans="1:33" ht="15" hidden="1" thickBot="1" x14ac:dyDescent="0.4">
      <c r="A252" s="155"/>
      <c r="B252" s="61" t="s">
        <v>23</v>
      </c>
      <c r="C252" s="41"/>
      <c r="D252" s="88" t="e">
        <f t="shared" ref="D252" si="1219">D251*T252</f>
        <v>#REF!</v>
      </c>
      <c r="E252" s="88" t="e">
        <f t="shared" ref="E252" si="1220">E251*U252</f>
        <v>#REF!</v>
      </c>
      <c r="F252" s="88" t="e">
        <f t="shared" ref="F252" si="1221">F251*V252</f>
        <v>#REF!</v>
      </c>
      <c r="G252" s="88" t="e">
        <f t="shared" ref="G252" si="1222">G251*W252</f>
        <v>#REF!</v>
      </c>
      <c r="H252" s="88" t="e">
        <f t="shared" ref="H252" si="1223">H251*X252</f>
        <v>#REF!</v>
      </c>
      <c r="I252" s="88" t="e">
        <f t="shared" ref="I252" si="1224">I251*Y252</f>
        <v>#REF!</v>
      </c>
      <c r="J252" s="88" t="e">
        <f t="shared" ref="J252" si="1225">J251*Z252</f>
        <v>#REF!</v>
      </c>
      <c r="K252" s="88" t="e">
        <f t="shared" ref="K252" si="1226">K251*AA252</f>
        <v>#REF!</v>
      </c>
      <c r="L252" s="88" t="e">
        <f t="shared" ref="L252" si="1227">L251*AB252</f>
        <v>#REF!</v>
      </c>
      <c r="M252" s="88" t="e">
        <f t="shared" ref="M252" si="1228">M251*AC252</f>
        <v>#REF!</v>
      </c>
      <c r="N252" s="88" t="e">
        <f t="shared" ref="N252" si="1229">N251*AD252</f>
        <v>#REF!</v>
      </c>
      <c r="O252" s="88" t="e">
        <f t="shared" ref="O252" si="1230">O251*AE252</f>
        <v>#REF!</v>
      </c>
      <c r="P252" s="88" t="e">
        <f t="shared" ref="P252" si="1231">P251*AF252</f>
        <v>#REF!</v>
      </c>
      <c r="Q252" s="88" t="e">
        <f t="shared" ref="Q252" si="1232">Q251*AG252</f>
        <v>#REF!</v>
      </c>
      <c r="R252" s="74" t="e">
        <f t="shared" si="1204"/>
        <v>#REF!</v>
      </c>
      <c r="S252" s="61"/>
      <c r="T252" s="67">
        <v>0.34999999999999987</v>
      </c>
      <c r="U252" s="67">
        <v>0.34938588387166564</v>
      </c>
      <c r="V252" s="67">
        <v>0.34877284528224306</v>
      </c>
      <c r="W252" s="67">
        <v>0.34816088234106346</v>
      </c>
      <c r="X252" s="67">
        <v>0.34754999316077562</v>
      </c>
      <c r="Y252" s="67">
        <v>0.34694017585733994</v>
      </c>
      <c r="Z252" s="67">
        <v>0.34633142855002247</v>
      </c>
      <c r="AA252" s="67">
        <v>0.34572374936138933</v>
      </c>
      <c r="AB252" s="67">
        <v>0.34511713641730069</v>
      </c>
      <c r="AC252" s="67">
        <v>0.34451158784690528</v>
      </c>
      <c r="AD252" s="67">
        <v>0.34390710178263434</v>
      </c>
      <c r="AE252" s="67">
        <v>0.34330367636019604</v>
      </c>
      <c r="AF252" s="67">
        <v>0.34270130971856966</v>
      </c>
      <c r="AG252" s="67">
        <v>0.34209999999999979</v>
      </c>
    </row>
    <row r="253" spans="1:33" ht="15" hidden="1" thickBot="1" x14ac:dyDescent="0.4">
      <c r="A253" s="155"/>
      <c r="B253" s="61" t="s">
        <v>24</v>
      </c>
      <c r="C253" s="41"/>
      <c r="D253" s="88" t="e">
        <f t="shared" ref="D253" si="1233">D251*T253</f>
        <v>#REF!</v>
      </c>
      <c r="E253" s="88" t="e">
        <f t="shared" ref="E253" si="1234">E251*U253</f>
        <v>#REF!</v>
      </c>
      <c r="F253" s="88" t="e">
        <f t="shared" ref="F253" si="1235">F251*V253</f>
        <v>#REF!</v>
      </c>
      <c r="G253" s="88" t="e">
        <f t="shared" ref="G253" si="1236">G251*W253</f>
        <v>#REF!</v>
      </c>
      <c r="H253" s="88" t="e">
        <f t="shared" ref="H253" si="1237">H251*X253</f>
        <v>#REF!</v>
      </c>
      <c r="I253" s="88" t="e">
        <f t="shared" ref="I253" si="1238">I251*Y253</f>
        <v>#REF!</v>
      </c>
      <c r="J253" s="88" t="e">
        <f t="shared" ref="J253" si="1239">J251*Z253</f>
        <v>#REF!</v>
      </c>
      <c r="K253" s="88" t="e">
        <f t="shared" ref="K253" si="1240">K251*AA253</f>
        <v>#REF!</v>
      </c>
      <c r="L253" s="88" t="e">
        <f t="shared" ref="L253" si="1241">L251*AB253</f>
        <v>#REF!</v>
      </c>
      <c r="M253" s="88" t="e">
        <f t="shared" ref="M253" si="1242">M251*AC253</f>
        <v>#REF!</v>
      </c>
      <c r="N253" s="88" t="e">
        <f t="shared" ref="N253" si="1243">N251*AD253</f>
        <v>#REF!</v>
      </c>
      <c r="O253" s="88" t="e">
        <f t="shared" ref="O253" si="1244">O251*AE253</f>
        <v>#REF!</v>
      </c>
      <c r="P253" s="88" t="e">
        <f t="shared" ref="P253" si="1245">P251*AF253</f>
        <v>#REF!</v>
      </c>
      <c r="Q253" s="88" t="e">
        <f t="shared" ref="Q253" si="1246">Q251*AG253</f>
        <v>#REF!</v>
      </c>
      <c r="R253" s="74" t="e">
        <f t="shared" si="1204"/>
        <v>#REF!</v>
      </c>
      <c r="S253" s="61"/>
      <c r="T253" s="67">
        <v>0.28000000000000003</v>
      </c>
      <c r="U253" s="67">
        <v>0.28097918830490543</v>
      </c>
      <c r="V253" s="67">
        <v>0.28196180093029821</v>
      </c>
      <c r="W253" s="67">
        <v>0.28294784985137333</v>
      </c>
      <c r="X253" s="67">
        <v>0.28393734708520407</v>
      </c>
      <c r="Y253" s="67">
        <v>0.28493030469088876</v>
      </c>
      <c r="Z253" s="67">
        <v>0.28592673476969749</v>
      </c>
      <c r="AA253" s="67">
        <v>0.28692664946521995</v>
      </c>
      <c r="AB253" s="67">
        <v>0.28793006096351298</v>
      </c>
      <c r="AC253" s="67">
        <v>0.28893698149324931</v>
      </c>
      <c r="AD253" s="67">
        <v>0.28994742332586665</v>
      </c>
      <c r="AE253" s="67">
        <v>0.29096139877571725</v>
      </c>
      <c r="AF253" s="67">
        <v>0.29197892020021765</v>
      </c>
      <c r="AG253" s="67">
        <v>0.29299999999999965</v>
      </c>
    </row>
    <row r="254" spans="1:33" ht="15" hidden="1" thickBot="1" x14ac:dyDescent="0.4">
      <c r="A254" s="155"/>
      <c r="B254" s="61" t="s">
        <v>25</v>
      </c>
      <c r="C254" s="41"/>
      <c r="D254" s="88" t="e">
        <f t="shared" ref="D254" si="1247">D251*T254</f>
        <v>#REF!</v>
      </c>
      <c r="E254" s="88" t="e">
        <f t="shared" ref="E254" si="1248">E251*U254</f>
        <v>#REF!</v>
      </c>
      <c r="F254" s="88" t="e">
        <f t="shared" ref="F254" si="1249">F251*V254</f>
        <v>#REF!</v>
      </c>
      <c r="G254" s="88" t="e">
        <f t="shared" ref="G254" si="1250">G251*W254</f>
        <v>#REF!</v>
      </c>
      <c r="H254" s="88" t="e">
        <f t="shared" ref="H254" si="1251">H251*X254</f>
        <v>#REF!</v>
      </c>
      <c r="I254" s="88" t="e">
        <f t="shared" ref="I254" si="1252">I251*Y254</f>
        <v>#REF!</v>
      </c>
      <c r="J254" s="88" t="e">
        <f t="shared" ref="J254" si="1253">J251*Z254</f>
        <v>#REF!</v>
      </c>
      <c r="K254" s="88" t="e">
        <f t="shared" ref="K254" si="1254">K251*AA254</f>
        <v>#REF!</v>
      </c>
      <c r="L254" s="88" t="e">
        <f t="shared" ref="L254" si="1255">L251*AB254</f>
        <v>#REF!</v>
      </c>
      <c r="M254" s="88" t="e">
        <f t="shared" ref="M254" si="1256">M251*AC254</f>
        <v>#REF!</v>
      </c>
      <c r="N254" s="88" t="e">
        <f t="shared" ref="N254" si="1257">N251*AD254</f>
        <v>#REF!</v>
      </c>
      <c r="O254" s="88" t="e">
        <f t="shared" ref="O254" si="1258">O251*AE254</f>
        <v>#REF!</v>
      </c>
      <c r="P254" s="88" t="e">
        <f t="shared" ref="P254" si="1259">P251*AF254</f>
        <v>#REF!</v>
      </c>
      <c r="Q254" s="88" t="e">
        <f t="shared" ref="Q254" si="1260">Q251*AG254</f>
        <v>#REF!</v>
      </c>
      <c r="R254" s="74" t="e">
        <f t="shared" si="1204"/>
        <v>#REF!</v>
      </c>
      <c r="S254" s="61"/>
      <c r="T254" s="67">
        <f>1-SUM(T252:T253)</f>
        <v>0.37000000000000011</v>
      </c>
      <c r="U254" s="67">
        <f t="shared" ref="U254:AG254" si="1261">1-SUM(U252:U253)</f>
        <v>0.36963492782342899</v>
      </c>
      <c r="V254" s="67">
        <f t="shared" si="1261"/>
        <v>0.36926535378745873</v>
      </c>
      <c r="W254" s="67">
        <f t="shared" si="1261"/>
        <v>0.36889126780756321</v>
      </c>
      <c r="X254" s="67">
        <f t="shared" si="1261"/>
        <v>0.36851265975402026</v>
      </c>
      <c r="Y254" s="67">
        <f t="shared" si="1261"/>
        <v>0.3681295194517713</v>
      </c>
      <c r="Z254" s="67">
        <f t="shared" si="1261"/>
        <v>0.36774183668028004</v>
      </c>
      <c r="AA254" s="67">
        <f t="shared" si="1261"/>
        <v>0.36734960117339077</v>
      </c>
      <c r="AB254" s="67">
        <f t="shared" si="1261"/>
        <v>0.36695280261918639</v>
      </c>
      <c r="AC254" s="67">
        <f t="shared" si="1261"/>
        <v>0.36655143065984541</v>
      </c>
      <c r="AD254" s="67">
        <f t="shared" si="1261"/>
        <v>0.36614547489149896</v>
      </c>
      <c r="AE254" s="67">
        <f t="shared" si="1261"/>
        <v>0.36573492486408665</v>
      </c>
      <c r="AF254" s="67">
        <f t="shared" si="1261"/>
        <v>0.36531977008121275</v>
      </c>
      <c r="AG254" s="67">
        <f t="shared" si="1261"/>
        <v>0.36490000000000056</v>
      </c>
    </row>
    <row r="255" spans="1:33" ht="15" hidden="1" thickBot="1" x14ac:dyDescent="0.4">
      <c r="A255" s="151"/>
      <c r="B255" s="62" t="s">
        <v>26</v>
      </c>
      <c r="C255" s="51"/>
      <c r="D255" s="89" t="e">
        <f t="shared" ref="D255" si="1262">D240*T255</f>
        <v>#REF!</v>
      </c>
      <c r="E255" s="89" t="e">
        <f t="shared" ref="E255" si="1263">E240*U255</f>
        <v>#REF!</v>
      </c>
      <c r="F255" s="89" t="e">
        <f t="shared" ref="F255" si="1264">F240*V255</f>
        <v>#REF!</v>
      </c>
      <c r="G255" s="89" t="e">
        <f t="shared" ref="G255" si="1265">G240*W255</f>
        <v>#REF!</v>
      </c>
      <c r="H255" s="89" t="e">
        <f t="shared" ref="H255" si="1266">H240*X255</f>
        <v>#REF!</v>
      </c>
      <c r="I255" s="89" t="e">
        <f t="shared" ref="I255" si="1267">I240*Y255</f>
        <v>#REF!</v>
      </c>
      <c r="J255" s="89" t="e">
        <f t="shared" ref="J255" si="1268">J240*Z255</f>
        <v>#REF!</v>
      </c>
      <c r="K255" s="89" t="e">
        <f t="shared" ref="K255" si="1269">K240*AA255</f>
        <v>#REF!</v>
      </c>
      <c r="L255" s="89" t="e">
        <f t="shared" ref="L255" si="1270">L240*AB255</f>
        <v>#REF!</v>
      </c>
      <c r="M255" s="89" t="e">
        <f t="shared" ref="M255" si="1271">M240*AC255</f>
        <v>#REF!</v>
      </c>
      <c r="N255" s="89" t="e">
        <f t="shared" ref="N255" si="1272">N240*AD255</f>
        <v>#REF!</v>
      </c>
      <c r="O255" s="89" t="e">
        <f t="shared" ref="O255" si="1273">O240*AE255</f>
        <v>#REF!</v>
      </c>
      <c r="P255" s="89" t="e">
        <f t="shared" ref="P255" si="1274">P240*AF255</f>
        <v>#REF!</v>
      </c>
      <c r="Q255" s="89" t="e">
        <f t="shared" ref="Q255" si="1275">Q240*AG255</f>
        <v>#REF!</v>
      </c>
      <c r="R255" s="75" t="e">
        <f t="shared" si="1204"/>
        <v>#REF!</v>
      </c>
      <c r="S255" s="62"/>
      <c r="T255" s="12">
        <f>1-SUM(T250+T251)</f>
        <v>0.37</v>
      </c>
      <c r="U255" s="12">
        <f t="shared" ref="U255:AG255" si="1276">1-SUM(U250+U251)</f>
        <v>0.36753417522645271</v>
      </c>
      <c r="V255" s="12">
        <f t="shared" si="1276"/>
        <v>0.36505648803236646</v>
      </c>
      <c r="W255" s="12">
        <f t="shared" si="1276"/>
        <v>0.36256687293191459</v>
      </c>
      <c r="X255" s="12">
        <f t="shared" si="1276"/>
        <v>0.36006526405167993</v>
      </c>
      <c r="Y255" s="12">
        <f t="shared" si="1276"/>
        <v>0.35755159512829038</v>
      </c>
      <c r="Z255" s="12">
        <f t="shared" si="1276"/>
        <v>0.35502579950603996</v>
      </c>
      <c r="AA255" s="12">
        <f t="shared" si="1276"/>
        <v>0.35248781013449515</v>
      </c>
      <c r="AB255" s="12">
        <f t="shared" si="1276"/>
        <v>0.34993755956608608</v>
      </c>
      <c r="AC255" s="12">
        <f t="shared" si="1276"/>
        <v>0.3473749799536836</v>
      </c>
      <c r="AD255" s="12">
        <f t="shared" si="1276"/>
        <v>0.34480000304816039</v>
      </c>
      <c r="AE255" s="12">
        <f t="shared" si="1276"/>
        <v>0.34221256019593804</v>
      </c>
      <c r="AF255" s="12">
        <f t="shared" si="1276"/>
        <v>0.33961258233651859</v>
      </c>
      <c r="AG255" s="12">
        <f t="shared" si="1276"/>
        <v>0.33699999999999986</v>
      </c>
    </row>
    <row r="256" spans="1:33" ht="15" hidden="1" thickBot="1" x14ac:dyDescent="0.4">
      <c r="A256" s="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21"/>
    </row>
    <row r="257" spans="1:33" ht="15" hidden="1" thickBot="1" x14ac:dyDescent="0.4">
      <c r="A257" s="152" t="s">
        <v>27</v>
      </c>
      <c r="B257" s="54" t="s">
        <v>28</v>
      </c>
      <c r="C257" s="49"/>
      <c r="D257" s="84" t="e">
        <f t="shared" ref="D257" si="1277">D240*T257</f>
        <v>#REF!</v>
      </c>
      <c r="E257" s="84" t="e">
        <f t="shared" ref="E257" si="1278">E240*U257</f>
        <v>#REF!</v>
      </c>
      <c r="F257" s="84" t="e">
        <f t="shared" ref="F257" si="1279">F240*V257</f>
        <v>#REF!</v>
      </c>
      <c r="G257" s="84" t="e">
        <f t="shared" ref="G257" si="1280">G240*W257</f>
        <v>#REF!</v>
      </c>
      <c r="H257" s="84" t="e">
        <f t="shared" ref="H257" si="1281">H240*X257</f>
        <v>#REF!</v>
      </c>
      <c r="I257" s="84" t="e">
        <f t="shared" ref="I257" si="1282">I240*Y257</f>
        <v>#REF!</v>
      </c>
      <c r="J257" s="84" t="e">
        <f t="shared" ref="J257" si="1283">J240*Z257</f>
        <v>#REF!</v>
      </c>
      <c r="K257" s="84" t="e">
        <f t="shared" ref="K257" si="1284">K240*AA257</f>
        <v>#REF!</v>
      </c>
      <c r="L257" s="84" t="e">
        <f t="shared" ref="L257" si="1285">L240*AB257</f>
        <v>#REF!</v>
      </c>
      <c r="M257" s="84" t="e">
        <f t="shared" ref="M257" si="1286">M240*AC257</f>
        <v>#REF!</v>
      </c>
      <c r="N257" s="84" t="e">
        <f t="shared" ref="N257" si="1287">N240*AD257</f>
        <v>#REF!</v>
      </c>
      <c r="O257" s="84" t="e">
        <f t="shared" ref="O257" si="1288">O240*AE257</f>
        <v>#REF!</v>
      </c>
      <c r="P257" s="84" t="e">
        <f t="shared" ref="P257" si="1289">P240*AF257</f>
        <v>#REF!</v>
      </c>
      <c r="Q257" s="84" t="e">
        <f t="shared" ref="Q257" si="1290">Q240*AG257</f>
        <v>#REF!</v>
      </c>
      <c r="R257" s="71" t="e">
        <f>RATE(12,,-E257,Q257)</f>
        <v>#REF!</v>
      </c>
      <c r="S257" s="54"/>
      <c r="T257" s="12">
        <v>0.40099999999999997</v>
      </c>
      <c r="U257" s="12">
        <v>0.40265090533119946</v>
      </c>
      <c r="V257" s="12">
        <v>0.40430860739160734</v>
      </c>
      <c r="W257" s="12">
        <v>0.40597313416316017</v>
      </c>
      <c r="X257" s="12">
        <v>0.40764451374299493</v>
      </c>
      <c r="Y257" s="12">
        <v>0.40932277434392395</v>
      </c>
      <c r="Z257" s="12">
        <v>0.41100794429491083</v>
      </c>
      <c r="AA257" s="12">
        <v>0.4127000520415488</v>
      </c>
      <c r="AB257" s="12">
        <v>0.41439912614654062</v>
      </c>
      <c r="AC257" s="12">
        <v>0.41610519529018092</v>
      </c>
      <c r="AD257" s="12">
        <v>0.41781828827084017</v>
      </c>
      <c r="AE257" s="12">
        <v>0.4195384340054511</v>
      </c>
      <c r="AF257" s="12">
        <v>0.4212656615299965</v>
      </c>
      <c r="AG257" s="12">
        <v>0.42299999999999938</v>
      </c>
    </row>
    <row r="258" spans="1:33" ht="15" hidden="1" thickBot="1" x14ac:dyDescent="0.4">
      <c r="A258" s="154"/>
      <c r="B258" s="55" t="s">
        <v>29</v>
      </c>
      <c r="C258" s="40"/>
      <c r="D258" s="90" t="e">
        <f t="shared" ref="D258" si="1291">D240*T258</f>
        <v>#REF!</v>
      </c>
      <c r="E258" s="90" t="e">
        <f t="shared" ref="E258" si="1292">E240*U258</f>
        <v>#REF!</v>
      </c>
      <c r="F258" s="90" t="e">
        <f t="shared" ref="F258" si="1293">F240*V258</f>
        <v>#REF!</v>
      </c>
      <c r="G258" s="90" t="e">
        <f t="shared" ref="G258" si="1294">G240*W258</f>
        <v>#REF!</v>
      </c>
      <c r="H258" s="90" t="e">
        <f t="shared" ref="H258" si="1295">H240*X258</f>
        <v>#REF!</v>
      </c>
      <c r="I258" s="90" t="e">
        <f t="shared" ref="I258" si="1296">I240*Y258</f>
        <v>#REF!</v>
      </c>
      <c r="J258" s="90" t="e">
        <f t="shared" ref="J258" si="1297">J240*Z258</f>
        <v>#REF!</v>
      </c>
      <c r="K258" s="90" t="e">
        <f t="shared" ref="K258" si="1298">K240*AA258</f>
        <v>#REF!</v>
      </c>
      <c r="L258" s="90" t="e">
        <f t="shared" ref="L258" si="1299">L240*AB258</f>
        <v>#REF!</v>
      </c>
      <c r="M258" s="90" t="e">
        <f t="shared" ref="M258" si="1300">M240*AC258</f>
        <v>#REF!</v>
      </c>
      <c r="N258" s="90" t="e">
        <f t="shared" ref="N258" si="1301">N240*AD258</f>
        <v>#REF!</v>
      </c>
      <c r="O258" s="90" t="e">
        <f t="shared" ref="O258" si="1302">O240*AE258</f>
        <v>#REF!</v>
      </c>
      <c r="P258" s="90" t="e">
        <f t="shared" ref="P258" si="1303">P240*AF258</f>
        <v>#REF!</v>
      </c>
      <c r="Q258" s="90" t="e">
        <f t="shared" ref="Q258" si="1304">Q240*AG258</f>
        <v>#REF!</v>
      </c>
      <c r="R258" s="76" t="e">
        <f>RATE(12,,-E258,Q258)</f>
        <v>#REF!</v>
      </c>
      <c r="S258" s="55"/>
      <c r="T258" s="12">
        <v>0.43099999999999999</v>
      </c>
      <c r="U258" s="12">
        <v>0.43183634674261745</v>
      </c>
      <c r="V258" s="12">
        <v>0.43267431639909548</v>
      </c>
      <c r="W258" s="12">
        <v>0.43351391211866536</v>
      </c>
      <c r="X258" s="12">
        <v>0.43435513705666956</v>
      </c>
      <c r="Y258" s="12">
        <v>0.43519799437457324</v>
      </c>
      <c r="Z258" s="12">
        <v>0.43604248723997657</v>
      </c>
      <c r="AA258" s="12">
        <v>0.43688861882662616</v>
      </c>
      <c r="AB258" s="12">
        <v>0.43773639231442729</v>
      </c>
      <c r="AC258" s="12">
        <v>0.43858581088945586</v>
      </c>
      <c r="AD258" s="12">
        <v>0.43943687774397006</v>
      </c>
      <c r="AE258" s="12">
        <v>0.44028959607642287</v>
      </c>
      <c r="AF258" s="12">
        <v>0.44114396909147369</v>
      </c>
      <c r="AG258" s="12">
        <v>0.44200000000000028</v>
      </c>
    </row>
    <row r="259" spans="1:33" ht="15" hidden="1" thickBot="1" x14ac:dyDescent="0.4">
      <c r="A259" s="153"/>
      <c r="B259" s="56" t="s">
        <v>30</v>
      </c>
      <c r="C259" s="44"/>
      <c r="D259" s="85" t="e">
        <f t="shared" ref="D259" si="1305">D240*T259</f>
        <v>#REF!</v>
      </c>
      <c r="E259" s="85" t="e">
        <f t="shared" ref="E259" si="1306">E240*U259</f>
        <v>#REF!</v>
      </c>
      <c r="F259" s="85" t="e">
        <f t="shared" ref="F259" si="1307">F240*V259</f>
        <v>#REF!</v>
      </c>
      <c r="G259" s="85" t="e">
        <f t="shared" ref="G259" si="1308">G240*W259</f>
        <v>#REF!</v>
      </c>
      <c r="H259" s="85" t="e">
        <f t="shared" ref="H259" si="1309">H240*X259</f>
        <v>#REF!</v>
      </c>
      <c r="I259" s="85" t="e">
        <f t="shared" ref="I259" si="1310">I240*Y259</f>
        <v>#REF!</v>
      </c>
      <c r="J259" s="85" t="e">
        <f t="shared" ref="J259" si="1311">J240*Z259</f>
        <v>#REF!</v>
      </c>
      <c r="K259" s="85" t="e">
        <f t="shared" ref="K259" si="1312">K240*AA259</f>
        <v>#REF!</v>
      </c>
      <c r="L259" s="85" t="e">
        <f t="shared" ref="L259" si="1313">L240*AB259</f>
        <v>#REF!</v>
      </c>
      <c r="M259" s="85" t="e">
        <f t="shared" ref="M259" si="1314">M240*AC259</f>
        <v>#REF!</v>
      </c>
      <c r="N259" s="85" t="e">
        <f t="shared" ref="N259" si="1315">N240*AD259</f>
        <v>#REF!</v>
      </c>
      <c r="O259" s="85" t="e">
        <f t="shared" ref="O259" si="1316">O240*AE259</f>
        <v>#REF!</v>
      </c>
      <c r="P259" s="85" t="e">
        <f t="shared" ref="P259" si="1317">P240*AF259</f>
        <v>#REF!</v>
      </c>
      <c r="Q259" s="85" t="e">
        <f t="shared" ref="Q259" si="1318">Q240*AG259</f>
        <v>#REF!</v>
      </c>
      <c r="R259" s="72" t="e">
        <f>RATE(12,,-E259,Q259)</f>
        <v>#REF!</v>
      </c>
      <c r="S259" s="56"/>
      <c r="T259" s="12">
        <f>1-SUM(T257:T258)</f>
        <v>0.16800000000000004</v>
      </c>
      <c r="U259" s="12">
        <f t="shared" ref="U259:AG259" si="1319">1-SUM(U257:U258)</f>
        <v>0.16551274792618309</v>
      </c>
      <c r="V259" s="12">
        <f t="shared" si="1319"/>
        <v>0.16301707620929717</v>
      </c>
      <c r="W259" s="12">
        <f t="shared" si="1319"/>
        <v>0.16051295371817442</v>
      </c>
      <c r="X259" s="12">
        <f t="shared" si="1319"/>
        <v>0.15800034920033545</v>
      </c>
      <c r="Y259" s="12">
        <f t="shared" si="1319"/>
        <v>0.15547923128150276</v>
      </c>
      <c r="Z259" s="12">
        <f t="shared" si="1319"/>
        <v>0.15294956846511254</v>
      </c>
      <c r="AA259" s="12">
        <f t="shared" si="1319"/>
        <v>0.15041132913182498</v>
      </c>
      <c r="AB259" s="12">
        <f t="shared" si="1319"/>
        <v>0.14786448153903209</v>
      </c>
      <c r="AC259" s="12">
        <f t="shared" si="1319"/>
        <v>0.14530899382036322</v>
      </c>
      <c r="AD259" s="12">
        <f t="shared" si="1319"/>
        <v>0.14274483398518978</v>
      </c>
      <c r="AE259" s="12">
        <f t="shared" si="1319"/>
        <v>0.14017196991812608</v>
      </c>
      <c r="AF259" s="12">
        <f t="shared" si="1319"/>
        <v>0.13759036937852986</v>
      </c>
      <c r="AG259" s="12">
        <f t="shared" si="1319"/>
        <v>0.13500000000000034</v>
      </c>
    </row>
    <row r="260" spans="1:33" ht="15.5" x14ac:dyDescent="0.35">
      <c r="A260" s="42"/>
      <c r="B260" s="43"/>
      <c r="C260" s="93"/>
      <c r="D260" s="91">
        <v>2023</v>
      </c>
      <c r="E260" s="65">
        <v>2024</v>
      </c>
      <c r="F260" s="65">
        <v>2025</v>
      </c>
      <c r="G260" s="65">
        <v>2026</v>
      </c>
      <c r="H260" s="65">
        <v>2027</v>
      </c>
      <c r="I260" s="65">
        <v>2028</v>
      </c>
      <c r="J260" s="65">
        <v>2029</v>
      </c>
      <c r="K260" s="65">
        <v>2030</v>
      </c>
      <c r="L260" s="65">
        <v>2031</v>
      </c>
      <c r="M260" s="65">
        <v>2032</v>
      </c>
      <c r="N260" s="65">
        <v>2033</v>
      </c>
      <c r="O260" s="65">
        <v>2034</v>
      </c>
      <c r="P260" s="65">
        <v>2035</v>
      </c>
      <c r="Q260" s="65">
        <v>2036</v>
      </c>
      <c r="R260" s="66" t="s">
        <v>84</v>
      </c>
    </row>
    <row r="261" spans="1:33" ht="16" thickBot="1" x14ac:dyDescent="0.4">
      <c r="A261" s="1"/>
      <c r="C261" s="21"/>
      <c r="D261" s="92">
        <f>'Market Analysis '!C27</f>
        <v>70.211699999999993</v>
      </c>
      <c r="E261" s="92">
        <f>'Market Analysis '!D27</f>
        <v>75.477577499999995</v>
      </c>
      <c r="F261" s="92">
        <f>'Market Analysis '!E27</f>
        <v>81.245322380624984</v>
      </c>
      <c r="G261" s="92">
        <f>'Market Analysis '!F27</f>
        <v>87.568916639250304</v>
      </c>
      <c r="H261" s="92">
        <f>'Market Analysis '!G27</f>
        <v>94.508753282910888</v>
      </c>
      <c r="I261" s="92">
        <f>'Market Analysis '!H27</f>
        <v>102.1324593810657</v>
      </c>
      <c r="J261" s="92">
        <f>'Market Analysis '!I27</f>
        <v>110.51583208859483</v>
      </c>
      <c r="K261" s="92">
        <f>'Market Analysis '!J27</f>
        <v>119.74390406799249</v>
      </c>
      <c r="L261" s="92">
        <f>'Market Analysis '!K27</f>
        <v>129.91215725509949</v>
      </c>
      <c r="M261" s="92">
        <f>'Market Analysis '!L27</f>
        <v>141.12790683145639</v>
      </c>
      <c r="N261" s="92">
        <f>'Market Analysis '!M27</f>
        <v>153.51188065591668</v>
      </c>
      <c r="O261" s="92">
        <f>'Market Analysis '!N27</f>
        <v>167.20002334773591</v>
      </c>
      <c r="P261" s="92">
        <f>'Market Analysis '!O27</f>
        <v>182.34555879598497</v>
      </c>
      <c r="Q261" s="92">
        <f>'Market Analysis '!P27</f>
        <v>199.12135020521555</v>
      </c>
      <c r="R261" s="68">
        <f t="shared" ref="R261:R266" si="1320">RATE(9,,-H261,Q261)</f>
        <v>8.6327175142052681E-2</v>
      </c>
      <c r="T261" s="65">
        <v>2023</v>
      </c>
      <c r="U261" s="65">
        <v>2024</v>
      </c>
      <c r="V261" s="65">
        <v>2025</v>
      </c>
      <c r="W261" s="65">
        <v>2026</v>
      </c>
      <c r="X261" s="65">
        <v>2027</v>
      </c>
      <c r="Y261" s="65">
        <v>2028</v>
      </c>
      <c r="Z261" s="65">
        <v>2029</v>
      </c>
      <c r="AA261" s="65">
        <v>2030</v>
      </c>
      <c r="AB261" s="65">
        <v>2031</v>
      </c>
      <c r="AC261" s="65">
        <v>2032</v>
      </c>
      <c r="AD261" s="65">
        <v>2033</v>
      </c>
      <c r="AE261" s="65">
        <v>2034</v>
      </c>
      <c r="AF261" s="65">
        <v>2035</v>
      </c>
      <c r="AG261" s="65">
        <v>2036</v>
      </c>
    </row>
    <row r="262" spans="1:33" s="121" customFormat="1" x14ac:dyDescent="0.35">
      <c r="A262" s="147" t="s">
        <v>59</v>
      </c>
      <c r="B262" s="118" t="s">
        <v>60</v>
      </c>
      <c r="C262" s="119"/>
      <c r="D262" s="120">
        <f>D261*T262</f>
        <v>24.574094999999993</v>
      </c>
      <c r="E262" s="120">
        <f t="shared" ref="E262" si="1321">E261*U262</f>
        <v>26.689898126121967</v>
      </c>
      <c r="F262" s="120">
        <f>F261*V262</f>
        <v>29.026070692292134</v>
      </c>
      <c r="G262" s="120">
        <f t="shared" ref="G262" si="1322">G261*W262</f>
        <v>31.608273765682537</v>
      </c>
      <c r="H262" s="120">
        <f t="shared" ref="H262" si="1323">H261*X262</f>
        <v>34.465434229067952</v>
      </c>
      <c r="I262" s="120">
        <f t="shared" ref="I262" si="1324">I261*Y262</f>
        <v>37.630191575431056</v>
      </c>
      <c r="J262" s="120">
        <f t="shared" ref="J262" si="1325">J261*Z262</f>
        <v>41.139409740269841</v>
      </c>
      <c r="K262" s="120">
        <f t="shared" ref="K262" si="1326">K261*AA262</f>
        <v>45.034763966776275</v>
      </c>
      <c r="L262" s="120">
        <f t="shared" ref="L262" si="1327">L261*AB262</f>
        <v>49.363414311385995</v>
      </c>
      <c r="M262" s="120">
        <f t="shared" ref="M262" si="1328">M261*AC262</f>
        <v>54.178779281260823</v>
      </c>
      <c r="N262" s="120">
        <f t="shared" ref="N262" si="1329">N261*AD262</f>
        <v>59.541425298722331</v>
      </c>
      <c r="O262" s="120">
        <f t="shared" ref="O262" si="1330">O261*AE262</f>
        <v>65.520090266847461</v>
      </c>
      <c r="P262" s="120">
        <f t="shared" ref="P262" si="1331">P261*AF262</f>
        <v>72.192862532017216</v>
      </c>
      <c r="Q262" s="120">
        <f t="shared" ref="Q262" si="1332">Q261*AG262</f>
        <v>79.648540082086242</v>
      </c>
      <c r="R262" s="68">
        <f t="shared" si="1320"/>
        <v>9.7543046980602427E-2</v>
      </c>
      <c r="S262" s="118" t="s">
        <v>60</v>
      </c>
      <c r="T262" s="116">
        <v>0.34999999999999992</v>
      </c>
      <c r="U262" s="116">
        <v>0.35361360300841621</v>
      </c>
      <c r="V262" s="116">
        <v>0.35726451495026795</v>
      </c>
      <c r="W262" s="116">
        <v>0.36095312102462412</v>
      </c>
      <c r="X262" s="116">
        <v>0.36467981040757214</v>
      </c>
      <c r="Y262" s="116">
        <v>0.36844497629327921</v>
      </c>
      <c r="Z262" s="116">
        <v>0.37224901593547705</v>
      </c>
      <c r="AA262" s="116">
        <v>0.37609233068937542</v>
      </c>
      <c r="AB262" s="116">
        <v>0.37997532605400802</v>
      </c>
      <c r="AC262" s="116">
        <v>0.38389841171501571</v>
      </c>
      <c r="AD262" s="116">
        <v>0.38786200158787171</v>
      </c>
      <c r="AE262" s="116">
        <v>0.39186651386155258</v>
      </c>
      <c r="AF262" s="116">
        <v>0.39591237104266019</v>
      </c>
      <c r="AG262" s="116">
        <v>0.40000000000000013</v>
      </c>
    </row>
    <row r="263" spans="1:33" s="117" customFormat="1" x14ac:dyDescent="0.35">
      <c r="A263" s="148"/>
      <c r="B263" s="113" t="s">
        <v>61</v>
      </c>
      <c r="C263" s="114"/>
      <c r="D263" s="115">
        <f>D261*T263</f>
        <v>21.063510000000001</v>
      </c>
      <c r="E263" s="115">
        <f t="shared" ref="E263" si="1333">E261*U263</f>
        <v>22.654849607917406</v>
      </c>
      <c r="F263" s="115">
        <f t="shared" ref="F263" si="1334">F261*V263</f>
        <v>24.39852505406051</v>
      </c>
      <c r="G263" s="115">
        <f t="shared" ref="G263" si="1335">G261*W263</f>
        <v>26.310988188555736</v>
      </c>
      <c r="H263" s="115">
        <f t="shared" ref="H263" si="1336">H261*X263</f>
        <v>28.410651506529842</v>
      </c>
      <c r="I263" s="115">
        <f t="shared" ref="I263" si="1337">I261*Y263</f>
        <v>30.718140664856634</v>
      </c>
      <c r="J263" s="115">
        <f t="shared" ref="J263" si="1338">J261*Z263</f>
        <v>33.256581761018026</v>
      </c>
      <c r="K263" s="115">
        <f t="shared" ref="K263" si="1339">K261*AA263</f>
        <v>36.051928443461954</v>
      </c>
      <c r="L263" s="115">
        <f t="shared" ref="L263" si="1340">L261*AB263</f>
        <v>39.133334701026762</v>
      </c>
      <c r="M263" s="115">
        <f t="shared" ref="M263" si="1341">M261*AC263</f>
        <v>42.533580082287138</v>
      </c>
      <c r="N263" s="115">
        <f t="shared" ref="N263" si="1342">N261*AD263</f>
        <v>46.28955514503452</v>
      </c>
      <c r="O263" s="115">
        <f t="shared" ref="O263" si="1343">O261*AE263</f>
        <v>50.442816156162401</v>
      </c>
      <c r="P263" s="115">
        <f t="shared" ref="P263" si="1344">P261*AF263</f>
        <v>55.040219481931004</v>
      </c>
      <c r="Q263" s="115">
        <f t="shared" ref="Q263" si="1345">Q261*AG263</f>
        <v>60.13464776197516</v>
      </c>
      <c r="R263" s="68">
        <f t="shared" si="1320"/>
        <v>8.688255916159475E-2</v>
      </c>
      <c r="S263" s="113" t="s">
        <v>61</v>
      </c>
      <c r="T263" s="116">
        <v>0.30000000000000004</v>
      </c>
      <c r="U263" s="116">
        <v>0.30015337479422161</v>
      </c>
      <c r="V263" s="116">
        <v>0.30030682800120145</v>
      </c>
      <c r="W263" s="116">
        <v>0.30046035966102813</v>
      </c>
      <c r="X263" s="116">
        <v>0.30061396981381056</v>
      </c>
      <c r="Y263" s="116">
        <v>0.30076765849967829</v>
      </c>
      <c r="Z263" s="116">
        <v>0.30092142575878128</v>
      </c>
      <c r="AA263" s="116">
        <v>0.30107527163128989</v>
      </c>
      <c r="AB263" s="116">
        <v>0.30122919615739541</v>
      </c>
      <c r="AC263" s="116">
        <v>0.30138319937730923</v>
      </c>
      <c r="AD263" s="116">
        <v>0.30153728133126367</v>
      </c>
      <c r="AE263" s="116">
        <v>0.30169144205951126</v>
      </c>
      <c r="AF263" s="116">
        <v>0.3018456816023255</v>
      </c>
      <c r="AG263" s="116">
        <v>0.30200000000000032</v>
      </c>
    </row>
    <row r="264" spans="1:33" s="117" customFormat="1" x14ac:dyDescent="0.35">
      <c r="A264" s="148"/>
      <c r="B264" s="113" t="s">
        <v>62</v>
      </c>
      <c r="C264" s="114"/>
      <c r="D264" s="115">
        <f>D261*T264</f>
        <v>10.531754999999999</v>
      </c>
      <c r="E264" s="115">
        <f t="shared" ref="E264" si="1346">E261*U264</f>
        <v>11.338895778490349</v>
      </c>
      <c r="F264" s="115">
        <f t="shared" ref="F264" si="1347">F261*V264</f>
        <v>12.223982759137217</v>
      </c>
      <c r="G264" s="115">
        <f t="shared" ref="G264" si="1348">G261*W264</f>
        <v>13.195501212570926</v>
      </c>
      <c r="H264" s="115">
        <f t="shared" ref="H264" si="1349">H261*X264</f>
        <v>14.262954603887215</v>
      </c>
      <c r="I264" s="115">
        <f t="shared" ref="I264" si="1350">I261*Y264</f>
        <v>15.43699656088601</v>
      </c>
      <c r="J264" s="115">
        <f t="shared" ref="J264" si="1351">J261*Z264</f>
        <v>16.72958111559948</v>
      </c>
      <c r="K264" s="115">
        <f t="shared" ref="K264" si="1352">K261*AA264</f>
        <v>18.154133898551613</v>
      </c>
      <c r="L264" s="115">
        <f t="shared" ref="L264" si="1353">L261*AB264</f>
        <v>19.725747378638705</v>
      </c>
      <c r="M264" s="115">
        <f t="shared" ref="M264" si="1354">M261*AC264</f>
        <v>21.46140372175967</v>
      </c>
      <c r="N264" s="115">
        <f t="shared" ref="N264" si="1355">N261*AD264</f>
        <v>23.380229399607909</v>
      </c>
      <c r="O264" s="115">
        <f t="shared" ref="O264" si="1356">O261*AE264</f>
        <v>25.503786329583967</v>
      </c>
      <c r="P264" s="115">
        <f t="shared" ref="P264" si="1357">P261*AF264</f>
        <v>27.856405083147543</v>
      </c>
      <c r="Q264" s="115">
        <f t="shared" ref="Q264" si="1358">Q261*AG264</f>
        <v>30.465566581397933</v>
      </c>
      <c r="R264" s="68">
        <f t="shared" si="1320"/>
        <v>8.7983215517046812E-2</v>
      </c>
      <c r="S264" s="113" t="s">
        <v>62</v>
      </c>
      <c r="T264" s="116">
        <v>0.15</v>
      </c>
      <c r="U264" s="116">
        <v>0.15022866597023929</v>
      </c>
      <c r="V264" s="116">
        <v>0.15045768052798492</v>
      </c>
      <c r="W264" s="116">
        <v>0.15068704420463749</v>
      </c>
      <c r="X264" s="116">
        <v>0.15091675753240782</v>
      </c>
      <c r="Y264" s="116">
        <v>0.15114682104431795</v>
      </c>
      <c r="Z264" s="116">
        <v>0.15137723527420252</v>
      </c>
      <c r="AA264" s="116">
        <v>0.15160800075670999</v>
      </c>
      <c r="AB264" s="116">
        <v>0.15183911802730382</v>
      </c>
      <c r="AC264" s="116">
        <v>0.1520705876222638</v>
      </c>
      <c r="AD264" s="116">
        <v>0.15230241007868719</v>
      </c>
      <c r="AE264" s="116">
        <v>0.15253458593449007</v>
      </c>
      <c r="AF264" s="116">
        <v>0.15276711572840845</v>
      </c>
      <c r="AG264" s="116">
        <v>0.15299999999999978</v>
      </c>
    </row>
    <row r="265" spans="1:33" s="117" customFormat="1" x14ac:dyDescent="0.35">
      <c r="A265" s="148"/>
      <c r="B265" s="113" t="s">
        <v>63</v>
      </c>
      <c r="C265" s="114"/>
      <c r="D265" s="115">
        <f>D261*T265</f>
        <v>8.4254040000000003</v>
      </c>
      <c r="E265" s="115">
        <f t="shared" ref="E265" si="1359">E261*U265</f>
        <v>9.0688328552511575</v>
      </c>
      <c r="F265" s="115">
        <f t="shared" ref="F265" si="1360">F261*V265</f>
        <v>9.7742627612530288</v>
      </c>
      <c r="G265" s="115">
        <f t="shared" ref="G265" si="1361">G261*W265</f>
        <v>10.548429857630055</v>
      </c>
      <c r="H265" s="115">
        <f t="shared" ref="H265" si="1362">H261*X265</f>
        <v>11.398877212338833</v>
      </c>
      <c r="I265" s="115">
        <f t="shared" ref="I265" si="1363">I261*Y265</f>
        <v>12.334059243376121</v>
      </c>
      <c r="J265" s="115">
        <f t="shared" ref="J265" si="1364">J261*Z265</f>
        <v>13.363460578543384</v>
      </c>
      <c r="K265" s="115">
        <f t="shared" ref="K265" si="1365">K261*AA265</f>
        <v>14.497731467462707</v>
      </c>
      <c r="L265" s="115">
        <f t="shared" ref="L265" si="1366">L261*AB265</f>
        <v>15.74884218584709</v>
      </c>
      <c r="M265" s="115">
        <f t="shared" ref="M265" si="1367">M261*AC265</f>
        <v>17.130259250406187</v>
      </c>
      <c r="N265" s="115">
        <f t="shared" ref="N265" si="1368">N261*AD265</f>
        <v>18.657146702561338</v>
      </c>
      <c r="O265" s="115">
        <f t="shared" ref="O265" si="1369">O261*AE265</f>
        <v>20.346596230743319</v>
      </c>
      <c r="P265" s="115">
        <f t="shared" ref="P265" si="1370">P261*AF265</f>
        <v>22.217890496670897</v>
      </c>
      <c r="Q265" s="115">
        <f t="shared" ref="Q265" si="1371">Q261*AG265</f>
        <v>24.292804725036266</v>
      </c>
      <c r="R265" s="68">
        <f t="shared" si="1320"/>
        <v>8.7709302078632534E-2</v>
      </c>
      <c r="S265" s="113" t="s">
        <v>63</v>
      </c>
      <c r="T265" s="116">
        <v>0.12000000000000002</v>
      </c>
      <c r="U265" s="116">
        <v>0.12015267521339246</v>
      </c>
      <c r="V265" s="116">
        <v>0.12030554467445809</v>
      </c>
      <c r="W265" s="116">
        <v>0.12045860863033696</v>
      </c>
      <c r="X265" s="116">
        <v>0.12061186732848356</v>
      </c>
      <c r="Y265" s="116">
        <v>0.12076532101666719</v>
      </c>
      <c r="Z265" s="116">
        <v>0.1209189699429724</v>
      </c>
      <c r="AA265" s="116">
        <v>0.12107281435579939</v>
      </c>
      <c r="AB265" s="116">
        <v>0.12122685450386435</v>
      </c>
      <c r="AC265" s="116">
        <v>0.12138109063619994</v>
      </c>
      <c r="AD265" s="116">
        <v>0.12153552300215566</v>
      </c>
      <c r="AE265" s="116">
        <v>0.12169015185139827</v>
      </c>
      <c r="AF265" s="116">
        <v>0.12184497743391219</v>
      </c>
      <c r="AG265" s="116">
        <v>0.12199999999999984</v>
      </c>
    </row>
    <row r="266" spans="1:33" s="117" customFormat="1" x14ac:dyDescent="0.35">
      <c r="A266" s="148"/>
      <c r="B266" s="113" t="s">
        <v>64</v>
      </c>
      <c r="C266" s="114"/>
      <c r="D266" s="115">
        <f>D261*T266</f>
        <v>5.6169360000000044</v>
      </c>
      <c r="E266" s="115">
        <f t="shared" ref="E266" si="1372">E261*U266</f>
        <v>5.7251011322191152</v>
      </c>
      <c r="F266" s="115">
        <f t="shared" ref="F266" si="1373">F261*V266</f>
        <v>5.8224811138820991</v>
      </c>
      <c r="G266" s="115">
        <f t="shared" ref="G266" si="1374">G261*W266</f>
        <v>5.905723614811051</v>
      </c>
      <c r="H266" s="115">
        <f>H261*X266</f>
        <v>5.970835731087031</v>
      </c>
      <c r="I266" s="115">
        <f t="shared" ref="I266" si="1375">I261*Y266</f>
        <v>6.013071336515889</v>
      </c>
      <c r="J266" s="115">
        <f t="shared" ref="J266" si="1376">J261*Z266</f>
        <v>6.0267988931640994</v>
      </c>
      <c r="K266" s="115">
        <f t="shared" ref="K266" si="1377">K261*AA266</f>
        <v>6.0053462917399312</v>
      </c>
      <c r="L266" s="115">
        <f t="shared" ref="L266" si="1378">L261*AB266</f>
        <v>5.9408186782009462</v>
      </c>
      <c r="M266" s="115">
        <f t="shared" ref="M266" si="1379">M261*AC266</f>
        <v>5.8238844957425586</v>
      </c>
      <c r="N266" s="115">
        <f t="shared" ref="N266" si="1380">N261*AD266</f>
        <v>5.6435241099905999</v>
      </c>
      <c r="O266" s="115">
        <f t="shared" ref="O266" si="1381">O261*AE266</f>
        <v>5.3867343643987438</v>
      </c>
      <c r="P266" s="115">
        <f t="shared" ref="P266" si="1382">P261*AF266</f>
        <v>5.0381812022183219</v>
      </c>
      <c r="Q266" s="115">
        <f t="shared" ref="Q266" si="1383">Q261*AG266</f>
        <v>4.5797910547199399</v>
      </c>
      <c r="R266" s="68">
        <f t="shared" si="1320"/>
        <v>-2.9040374851109232E-2</v>
      </c>
      <c r="S266" s="113" t="s">
        <v>64</v>
      </c>
      <c r="T266" s="116">
        <f>1-SUM(T262:T265)</f>
        <v>8.0000000000000071E-2</v>
      </c>
      <c r="U266" s="116">
        <f t="shared" ref="U266:AG266" si="1384">1-SUM(U262:U265)</f>
        <v>7.585168101373041E-2</v>
      </c>
      <c r="V266" s="116">
        <f t="shared" si="1384"/>
        <v>7.1665431846087646E-2</v>
      </c>
      <c r="W266" s="116">
        <f t="shared" si="1384"/>
        <v>6.7440866479373307E-2</v>
      </c>
      <c r="X266" s="116">
        <f t="shared" si="1384"/>
        <v>6.3177594917725788E-2</v>
      </c>
      <c r="Y266" s="116">
        <f t="shared" si="1384"/>
        <v>5.887522314605742E-2</v>
      </c>
      <c r="Z266" s="116">
        <f t="shared" si="1384"/>
        <v>5.4533353088566772E-2</v>
      </c>
      <c r="AA266" s="116">
        <f t="shared" si="1384"/>
        <v>5.0151582566825281E-2</v>
      </c>
      <c r="AB266" s="116">
        <f t="shared" si="1384"/>
        <v>4.5729505257428471E-2</v>
      </c>
      <c r="AC266" s="116">
        <f t="shared" si="1384"/>
        <v>4.126671064921128E-2</v>
      </c>
      <c r="AD266" s="116">
        <f t="shared" si="1384"/>
        <v>3.6762784000021864E-2</v>
      </c>
      <c r="AE266" s="116">
        <f t="shared" si="1384"/>
        <v>3.2217306293047754E-2</v>
      </c>
      <c r="AF266" s="116">
        <f t="shared" si="1384"/>
        <v>2.7629854192693704E-2</v>
      </c>
      <c r="AG266" s="116">
        <f t="shared" si="1384"/>
        <v>2.2999999999999909E-2</v>
      </c>
    </row>
    <row r="267" spans="1:33" x14ac:dyDescent="0.35">
      <c r="A267" s="1"/>
      <c r="D267" s="81" t="b">
        <f>D261=SUM(D262:D266)</f>
        <v>1</v>
      </c>
      <c r="E267" s="81" t="b">
        <f t="shared" ref="E267:Q267" si="1385">E261=SUM(E262:E266)</f>
        <v>1</v>
      </c>
      <c r="F267" s="81" t="b">
        <f t="shared" si="1385"/>
        <v>1</v>
      </c>
      <c r="G267" s="81" t="b">
        <f t="shared" si="1385"/>
        <v>1</v>
      </c>
      <c r="H267" s="81" t="b">
        <f t="shared" si="1385"/>
        <v>1</v>
      </c>
      <c r="I267" s="81" t="b">
        <f t="shared" si="1385"/>
        <v>1</v>
      </c>
      <c r="J267" s="81" t="b">
        <f t="shared" si="1385"/>
        <v>1</v>
      </c>
      <c r="K267" s="81" t="b">
        <f t="shared" si="1385"/>
        <v>1</v>
      </c>
      <c r="L267" s="81" t="b">
        <f t="shared" si="1385"/>
        <v>1</v>
      </c>
      <c r="M267" s="81" t="b">
        <f t="shared" si="1385"/>
        <v>1</v>
      </c>
      <c r="N267" s="81" t="b">
        <f t="shared" si="1385"/>
        <v>1</v>
      </c>
      <c r="O267" s="81" t="b">
        <f t="shared" si="1385"/>
        <v>1</v>
      </c>
      <c r="P267" s="81" t="b">
        <f t="shared" si="1385"/>
        <v>1</v>
      </c>
      <c r="Q267" s="81" t="b">
        <f t="shared" si="1385"/>
        <v>1</v>
      </c>
      <c r="R267" s="21"/>
    </row>
    <row r="268" spans="1:33" s="117" customFormat="1" x14ac:dyDescent="0.35">
      <c r="A268" s="149" t="s">
        <v>65</v>
      </c>
      <c r="B268" s="122" t="s">
        <v>66</v>
      </c>
      <c r="C268" s="123"/>
      <c r="D268" s="124">
        <f>D261*T268</f>
        <v>49.14819</v>
      </c>
      <c r="E268" s="124">
        <f t="shared" ref="E268" si="1386">E261*U268</f>
        <v>52.863238820663916</v>
      </c>
      <c r="F268" s="124">
        <f t="shared" ref="F268" si="1387">F261*V268</f>
        <v>56.934034031485716</v>
      </c>
      <c r="G268" s="124">
        <f t="shared" ref="G268" si="1388">G261*W268</f>
        <v>61.399006283376771</v>
      </c>
      <c r="H268" s="124">
        <f t="shared" ref="H268" si="1389">H261*X268</f>
        <v>66.301167320869467</v>
      </c>
      <c r="I268" s="124">
        <f t="shared" ref="I268" si="1390">I261*Y268</f>
        <v>71.688700127823793</v>
      </c>
      <c r="J268" s="124">
        <f t="shared" ref="J268" si="1391">J261*Z268</f>
        <v>77.615630331164667</v>
      </c>
      <c r="K268" s="124">
        <f t="shared" ref="K268" si="1392">K261*AA268</f>
        <v>84.142590714898787</v>
      </c>
      <c r="L268" s="124">
        <f t="shared" ref="L268" si="1393">L261*AB268</f>
        <v>91.337692516402981</v>
      </c>
      <c r="M268" s="124">
        <f t="shared" ref="M268" si="1394">M261*AC268</f>
        <v>99.27751928931086</v>
      </c>
      <c r="N268" s="124">
        <f t="shared" ref="N268" si="1395">N261*AD268</f>
        <v>108.04826157130293</v>
      </c>
      <c r="O268" s="124">
        <f t="shared" ref="O268" si="1396">O261*AE268</f>
        <v>117.74701344835324</v>
      </c>
      <c r="P268" s="124">
        <f t="shared" ref="P268" si="1397">P261*AF268</f>
        <v>128.48325542720428</v>
      </c>
      <c r="Q268" s="124">
        <f t="shared" ref="Q268" si="1398">Q261*AG268</f>
        <v>140.38055189467721</v>
      </c>
      <c r="R268" s="68">
        <f>RATE(9,,-H268,Q268)</f>
        <v>8.6922099418188001E-2</v>
      </c>
      <c r="S268" s="122" t="s">
        <v>66</v>
      </c>
      <c r="T268" s="116">
        <v>0.70000000000000007</v>
      </c>
      <c r="U268" s="116">
        <v>0.70038335319736411</v>
      </c>
      <c r="V268" s="116">
        <v>0.70076691633711929</v>
      </c>
      <c r="W268" s="116">
        <v>0.70115068953424042</v>
      </c>
      <c r="X268" s="116">
        <v>0.70153467290376448</v>
      </c>
      <c r="Y268" s="116">
        <v>0.70191886656079228</v>
      </c>
      <c r="Z268" s="116">
        <v>0.70230327062048659</v>
      </c>
      <c r="AA268" s="116">
        <v>0.70268788519807479</v>
      </c>
      <c r="AB268" s="116">
        <v>0.70307271040884567</v>
      </c>
      <c r="AC268" s="116">
        <v>0.70345774636815217</v>
      </c>
      <c r="AD268" s="116">
        <v>0.70384299319141008</v>
      </c>
      <c r="AE268" s="116">
        <v>0.70422845099409903</v>
      </c>
      <c r="AF268" s="116">
        <v>0.70461411989176093</v>
      </c>
      <c r="AG268" s="116">
        <v>0.70500000000000129</v>
      </c>
    </row>
    <row r="269" spans="1:33" s="117" customFormat="1" x14ac:dyDescent="0.35">
      <c r="A269" s="149"/>
      <c r="B269" s="122" t="s">
        <v>67</v>
      </c>
      <c r="C269" s="123"/>
      <c r="D269" s="124">
        <f>D261*T269</f>
        <v>14.042340000000001</v>
      </c>
      <c r="E269" s="124">
        <f t="shared" ref="E269" si="1399">E261*U269</f>
        <v>15.107074182511216</v>
      </c>
      <c r="F269" s="124">
        <f t="shared" ref="F269" si="1400">F261*V269</f>
        <v>16.273957919970336</v>
      </c>
      <c r="G269" s="124">
        <f t="shared" ref="G269" si="1401">G261*W269</f>
        <v>17.554045213577428</v>
      </c>
      <c r="H269" s="124">
        <f t="shared" ref="H269" si="1402">H261*X269</f>
        <v>18.959709697016326</v>
      </c>
      <c r="I269" s="124">
        <f t="shared" ref="I269" si="1403">I261*Y269</f>
        <v>20.504814866067569</v>
      </c>
      <c r="J269" s="124">
        <f t="shared" ref="J269" si="1404">J261*Z269</f>
        <v>22.204907776834087</v>
      </c>
      <c r="K269" s="124">
        <f t="shared" ref="K269" si="1405">K261*AA269</f>
        <v>24.077439639738735</v>
      </c>
      <c r="L269" s="124">
        <f t="shared" ref="L269" si="1406">L261*AB269</f>
        <v>26.142017263231725</v>
      </c>
      <c r="M269" s="124">
        <f t="shared" ref="M269" si="1407">M261*AC269</f>
        <v>28.420689912711907</v>
      </c>
      <c r="N269" s="124">
        <f t="shared" ref="N269" si="1408">N261*AD269</f>
        <v>30.938276860752083</v>
      </c>
      <c r="O269" s="124">
        <f t="shared" ref="O269" si="1409">O261*AE269</f>
        <v>33.722741731039726</v>
      </c>
      <c r="P269" s="124">
        <f t="shared" ref="P269" si="1410">P261*AF269</f>
        <v>36.805620700148474</v>
      </c>
      <c r="Q269" s="124">
        <f t="shared" ref="Q269" si="1411">Q261*AG269</f>
        <v>40.222512741453606</v>
      </c>
      <c r="R269" s="68">
        <f>RATE(9,,-H269,Q269)</f>
        <v>8.7158979186396091E-2</v>
      </c>
      <c r="S269" s="122" t="s">
        <v>67</v>
      </c>
      <c r="T269" s="116">
        <v>0.20000000000000004</v>
      </c>
      <c r="U269" s="116">
        <v>0.2001531406133327</v>
      </c>
      <c r="V269" s="116">
        <v>0.2003063984869026</v>
      </c>
      <c r="W269" s="116">
        <v>0.20045977371049628</v>
      </c>
      <c r="X269" s="116">
        <v>0.20061326637396906</v>
      </c>
      <c r="Y269" s="116">
        <v>0.2007668765672449</v>
      </c>
      <c r="Z269" s="116">
        <v>0.20092060438031684</v>
      </c>
      <c r="AA269" s="116">
        <v>0.20107444990324672</v>
      </c>
      <c r="AB269" s="116">
        <v>0.20122841322616528</v>
      </c>
      <c r="AC269" s="116">
        <v>0.20138249443927231</v>
      </c>
      <c r="AD269" s="116">
        <v>0.20153669363283677</v>
      </c>
      <c r="AE269" s="116">
        <v>0.2016910108971966</v>
      </c>
      <c r="AF269" s="116">
        <v>0.20184544632275897</v>
      </c>
      <c r="AG269" s="116">
        <v>0.20200000000000032</v>
      </c>
    </row>
    <row r="270" spans="1:33" s="117" customFormat="1" x14ac:dyDescent="0.35">
      <c r="A270" s="149"/>
      <c r="B270" s="122" t="s">
        <v>68</v>
      </c>
      <c r="C270" s="123"/>
      <c r="D270" s="124">
        <f>D261*T270</f>
        <v>7.0211699999999899</v>
      </c>
      <c r="E270" s="124">
        <f t="shared" ref="E270" si="1412">E261*U270</f>
        <v>7.5072644968248632</v>
      </c>
      <c r="F270" s="124">
        <f t="shared" ref="F270" si="1413">F261*V270</f>
        <v>8.0373304291689376</v>
      </c>
      <c r="G270" s="124">
        <f t="shared" ref="G270" si="1414">G261*W270</f>
        <v>8.615865142296105</v>
      </c>
      <c r="H270" s="124">
        <f t="shared" ref="H270" si="1415">H261*X270</f>
        <v>9.2478762650250985</v>
      </c>
      <c r="I270" s="124">
        <f t="shared" ref="I270" si="1416">I261*Y270</f>
        <v>9.9389443871743364</v>
      </c>
      <c r="J270" s="124">
        <f t="shared" ref="J270" si="1417">J261*Z270</f>
        <v>10.695293980596068</v>
      </c>
      <c r="K270" s="124">
        <f t="shared" ref="K270" si="1418">K261*AA270</f>
        <v>11.523873713354963</v>
      </c>
      <c r="L270" s="124">
        <f t="shared" ref="L270" si="1419">L261*AB270</f>
        <v>12.432447475464786</v>
      </c>
      <c r="M270" s="124">
        <f>M261*AC270</f>
        <v>13.429697629433615</v>
      </c>
      <c r="N270" s="124">
        <f t="shared" ref="N270" si="1420">N261*AD270</f>
        <v>14.525342223861678</v>
      </c>
      <c r="O270" s="124">
        <f t="shared" ref="O270" si="1421">O261*AE270</f>
        <v>15.730268168342938</v>
      </c>
      <c r="P270" s="124">
        <f t="shared" ref="P270" si="1422">P261*AF270</f>
        <v>17.056682668632213</v>
      </c>
      <c r="Q270" s="124">
        <f t="shared" ref="Q270" si="1423">Q261*AG270</f>
        <v>18.518285569084732</v>
      </c>
      <c r="R270" s="68">
        <f>RATE(9,,-H270,Q270)</f>
        <v>8.0205861695503394E-2</v>
      </c>
      <c r="S270" s="122" t="s">
        <v>68</v>
      </c>
      <c r="T270" s="116">
        <f>1-SUM(T268:T269)</f>
        <v>9.9999999999999867E-2</v>
      </c>
      <c r="U270" s="116">
        <f t="shared" ref="U270:AG270" si="1424">1-SUM(U268:U269)</f>
        <v>9.9463506189303219E-2</v>
      </c>
      <c r="V270" s="116">
        <f t="shared" si="1424"/>
        <v>9.8926685175978135E-2</v>
      </c>
      <c r="W270" s="116">
        <f t="shared" si="1424"/>
        <v>9.8389536755263296E-2</v>
      </c>
      <c r="X270" s="116">
        <f t="shared" si="1424"/>
        <v>9.7852060722266487E-2</v>
      </c>
      <c r="Y270" s="116">
        <f t="shared" si="1424"/>
        <v>9.7314256871962823E-2</v>
      </c>
      <c r="Z270" s="116">
        <f t="shared" si="1424"/>
        <v>9.6776124999196522E-2</v>
      </c>
      <c r="AA270" s="116">
        <f t="shared" si="1424"/>
        <v>9.6237664898678466E-2</v>
      </c>
      <c r="AB270" s="116">
        <f t="shared" si="1424"/>
        <v>9.5698876364989083E-2</v>
      </c>
      <c r="AC270" s="116">
        <f t="shared" si="1424"/>
        <v>9.5159759192575466E-2</v>
      </c>
      <c r="AD270" s="116">
        <f t="shared" si="1424"/>
        <v>9.4620313175753146E-2</v>
      </c>
      <c r="AE270" s="116">
        <f t="shared" si="1424"/>
        <v>9.4080538108704426E-2</v>
      </c>
      <c r="AF270" s="116">
        <f t="shared" si="1424"/>
        <v>9.3540433785480159E-2</v>
      </c>
      <c r="AG270" s="116">
        <f t="shared" si="1424"/>
        <v>9.2999999999998417E-2</v>
      </c>
    </row>
    <row r="271" spans="1:33" x14ac:dyDescent="0.35">
      <c r="A271" s="1"/>
      <c r="D271" s="81" t="b">
        <f>D261=SUM(D268:D270)</f>
        <v>1</v>
      </c>
      <c r="E271" s="81" t="b">
        <f t="shared" ref="E271:Q271" si="1425">E261=SUM(E268:E270)</f>
        <v>1</v>
      </c>
      <c r="F271" s="81" t="b">
        <f t="shared" si="1425"/>
        <v>1</v>
      </c>
      <c r="G271" s="81" t="b">
        <f t="shared" si="1425"/>
        <v>1</v>
      </c>
      <c r="H271" s="81" t="b">
        <f t="shared" si="1425"/>
        <v>1</v>
      </c>
      <c r="I271" s="81" t="b">
        <f t="shared" si="1425"/>
        <v>1</v>
      </c>
      <c r="J271" s="81" t="b">
        <f t="shared" si="1425"/>
        <v>1</v>
      </c>
      <c r="K271" s="81" t="b">
        <f t="shared" si="1425"/>
        <v>1</v>
      </c>
      <c r="L271" s="81" t="b">
        <f t="shared" si="1425"/>
        <v>1</v>
      </c>
      <c r="M271" s="81" t="b">
        <f t="shared" si="1425"/>
        <v>1</v>
      </c>
      <c r="N271" s="81" t="b">
        <f t="shared" si="1425"/>
        <v>1</v>
      </c>
      <c r="O271" s="81" t="b">
        <f t="shared" si="1425"/>
        <v>1</v>
      </c>
      <c r="P271" s="81" t="b">
        <f t="shared" si="1425"/>
        <v>1</v>
      </c>
      <c r="Q271" s="81" t="b">
        <f t="shared" si="1425"/>
        <v>1</v>
      </c>
      <c r="R271" s="21"/>
    </row>
    <row r="272" spans="1:33" s="117" customFormat="1" x14ac:dyDescent="0.35">
      <c r="A272" s="149" t="s">
        <v>69</v>
      </c>
      <c r="B272" s="125" t="s">
        <v>70</v>
      </c>
      <c r="C272" s="126"/>
      <c r="D272" s="127">
        <f>D261*T272</f>
        <v>29.488913999999998</v>
      </c>
      <c r="E272" s="127">
        <f t="shared" ref="E272" si="1426">E261*U272</f>
        <v>31.706382147036788</v>
      </c>
      <c r="F272" s="127">
        <f t="shared" ref="F272" si="1427">F261*V272</f>
        <v>34.135522107795495</v>
      </c>
      <c r="G272" s="127">
        <f t="shared" ref="G272" si="1428">G261*W272</f>
        <v>36.799134720271077</v>
      </c>
      <c r="H272" s="127">
        <f t="shared" ref="H272" si="1429">H261*X272</f>
        <v>39.722732060638734</v>
      </c>
      <c r="I272" s="127">
        <f t="shared" ref="I272" si="1430">I261*Y272</f>
        <v>42.93488591421815</v>
      </c>
      <c r="J272" s="127">
        <f t="shared" ref="J272" si="1431">J261*Z272</f>
        <v>46.467624127198746</v>
      </c>
      <c r="K272" s="127">
        <f t="shared" ref="K272" si="1432">K261*AA272</f>
        <v>50.356881809205831</v>
      </c>
      <c r="L272" s="127">
        <f t="shared" ref="L272" si="1433">L261*AB272</f>
        <v>54.643015424951351</v>
      </c>
      <c r="M272" s="127">
        <f t="shared" ref="M272" si="1434">M261*AC272</f>
        <v>59.371389052815708</v>
      </c>
      <c r="N272" s="127">
        <f t="shared" ref="N272" si="1435">N261*AD272</f>
        <v>64.59304352794878</v>
      </c>
      <c r="O272" s="127">
        <f t="shared" ref="O272" si="1436">O261*AE272</f>
        <v>70.365460861051901</v>
      </c>
      <c r="P272" s="127">
        <f t="shared" ref="P272" si="1437">P261*AF272</f>
        <v>76.753438270995986</v>
      </c>
      <c r="Q272" s="127">
        <f t="shared" ref="Q272" si="1438">Q261*AG272</f>
        <v>83.830088436395712</v>
      </c>
      <c r="R272" s="68">
        <f>RATE(9,,-H272,Q272)</f>
        <v>8.6525917856369122E-2</v>
      </c>
      <c r="S272" s="125" t="s">
        <v>70</v>
      </c>
      <c r="T272" s="116">
        <v>0.42</v>
      </c>
      <c r="U272" s="116">
        <v>0.42007683867486062</v>
      </c>
      <c r="V272" s="116">
        <v>0.4201536914072973</v>
      </c>
      <c r="W272" s="116">
        <v>0.42023055819988187</v>
      </c>
      <c r="X272" s="116">
        <v>0.42030743905518658</v>
      </c>
      <c r="Y272" s="116">
        <v>0.42038433397578434</v>
      </c>
      <c r="Z272" s="116">
        <v>0.42046124296424836</v>
      </c>
      <c r="AA272" s="116">
        <v>0.42053816602315214</v>
      </c>
      <c r="AB272" s="116">
        <v>0.42061510315507006</v>
      </c>
      <c r="AC272" s="116">
        <v>0.42069205436257667</v>
      </c>
      <c r="AD272" s="116">
        <v>0.4207690196482472</v>
      </c>
      <c r="AE272" s="116">
        <v>0.42084599901465702</v>
      </c>
      <c r="AF272" s="116">
        <v>0.42092299246438242</v>
      </c>
      <c r="AG272" s="137">
        <v>0.42099999999999982</v>
      </c>
    </row>
    <row r="273" spans="1:33" s="117" customFormat="1" x14ac:dyDescent="0.35">
      <c r="A273" s="149"/>
      <c r="B273" s="125" t="s">
        <v>71</v>
      </c>
      <c r="C273" s="126"/>
      <c r="D273" s="127">
        <f>D261*T273</f>
        <v>16.148691000000003</v>
      </c>
      <c r="E273" s="127">
        <f t="shared" ref="E273" si="1439">E261*U273</f>
        <v>17.371408415048776</v>
      </c>
      <c r="F273" s="127">
        <f t="shared" ref="F273" si="1440">F261*V273</f>
        <v>18.711331229438489</v>
      </c>
      <c r="G273" s="127">
        <f t="shared" ref="G273" si="1441">G261*W273</f>
        <v>20.181132767152135</v>
      </c>
      <c r="H273" s="127">
        <f t="shared" ref="H273" si="1442">H261*X273</f>
        <v>21.794998280346618</v>
      </c>
      <c r="I273" s="127">
        <f t="shared" ref="I273" si="1443">I261*Y273</f>
        <v>23.568819863448109</v>
      </c>
      <c r="J273" s="127">
        <f t="shared" ref="J273" si="1444">J261*Z273</f>
        <v>25.520418223588258</v>
      </c>
      <c r="K273" s="127">
        <f t="shared" ref="K273" si="1445">K261*AA273</f>
        <v>27.669795227145805</v>
      </c>
      <c r="L273" s="127">
        <f t="shared" ref="L273" si="1446">L261*AB273</f>
        <v>30.039421744347397</v>
      </c>
      <c r="M273" s="127">
        <f t="shared" ref="M273" si="1447">M261*AC273</f>
        <v>32.654566012949331</v>
      </c>
      <c r="N273" s="127">
        <f t="shared" ref="N273" si="1448">N261*AD273</f>
        <v>35.543668554222229</v>
      </c>
      <c r="O273" s="127">
        <f t="shared" ref="O273" si="1449">O261*AE273</f>
        <v>38.738770618883194</v>
      </c>
      <c r="P273" s="127">
        <f t="shared" ref="P273" si="1450">P261*AF273</f>
        <v>42.276004239698885</v>
      </c>
      <c r="Q273" s="127">
        <f t="shared" ref="Q273" si="1451">Q261*AG273</f>
        <v>46.196153247610042</v>
      </c>
      <c r="R273" s="68">
        <f>RATE(9,,-H273,Q273)</f>
        <v>8.7050915259677453E-2</v>
      </c>
      <c r="S273" s="125" t="s">
        <v>71</v>
      </c>
      <c r="T273" s="116">
        <v>0.23000000000000007</v>
      </c>
      <c r="U273" s="116">
        <v>0.230153232131076</v>
      </c>
      <c r="V273" s="116">
        <v>0.23030656634948232</v>
      </c>
      <c r="W273" s="116">
        <v>0.23046000272323239</v>
      </c>
      <c r="X273" s="116">
        <v>0.23061354132038475</v>
      </c>
      <c r="Y273" s="116">
        <v>0.23076718220904338</v>
      </c>
      <c r="Z273" s="116">
        <v>0.23092092545735762</v>
      </c>
      <c r="AA273" s="116">
        <v>0.23107477113352223</v>
      </c>
      <c r="AB273" s="116">
        <v>0.23122871930577729</v>
      </c>
      <c r="AC273" s="116">
        <v>0.23138277004240856</v>
      </c>
      <c r="AD273" s="116">
        <v>0.23153692341174703</v>
      </c>
      <c r="AE273" s="116">
        <v>0.23169117948216938</v>
      </c>
      <c r="AF273" s="116">
        <v>0.23184553832209787</v>
      </c>
      <c r="AG273" s="137">
        <v>0.23200000000000018</v>
      </c>
    </row>
    <row r="274" spans="1:33" s="117" customFormat="1" x14ac:dyDescent="0.35">
      <c r="A274" s="149"/>
      <c r="B274" s="125" t="s">
        <v>72</v>
      </c>
      <c r="C274" s="126"/>
      <c r="D274" s="127">
        <f>D261*T274</f>
        <v>14.042339999999998</v>
      </c>
      <c r="E274" s="127">
        <f t="shared" ref="E274" si="1452">E261*U274</f>
        <v>15.101308111900709</v>
      </c>
      <c r="F274" s="127">
        <f t="shared" ref="F274" si="1453">F261*V274</f>
        <v>16.261537396773786</v>
      </c>
      <c r="G274" s="127">
        <f t="shared" ref="G274" si="1454">G261*W274</f>
        <v>17.533952791634675</v>
      </c>
      <c r="H274" s="127">
        <f t="shared" ref="H274" si="1455">H261*X274</f>
        <v>18.930780084352342</v>
      </c>
      <c r="I274" s="127">
        <f t="shared" ref="I274" si="1456">I261*Y274</f>
        <v>20.465713320127097</v>
      </c>
      <c r="J274" s="127">
        <f t="shared" ref="J274" si="1457">J261*Z274</f>
        <v>22.15410523665815</v>
      </c>
      <c r="K274" s="127">
        <f t="shared" ref="K274" si="1458">K261*AA274</f>
        <v>24.013184083972185</v>
      </c>
      <c r="L274" s="127">
        <f t="shared" ref="L274" si="1459">L261*AB274</f>
        <v>26.062300699714982</v>
      </c>
      <c r="M274" s="127">
        <f t="shared" ref="M274" si="1460">M261*AC274</f>
        <v>28.323210308248985</v>
      </c>
      <c r="N274" s="127">
        <f t="shared" ref="N274" si="1461">N261*AD274</f>
        <v>30.820394206010462</v>
      </c>
      <c r="O274" s="127">
        <f t="shared" ref="O274" si="1462">O261*AE274</f>
        <v>33.58142730253293</v>
      </c>
      <c r="P274" s="127">
        <f t="shared" ref="P274" si="1463">P261*AF274</f>
        <v>36.637398425460894</v>
      </c>
      <c r="Q274" s="127">
        <f t="shared" ref="Q274" si="1464">Q261*AG274</f>
        <v>40.023391391248275</v>
      </c>
      <c r="R274" s="68">
        <f>RATE(9,,-H274,Q274)</f>
        <v>8.6744032166946219E-2</v>
      </c>
      <c r="S274" s="125" t="s">
        <v>72</v>
      </c>
      <c r="T274" s="116">
        <v>0.19999999999999998</v>
      </c>
      <c r="U274" s="116">
        <v>0.20007674612901705</v>
      </c>
      <c r="V274" s="116">
        <v>0.20015352170787573</v>
      </c>
      <c r="W274" s="116">
        <v>0.2002303267478768</v>
      </c>
      <c r="X274" s="116">
        <v>0.20030716126032544</v>
      </c>
      <c r="Y274" s="116">
        <v>0.20038402525653101</v>
      </c>
      <c r="Z274" s="116">
        <v>0.20046091874780753</v>
      </c>
      <c r="AA274" s="116">
        <v>0.20053784174547304</v>
      </c>
      <c r="AB274" s="116">
        <v>0.20061479426085005</v>
      </c>
      <c r="AC274" s="116">
        <v>0.20069177630526541</v>
      </c>
      <c r="AD274" s="116">
        <v>0.20076878789005037</v>
      </c>
      <c r="AE274" s="116">
        <v>0.20084582902654041</v>
      </c>
      <c r="AF274" s="116">
        <v>0.20092289972607549</v>
      </c>
      <c r="AG274" s="137">
        <v>0.20099999999999973</v>
      </c>
    </row>
    <row r="275" spans="1:33" s="117" customFormat="1" x14ac:dyDescent="0.35">
      <c r="A275" s="149"/>
      <c r="B275" s="125" t="s">
        <v>73</v>
      </c>
      <c r="C275" s="126"/>
      <c r="D275" s="127">
        <f>D261*T275</f>
        <v>7.0211699999999988</v>
      </c>
      <c r="E275" s="127">
        <f t="shared" ref="E275" si="1465">E261*U275</f>
        <v>7.5592638523268993</v>
      </c>
      <c r="F275" s="127">
        <f t="shared" ref="F275" si="1466">F261*V275</f>
        <v>8.149321839424811</v>
      </c>
      <c r="G275" s="127">
        <f t="shared" ref="G275" si="1467">G261*W275</f>
        <v>8.7970008083806182</v>
      </c>
      <c r="H275" s="127">
        <f t="shared" ref="H275" si="1468">H261*X275</f>
        <v>9.5086364025914758</v>
      </c>
      <c r="I275" s="127">
        <f t="shared" ref="I275" si="1469">I261*Y275</f>
        <v>10.291331040590673</v>
      </c>
      <c r="J275" s="127">
        <f t="shared" ref="J275" si="1470">J261*Z275</f>
        <v>11.153054077066319</v>
      </c>
      <c r="K275" s="127">
        <f t="shared" ref="K275" si="1471">K261*AA275</f>
        <v>12.102755932367744</v>
      </c>
      <c r="L275" s="127">
        <f t="shared" ref="L275" si="1472">L261*AB275</f>
        <v>13.150498252425805</v>
      </c>
      <c r="M275" s="127">
        <f t="shared" ref="M275" si="1473">M261*AC275</f>
        <v>14.307602481173113</v>
      </c>
      <c r="N275" s="127">
        <f t="shared" ref="N275" si="1474">N261*AD275</f>
        <v>15.586819599738607</v>
      </c>
      <c r="O275" s="127">
        <f t="shared" ref="O275" si="1475">O261*AE275</f>
        <v>17.002524219722645</v>
      </c>
      <c r="P275" s="127">
        <f t="shared" ref="P275" si="1476">P261*AF275</f>
        <v>18.570936722098363</v>
      </c>
      <c r="Q275" s="127">
        <f t="shared" ref="Q275" si="1477">Q261*AG275</f>
        <v>20.310377720931957</v>
      </c>
      <c r="R275" s="68">
        <f>RATE(9,,-H275,Q275)</f>
        <v>8.7983215517046784E-2</v>
      </c>
      <c r="S275" s="125" t="s">
        <v>73</v>
      </c>
      <c r="T275" s="116">
        <v>9.9999999999999992E-2</v>
      </c>
      <c r="U275" s="116">
        <v>0.10015244398015953</v>
      </c>
      <c r="V275" s="116">
        <v>0.10030512035198993</v>
      </c>
      <c r="W275" s="116">
        <v>0.10045802946975833</v>
      </c>
      <c r="X275" s="116">
        <v>0.10061117168827188</v>
      </c>
      <c r="Y275" s="116">
        <v>0.10076454736287864</v>
      </c>
      <c r="Z275" s="116">
        <v>0.10091815684946834</v>
      </c>
      <c r="AA275" s="116">
        <v>0.10107200050447333</v>
      </c>
      <c r="AB275" s="116">
        <v>0.10122607868486923</v>
      </c>
      <c r="AC275" s="116">
        <v>0.10138039174817587</v>
      </c>
      <c r="AD275" s="116">
        <v>0.10153494005245813</v>
      </c>
      <c r="AE275" s="116">
        <v>0.10168972395632671</v>
      </c>
      <c r="AF275" s="116">
        <v>0.10184474381893897</v>
      </c>
      <c r="AG275" s="137">
        <v>0.10199999999999985</v>
      </c>
    </row>
    <row r="276" spans="1:33" s="117" customFormat="1" x14ac:dyDescent="0.35">
      <c r="A276" s="149"/>
      <c r="B276" s="125" t="s">
        <v>74</v>
      </c>
      <c r="C276" s="126"/>
      <c r="D276" s="127">
        <f>D261*T276</f>
        <v>3.510585000000003</v>
      </c>
      <c r="E276" s="127">
        <f t="shared" ref="E276" si="1478">E261*U276</f>
        <v>3.7392149736868197</v>
      </c>
      <c r="F276" s="127">
        <f t="shared" ref="F276" si="1479">F261*V276</f>
        <v>3.9876098071924098</v>
      </c>
      <c r="G276" s="127">
        <f t="shared" ref="G276" si="1480">G261*W276</f>
        <v>4.2576955518117972</v>
      </c>
      <c r="H276" s="127">
        <f t="shared" ref="H276" si="1481">H261*X276</f>
        <v>4.5516064549817132</v>
      </c>
      <c r="I276" s="127">
        <f t="shared" ref="I276" si="1482">I261*Y276</f>
        <v>4.8717092426816713</v>
      </c>
      <c r="J276" s="127">
        <f t="shared" ref="J276" si="1483">J261*Z276</f>
        <v>5.2206304240833461</v>
      </c>
      <c r="K276" s="127">
        <f t="shared" ref="K276" si="1484">K261*AA276</f>
        <v>5.6012870153009331</v>
      </c>
      <c r="L276" s="127">
        <f t="shared" ref="L276" si="1485">L261*AB276</f>
        <v>6.0169211336599462</v>
      </c>
      <c r="M276" s="127">
        <f t="shared" ref="M276" si="1486">M261*AC276</f>
        <v>6.4711389762692528</v>
      </c>
      <c r="N276" s="127">
        <f t="shared" ref="N276" si="1487">N261*AD276</f>
        <v>6.9679547679965976</v>
      </c>
      <c r="O276" s="127">
        <f t="shared" ref="O276" si="1488">O261*AE276</f>
        <v>7.5118403455452443</v>
      </c>
      <c r="P276" s="127">
        <f t="shared" ref="P276" si="1489">P261*AF276</f>
        <v>8.1077811377308517</v>
      </c>
      <c r="Q276" s="127">
        <f t="shared" ref="Q276" si="1490">Q261*AG276</f>
        <v>8.7613394090295582</v>
      </c>
      <c r="R276" s="68">
        <f>RATE(9,,-H276,Q276)</f>
        <v>7.5475804942876201E-2</v>
      </c>
      <c r="S276" s="125" t="s">
        <v>74</v>
      </c>
      <c r="T276" s="116">
        <f>1-SUM(T272:T275)</f>
        <v>5.0000000000000044E-2</v>
      </c>
      <c r="U276" s="116">
        <f t="shared" ref="U276:AG276" si="1491">1-SUM(U272:U275)</f>
        <v>4.9540739084886765E-2</v>
      </c>
      <c r="V276" s="116">
        <f t="shared" si="1491"/>
        <v>4.9081100183354764E-2</v>
      </c>
      <c r="W276" s="116">
        <f t="shared" si="1491"/>
        <v>4.8621082859250597E-2</v>
      </c>
      <c r="X276" s="116">
        <f t="shared" si="1491"/>
        <v>4.8160686675831288E-2</v>
      </c>
      <c r="Y276" s="116">
        <f t="shared" si="1491"/>
        <v>4.7699911195762668E-2</v>
      </c>
      <c r="Z276" s="116">
        <f t="shared" si="1491"/>
        <v>4.7238755981118041E-2</v>
      </c>
      <c r="AA276" s="116">
        <f t="shared" si="1491"/>
        <v>4.6777220593379298E-2</v>
      </c>
      <c r="AB276" s="116">
        <f t="shared" si="1491"/>
        <v>4.631530459343336E-2</v>
      </c>
      <c r="AC276" s="116">
        <f t="shared" si="1491"/>
        <v>4.5853007541573509E-2</v>
      </c>
      <c r="AD276" s="116">
        <f t="shared" si="1491"/>
        <v>4.5390328997497287E-2</v>
      </c>
      <c r="AE276" s="116">
        <f t="shared" si="1491"/>
        <v>4.4927268520306485E-2</v>
      </c>
      <c r="AF276" s="116">
        <f t="shared" si="1491"/>
        <v>4.4463825668505264E-2</v>
      </c>
      <c r="AG276" s="116">
        <f t="shared" si="1491"/>
        <v>4.4000000000000372E-2</v>
      </c>
    </row>
    <row r="277" spans="1:33" x14ac:dyDescent="0.35">
      <c r="A277" s="2"/>
      <c r="D277" s="81" t="b">
        <f>D261=SUM(D272:D276)</f>
        <v>1</v>
      </c>
      <c r="E277" s="81" t="b">
        <f t="shared" ref="E277:Q277" si="1492">E261=SUM(E272:E276)</f>
        <v>1</v>
      </c>
      <c r="F277" s="81" t="b">
        <f t="shared" si="1492"/>
        <v>1</v>
      </c>
      <c r="G277" s="81" t="b">
        <f t="shared" si="1492"/>
        <v>1</v>
      </c>
      <c r="H277" s="81" t="b">
        <f t="shared" si="1492"/>
        <v>1</v>
      </c>
      <c r="I277" s="81" t="b">
        <f t="shared" si="1492"/>
        <v>1</v>
      </c>
      <c r="J277" s="81" t="b">
        <f t="shared" si="1492"/>
        <v>1</v>
      </c>
      <c r="K277" s="81" t="b">
        <f t="shared" si="1492"/>
        <v>0</v>
      </c>
      <c r="L277" s="81" t="b">
        <f t="shared" si="1492"/>
        <v>1</v>
      </c>
      <c r="M277" s="81" t="b">
        <f t="shared" si="1492"/>
        <v>1</v>
      </c>
      <c r="N277" s="81" t="b">
        <f t="shared" si="1492"/>
        <v>1</v>
      </c>
      <c r="O277" s="81" t="b">
        <f t="shared" si="1492"/>
        <v>1</v>
      </c>
      <c r="P277" s="81" t="b">
        <f t="shared" si="1492"/>
        <v>1</v>
      </c>
      <c r="Q277" s="81" t="b">
        <f t="shared" si="1492"/>
        <v>1</v>
      </c>
      <c r="R277" s="21"/>
    </row>
    <row r="278" spans="1:33" s="117" customFormat="1" x14ac:dyDescent="0.35">
      <c r="A278" s="149" t="s">
        <v>75</v>
      </c>
      <c r="B278" s="128" t="s">
        <v>76</v>
      </c>
      <c r="C278" s="129"/>
      <c r="D278" s="130">
        <f>D261*T278</f>
        <v>15.446574</v>
      </c>
      <c r="E278" s="130">
        <f t="shared" ref="E278" si="1493">E261*U278</f>
        <v>16.633796742641582</v>
      </c>
      <c r="F278" s="130">
        <f t="shared" ref="F278" si="1494">F261*V278</f>
        <v>17.935874669620851</v>
      </c>
      <c r="G278" s="130">
        <f t="shared" ref="G278" si="1495">G261*W278</f>
        <v>19.365331147249005</v>
      </c>
      <c r="H278" s="130">
        <f t="shared" ref="H278" si="1496">H261*X278</f>
        <v>20.936194382500315</v>
      </c>
      <c r="I278" s="130">
        <f t="shared" ref="I278" si="1497">I261*Y278</f>
        <v>22.664192715684472</v>
      </c>
      <c r="J278" s="130">
        <f t="shared" ref="J278" si="1498">J261*Z278</f>
        <v>24.566976986748866</v>
      </c>
      <c r="K278" s="130">
        <f t="shared" ref="K278" si="1499">K261*AA278</f>
        <v>26.66437394947215</v>
      </c>
      <c r="L278" s="130">
        <f t="shared" ref="L278" si="1500">L261*AB278</f>
        <v>28.978675321696201</v>
      </c>
      <c r="M278" s="130">
        <f t="shared" ref="M278" si="1501">M261*AC278</f>
        <v>31.534967772901748</v>
      </c>
      <c r="N278" s="130">
        <f t="shared" ref="N278" si="1502">N261*AD278</f>
        <v>34.361509979601252</v>
      </c>
      <c r="O278" s="130">
        <f t="shared" ref="O278" si="1503">O261*AE278</f>
        <v>37.490163843873965</v>
      </c>
      <c r="P278" s="130">
        <f t="shared" ref="P278" si="1504">P261*AF278</f>
        <v>40.956888094037474</v>
      </c>
      <c r="Q278" s="130">
        <f>Q261*AG278</f>
        <v>44.802303796173533</v>
      </c>
      <c r="R278" s="68">
        <f t="shared" ref="R278:R283" si="1505">RATE(9,,-H278,Q278)</f>
        <v>8.8206712611330479E-2</v>
      </c>
      <c r="S278" s="134" t="s">
        <v>76</v>
      </c>
      <c r="T278" s="116">
        <v>0.22000000000000003</v>
      </c>
      <c r="U278" s="116">
        <v>0.22038063877502673</v>
      </c>
      <c r="V278" s="116">
        <v>0.22076193612222184</v>
      </c>
      <c r="W278" s="116">
        <v>0.22114389318103134</v>
      </c>
      <c r="X278" s="116">
        <v>0.22152651109287255</v>
      </c>
      <c r="Y278" s="116">
        <v>0.22190979100113767</v>
      </c>
      <c r="Z278" s="116">
        <v>0.22229373405119721</v>
      </c>
      <c r="AA278" s="116">
        <v>0.22267834139040343</v>
      </c>
      <c r="AB278" s="116">
        <v>0.2230636141680935</v>
      </c>
      <c r="AC278" s="116">
        <v>0.22344955353559337</v>
      </c>
      <c r="AD278" s="116">
        <v>0.22383616064622086</v>
      </c>
      <c r="AE278" s="116">
        <v>0.22422343665528938</v>
      </c>
      <c r="AF278" s="116">
        <v>0.22461138272011094</v>
      </c>
      <c r="AG278" s="116">
        <v>0.22500000000000017</v>
      </c>
    </row>
    <row r="279" spans="1:33" s="117" customFormat="1" x14ac:dyDescent="0.35">
      <c r="A279" s="149"/>
      <c r="B279" s="128" t="s">
        <v>77</v>
      </c>
      <c r="C279" s="129"/>
      <c r="D279" s="130">
        <f>D261*T279</f>
        <v>26.680445999999996</v>
      </c>
      <c r="E279" s="130">
        <f t="shared" ref="E279" si="1506">E261*U279</f>
        <v>28.681479449999998</v>
      </c>
      <c r="F279" s="130">
        <f t="shared" ref="F279" si="1507">F261*V279</f>
        <v>30.873222504637493</v>
      </c>
      <c r="G279" s="130">
        <f t="shared" ref="G279" si="1508">G261*W279</f>
        <v>33.276188322915118</v>
      </c>
      <c r="H279" s="130">
        <f t="shared" ref="H279" si="1509">H261*X279</f>
        <v>35.913326247506134</v>
      </c>
      <c r="I279" s="130">
        <f t="shared" ref="I279" si="1510">I261*Y279</f>
        <v>38.810334564804968</v>
      </c>
      <c r="J279" s="130">
        <f t="shared" ref="J279" si="1511">J261*Z279</f>
        <v>41.996016193666037</v>
      </c>
      <c r="K279" s="130">
        <f t="shared" ref="K279" si="1512">K261*AA279</f>
        <v>45.502683545837144</v>
      </c>
      <c r="L279" s="130">
        <f t="shared" ref="L279" si="1513">L261*AB279</f>
        <v>49.366619756937808</v>
      </c>
      <c r="M279" s="130">
        <f t="shared" ref="M279" si="1514">M261*AC279</f>
        <v>53.628604595953426</v>
      </c>
      <c r="N279" s="130">
        <f t="shared" ref="N279" si="1515">N261*AD279</f>
        <v>58.334514649248341</v>
      </c>
      <c r="O279" s="130">
        <f t="shared" ref="O279" si="1516">O261*AE279</f>
        <v>63.536008872139647</v>
      </c>
      <c r="P279" s="130">
        <f t="shared" ref="P279" si="1517">P261*AF279</f>
        <v>69.291312342474285</v>
      </c>
      <c r="Q279" s="130">
        <f t="shared" ref="Q279" si="1518">Q261*AG279</f>
        <v>75.666113077981905</v>
      </c>
      <c r="R279" s="68">
        <f t="shared" si="1505"/>
        <v>8.6327175142052695E-2</v>
      </c>
      <c r="S279" s="134" t="s">
        <v>77</v>
      </c>
      <c r="T279" s="116">
        <v>0.38</v>
      </c>
      <c r="U279" s="116">
        <v>0.38</v>
      </c>
      <c r="V279" s="116">
        <v>0.38</v>
      </c>
      <c r="W279" s="116">
        <v>0.38</v>
      </c>
      <c r="X279" s="116">
        <v>0.38</v>
      </c>
      <c r="Y279" s="116">
        <v>0.38</v>
      </c>
      <c r="Z279" s="116">
        <v>0.38</v>
      </c>
      <c r="AA279" s="116">
        <v>0.38</v>
      </c>
      <c r="AB279" s="116">
        <v>0.38</v>
      </c>
      <c r="AC279" s="116">
        <v>0.38</v>
      </c>
      <c r="AD279" s="116">
        <v>0.38</v>
      </c>
      <c r="AE279" s="116">
        <v>0.38</v>
      </c>
      <c r="AF279" s="116">
        <v>0.38</v>
      </c>
      <c r="AG279" s="116">
        <v>0.38</v>
      </c>
    </row>
    <row r="280" spans="1:33" s="117" customFormat="1" x14ac:dyDescent="0.35">
      <c r="A280" s="149"/>
      <c r="B280" s="128" t="s">
        <v>78</v>
      </c>
      <c r="C280" s="129"/>
      <c r="D280" s="132">
        <f>D261*T280</f>
        <v>11.935988999999998</v>
      </c>
      <c r="E280" s="132">
        <f t="shared" ref="E280" si="1519">E261*U280</f>
        <v>12.893222068571458</v>
      </c>
      <c r="F280" s="132">
        <f t="shared" ref="F280" si="1520">F261*V280</f>
        <v>13.945576266899296</v>
      </c>
      <c r="G280" s="132">
        <f t="shared" ref="G280" si="1521">G261*W280</f>
        <v>15.103676130083079</v>
      </c>
      <c r="H280" s="132">
        <f t="shared" ref="H280" si="1522">H261*X280</f>
        <v>16.379449843186553</v>
      </c>
      <c r="I280" s="132">
        <f t="shared" ref="I280" si="1523">I261*Y280</f>
        <v>17.786301710168541</v>
      </c>
      <c r="J280" s="132">
        <f t="shared" ref="J280" si="1524">J261*Z280</f>
        <v>19.339308960733884</v>
      </c>
      <c r="K280" s="132">
        <f t="shared" ref="K280" si="1525">K261*AA280</f>
        <v>21.055446527883564</v>
      </c>
      <c r="L280" s="132">
        <f t="shared" ref="L280" si="1526">L261*AB280</f>
        <v>22.953843998999286</v>
      </c>
      <c r="M280" s="132">
        <f t="shared" ref="M280" si="1527">M261*AC280</f>
        <v>25.056079606932716</v>
      </c>
      <c r="N280" s="132">
        <f t="shared" ref="N280" si="1528">N261*AD280</f>
        <v>27.386516900791396</v>
      </c>
      <c r="O280" s="132">
        <f t="shared" ref="O280" si="1529">O261*AE280</f>
        <v>29.972690637771713</v>
      </c>
      <c r="P280" s="132">
        <f t="shared" ref="P280" si="1530">P261*AF280</f>
        <v>32.845749489703259</v>
      </c>
      <c r="Q280" s="132">
        <f t="shared" ref="Q280" si="1531">Q261*AG280</f>
        <v>36.040964387143951</v>
      </c>
      <c r="R280" s="68">
        <f t="shared" si="1505"/>
        <v>9.1579152065754038E-2</v>
      </c>
      <c r="S280" s="134" t="s">
        <v>78</v>
      </c>
      <c r="T280" s="116">
        <v>0.16999999999999998</v>
      </c>
      <c r="U280" s="116">
        <v>0.17082188506343435</v>
      </c>
      <c r="V280" s="116">
        <v>0.17164774362720694</v>
      </c>
      <c r="W280" s="116">
        <v>0.17247759490167405</v>
      </c>
      <c r="X280" s="116">
        <v>0.17331145819006682</v>
      </c>
      <c r="Y280" s="116">
        <v>0.17414935288894001</v>
      </c>
      <c r="Z280" s="116">
        <v>0.17499129848862341</v>
      </c>
      <c r="AA280" s="116">
        <v>0.17583731457367507</v>
      </c>
      <c r="AB280" s="116">
        <v>0.17668742082333691</v>
      </c>
      <c r="AC280" s="116">
        <v>0.17754163701199244</v>
      </c>
      <c r="AD280" s="116">
        <v>0.17839998300962681</v>
      </c>
      <c r="AE280" s="116">
        <v>0.17926247878228888</v>
      </c>
      <c r="AF280" s="116">
        <v>0.18012914439255584</v>
      </c>
      <c r="AG280" s="116">
        <v>0.18099999999999969</v>
      </c>
    </row>
    <row r="281" spans="1:33" s="117" customFormat="1" x14ac:dyDescent="0.35">
      <c r="A281" s="149"/>
      <c r="B281" s="128" t="s">
        <v>79</v>
      </c>
      <c r="C281" s="129"/>
      <c r="D281" s="132">
        <f>D261*T281</f>
        <v>9.8296379999999992</v>
      </c>
      <c r="E281" s="132">
        <f t="shared" ref="E281" si="1532">E261*U281</f>
        <v>10.572647764132784</v>
      </c>
      <c r="F281" s="132">
        <f t="shared" ref="F281" si="1533">F261*V281</f>
        <v>11.386806806297143</v>
      </c>
      <c r="G281" s="132">
        <f t="shared" ref="G281" si="1534">G261*W281</f>
        <v>12.279801256675356</v>
      </c>
      <c r="H281" s="132">
        <f t="shared" ref="H281" si="1535">H261*X281</f>
        <v>13.260233464173895</v>
      </c>
      <c r="I281" s="132">
        <f t="shared" ref="I281" si="1536">I261*Y281</f>
        <v>14.337740025564759</v>
      </c>
      <c r="J281" s="132">
        <f t="shared" ref="J281" si="1537">J261*Z281</f>
        <v>15.523126066232933</v>
      </c>
      <c r="K281" s="132">
        <f t="shared" ref="K281" si="1538">K261*AA281</f>
        <v>16.828518142979757</v>
      </c>
      <c r="L281" s="132">
        <f t="shared" ref="L281" si="1539">L261*AB281</f>
        <v>18.267538503280594</v>
      </c>
      <c r="M281" s="132">
        <f t="shared" ref="M281" si="1540">M261*AC281</f>
        <v>19.855503857862171</v>
      </c>
      <c r="N281" s="132">
        <f t="shared" ref="N281" si="1541">N261*AD281</f>
        <v>21.609652314260586</v>
      </c>
      <c r="O281" s="132">
        <f t="shared" ref="O281" si="1542">O261*AE281</f>
        <v>23.549402689670654</v>
      </c>
      <c r="P281" s="132">
        <f t="shared" ref="P281" si="1543">P261*AF281</f>
        <v>25.696651085440859</v>
      </c>
      <c r="Q281" s="132">
        <f t="shared" ref="Q281" si="1544">Q261*AG281</f>
        <v>28.076110378935446</v>
      </c>
      <c r="R281" s="68">
        <f t="shared" si="1505"/>
        <v>8.6922099418188056E-2</v>
      </c>
      <c r="S281" s="134" t="s">
        <v>79</v>
      </c>
      <c r="T281" s="116">
        <v>0.14000000000000001</v>
      </c>
      <c r="U281" s="116">
        <v>0.14007667063947282</v>
      </c>
      <c r="V281" s="116">
        <v>0.14015338326742385</v>
      </c>
      <c r="W281" s="116">
        <v>0.1402301379068481</v>
      </c>
      <c r="X281" s="116">
        <v>0.14030693458075291</v>
      </c>
      <c r="Y281" s="116">
        <v>0.14038377331215846</v>
      </c>
      <c r="Z281" s="116">
        <v>0.14046065412409731</v>
      </c>
      <c r="AA281" s="116">
        <v>0.14053757703961495</v>
      </c>
      <c r="AB281" s="116">
        <v>0.14061454208176913</v>
      </c>
      <c r="AC281" s="116">
        <v>0.14069154927363042</v>
      </c>
      <c r="AD281" s="116">
        <v>0.14076859863828203</v>
      </c>
      <c r="AE281" s="116">
        <v>0.14084569019881982</v>
      </c>
      <c r="AF281" s="116">
        <v>0.14092282397835218</v>
      </c>
      <c r="AG281" s="116">
        <v>0.14100000000000026</v>
      </c>
    </row>
    <row r="282" spans="1:33" s="117" customFormat="1" x14ac:dyDescent="0.35">
      <c r="A282" s="149"/>
      <c r="B282" s="128" t="s">
        <v>80</v>
      </c>
      <c r="C282" s="129"/>
      <c r="D282" s="132">
        <f>D261*T282</f>
        <v>2.8084680000000017</v>
      </c>
      <c r="E282" s="132">
        <f t="shared" ref="E282" si="1545">E261*U282</f>
        <v>2.7996975582731638</v>
      </c>
      <c r="F282" s="132">
        <f t="shared" ref="F282" si="1546">F261*V282</f>
        <v>2.7946325074360598</v>
      </c>
      <c r="G282" s="132">
        <f t="shared" ref="G282" si="1547">G261*W282</f>
        <v>2.7932479680286955</v>
      </c>
      <c r="H282" s="132">
        <f t="shared" ref="H282" si="1548">H261*X282</f>
        <v>2.7955336437049532</v>
      </c>
      <c r="I282" s="132">
        <f t="shared" ref="I282" si="1549">I261*Y282</f>
        <v>2.801493721585802</v>
      </c>
      <c r="J282" s="132">
        <f t="shared" ref="J282" si="1550">J261*Z282</f>
        <v>2.8111468680593723</v>
      </c>
      <c r="K282" s="132">
        <f t="shared" ref="K282" si="1551">K261*AA282</f>
        <v>2.8245263196967016</v>
      </c>
      <c r="L282" s="132">
        <f t="shared" ref="L282" si="1552">L261*AB282</f>
        <v>2.8416800698277158</v>
      </c>
      <c r="M282" s="132">
        <f t="shared" ref="M282" si="1553">M261*AC282</f>
        <v>2.8626711522006918</v>
      </c>
      <c r="N282" s="132">
        <f t="shared" ref="N282" si="1554">N261*AD282</f>
        <v>2.8875780240405255</v>
      </c>
      <c r="O282" s="132">
        <f t="shared" ref="O282" si="1555">O261*AE282</f>
        <v>2.9164950517370971</v>
      </c>
      <c r="P282" s="132">
        <f t="shared" ref="P282" si="1556">P261*AF282</f>
        <v>2.9495331033457148</v>
      </c>
      <c r="Q282" s="132">
        <f t="shared" ref="Q282" si="1557">Q261*AG282</f>
        <v>2.9868202530782342</v>
      </c>
      <c r="R282" s="68">
        <f t="shared" si="1505"/>
        <v>7.3811456507236568E-3</v>
      </c>
      <c r="S282" s="134" t="s">
        <v>80</v>
      </c>
      <c r="T282" s="116">
        <v>4.0000000000000029E-2</v>
      </c>
      <c r="U282" s="116">
        <v>3.7093103024844219E-2</v>
      </c>
      <c r="V282" s="116">
        <v>3.4397457300292665E-2</v>
      </c>
      <c r="W282" s="116">
        <v>3.1897710685810869E-2</v>
      </c>
      <c r="X282" s="116">
        <v>2.9579626718136409E-2</v>
      </c>
      <c r="Y282" s="116">
        <v>2.7430003532306693E-2</v>
      </c>
      <c r="Z282" s="116">
        <v>2.543659867489231E-2</v>
      </c>
      <c r="AA282" s="116">
        <v>2.3588059381234896E-2</v>
      </c>
      <c r="AB282" s="116">
        <v>2.1873857919607213E-2</v>
      </c>
      <c r="AC282" s="116">
        <v>2.0284231634069862E-2</v>
      </c>
      <c r="AD282" s="116">
        <v>1.8810127344558929E-2</v>
      </c>
      <c r="AE282" s="116">
        <v>1.7443149787554083E-2</v>
      </c>
      <c r="AF282" s="116">
        <v>1.617551380368832E-2</v>
      </c>
      <c r="AG282" s="116">
        <v>1.5000000000000005E-2</v>
      </c>
    </row>
    <row r="283" spans="1:33" s="117" customFormat="1" x14ac:dyDescent="0.35">
      <c r="A283" s="149"/>
      <c r="B283" s="128" t="s">
        <v>81</v>
      </c>
      <c r="C283" s="129"/>
      <c r="D283" s="132">
        <f>D261*T283</f>
        <v>1.4042340000000002</v>
      </c>
      <c r="E283" s="132">
        <f t="shared" ref="E283" si="1558">E261*U283</f>
        <v>1.5206595759074752</v>
      </c>
      <c r="F283" s="132">
        <f t="shared" ref="F283" si="1559">F261*V283</f>
        <v>1.6489081605663509</v>
      </c>
      <c r="G283" s="132">
        <f t="shared" ref="G283" si="1560">G261*W283</f>
        <v>1.7903260489894748</v>
      </c>
      <c r="H283" s="132">
        <f t="shared" ref="H283" si="1561">H261*X283</f>
        <v>1.9464275394146302</v>
      </c>
      <c r="I283" s="132">
        <f t="shared" ref="I283" si="1562">I261*Y283</f>
        <v>2.1189175066826746</v>
      </c>
      <c r="J283" s="132">
        <f t="shared" ref="J283" si="1563">J261*Z283</f>
        <v>2.3097172070340237</v>
      </c>
      <c r="K283" s="132">
        <f t="shared" ref="K283" si="1564">K261*AA283</f>
        <v>2.5209938031964003</v>
      </c>
      <c r="L283" s="132">
        <f t="shared" ref="L283" si="1565">L261*AB283</f>
        <v>2.7551941763337582</v>
      </c>
      <c r="M283" s="132">
        <f t="shared" ref="M283" si="1566">M261*AC283</f>
        <v>3.015083682033572</v>
      </c>
      <c r="N283" s="132">
        <f t="shared" ref="N283" si="1567">N261*AD283</f>
        <v>3.3037906132613504</v>
      </c>
      <c r="O283" s="132">
        <f t="shared" ref="O283" si="1568">O261*AE283</f>
        <v>3.6248572567427808</v>
      </c>
      <c r="P283" s="132">
        <f t="shared" ref="P283" si="1569">P261*AF283</f>
        <v>3.9822985736569341</v>
      </c>
      <c r="Q283" s="132">
        <f t="shared" ref="Q283" si="1570">Q261*AG283</f>
        <v>4.3806697045147436</v>
      </c>
      <c r="R283" s="68">
        <f t="shared" si="1505"/>
        <v>9.4320907045531879E-2</v>
      </c>
      <c r="S283" s="134" t="s">
        <v>81</v>
      </c>
      <c r="T283" s="116">
        <v>2.0000000000000004E-2</v>
      </c>
      <c r="U283" s="116">
        <v>2.0147169878464571E-2</v>
      </c>
      <c r="V283" s="116">
        <v>2.0295422705585511E-2</v>
      </c>
      <c r="W283" s="116">
        <v>2.0444766450233912E-2</v>
      </c>
      <c r="X283" s="116">
        <v>2.0595209139919784E-2</v>
      </c>
      <c r="Y283" s="116">
        <v>2.0746758861223506E-2</v>
      </c>
      <c r="Z283" s="116">
        <v>2.0899423760230504E-2</v>
      </c>
      <c r="AA283" s="116">
        <v>2.1053212042969137E-2</v>
      </c>
      <c r="AB283" s="116">
        <v>2.1208131975851766E-2</v>
      </c>
      <c r="AC283" s="116">
        <v>2.1364191886119096E-2</v>
      </c>
      <c r="AD283" s="116">
        <v>2.1521400162287797E-2</v>
      </c>
      <c r="AE283" s="116">
        <v>2.1679765254601358E-2</v>
      </c>
      <c r="AF283" s="116">
        <v>2.1839295675484361E-2</v>
      </c>
      <c r="AG283" s="116">
        <v>2.2000000000000006E-2</v>
      </c>
    </row>
    <row r="284" spans="1:33" s="117" customFormat="1" x14ac:dyDescent="0.35">
      <c r="A284" s="149"/>
      <c r="B284" s="128" t="s">
        <v>82</v>
      </c>
      <c r="C284" s="129"/>
      <c r="D284" s="132">
        <f>D261*T284</f>
        <v>2.1063509999999939</v>
      </c>
      <c r="E284" s="132">
        <f t="shared" ref="E284" si="1571">E261*U284</f>
        <v>2.3760743404735298</v>
      </c>
      <c r="F284" s="132">
        <f t="shared" ref="F284" si="1572">F261*V284</f>
        <v>2.6603014651677914</v>
      </c>
      <c r="G284" s="132">
        <f t="shared" ref="G284" si="1573">G261*W284</f>
        <v>2.9603457653095764</v>
      </c>
      <c r="H284" s="132">
        <f t="shared" ref="H284" si="1574">H261*X284</f>
        <v>3.2775881624243999</v>
      </c>
      <c r="I284" s="132">
        <f t="shared" ref="I284" si="1575">I261*Y284</f>
        <v>3.6134791365744849</v>
      </c>
      <c r="J284" s="132">
        <f t="shared" ref="J284" si="1576">J261*Z284</f>
        <v>3.9695398061197125</v>
      </c>
      <c r="K284" s="132">
        <f t="shared" ref="K284" si="1577">K261*AA284</f>
        <v>4.3473617789267811</v>
      </c>
      <c r="L284" s="132">
        <f t="shared" ref="L284" si="1578">L261*AB284</f>
        <v>4.7486054280241268</v>
      </c>
      <c r="M284" s="132">
        <f t="shared" ref="M284" si="1579">M261*AC284</f>
        <v>5.1749961635720716</v>
      </c>
      <c r="N284" s="132">
        <f t="shared" ref="N284" si="1580">N261*AD284</f>
        <v>5.6283181747132538</v>
      </c>
      <c r="O284" s="132">
        <f t="shared" ref="O284" si="1581">O261*AE284</f>
        <v>6.1104049958000317</v>
      </c>
      <c r="P284" s="132">
        <f t="shared" ref="P284" si="1582">P261*AF284</f>
        <v>6.6231261073264287</v>
      </c>
      <c r="Q284" s="132">
        <f t="shared" ref="Q284" si="1583">Q261*AG284</f>
        <v>7.1683686073877215</v>
      </c>
      <c r="R284" s="68">
        <f>RATE(9,,-H284,Q284)</f>
        <v>9.0844592196058796E-2</v>
      </c>
      <c r="S284" s="134" t="s">
        <v>82</v>
      </c>
      <c r="T284" s="116">
        <f>1-SUM(T278:T283)</f>
        <v>2.9999999999999916E-2</v>
      </c>
      <c r="U284" s="116">
        <f t="shared" ref="U284:AG284" si="1584">1-SUM(U278:U283)</f>
        <v>3.1480532618757273E-2</v>
      </c>
      <c r="V284" s="116">
        <f t="shared" si="1584"/>
        <v>3.2744056977269231E-2</v>
      </c>
      <c r="W284" s="116">
        <f t="shared" si="1584"/>
        <v>3.380589687440172E-2</v>
      </c>
      <c r="X284" s="116">
        <f t="shared" si="1584"/>
        <v>3.468026027825144E-2</v>
      </c>
      <c r="Y284" s="116">
        <f t="shared" si="1584"/>
        <v>3.5380320404233667E-2</v>
      </c>
      <c r="Z284" s="116">
        <f t="shared" si="1584"/>
        <v>3.5918290900959216E-2</v>
      </c>
      <c r="AA284" s="116">
        <f t="shared" si="1584"/>
        <v>3.6305495572102608E-2</v>
      </c>
      <c r="AB284" s="116">
        <f t="shared" si="1584"/>
        <v>3.655243303134148E-2</v>
      </c>
      <c r="AC284" s="116">
        <f t="shared" si="1584"/>
        <v>3.6668836658594883E-2</v>
      </c>
      <c r="AD284" s="116">
        <f t="shared" si="1584"/>
        <v>3.6663730199023692E-2</v>
      </c>
      <c r="AE284" s="116">
        <f t="shared" si="1584"/>
        <v>3.6545479321446361E-2</v>
      </c>
      <c r="AF284" s="116">
        <f t="shared" si="1584"/>
        <v>3.6321839429808267E-2</v>
      </c>
      <c r="AG284" s="116">
        <f t="shared" si="1584"/>
        <v>3.599999999999981E-2</v>
      </c>
    </row>
    <row r="286" spans="1:33" ht="25" x14ac:dyDescent="0.5">
      <c r="A286" s="146" t="s">
        <v>89</v>
      </c>
      <c r="B286" s="146"/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63"/>
    </row>
    <row r="287" spans="1:33" ht="23.5" thickBot="1" x14ac:dyDescent="0.55000000000000004">
      <c r="A287" s="63"/>
      <c r="B287" s="63"/>
      <c r="C287" s="63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</row>
    <row r="288" spans="1:33" ht="16" hidden="1" thickBot="1" x14ac:dyDescent="0.4">
      <c r="A288" s="42"/>
      <c r="B288" s="43"/>
      <c r="C288" s="93"/>
      <c r="D288" s="91">
        <v>2023</v>
      </c>
      <c r="E288" s="65">
        <v>2024</v>
      </c>
      <c r="F288" s="65">
        <v>2025</v>
      </c>
      <c r="G288" s="65">
        <v>2026</v>
      </c>
      <c r="H288" s="65">
        <v>2027</v>
      </c>
      <c r="I288" s="65">
        <v>2028</v>
      </c>
      <c r="J288" s="65">
        <v>2029</v>
      </c>
      <c r="K288" s="65">
        <v>2030</v>
      </c>
      <c r="L288" s="65">
        <v>2031</v>
      </c>
      <c r="M288" s="65">
        <v>2032</v>
      </c>
      <c r="N288" s="65">
        <v>2033</v>
      </c>
      <c r="O288" s="65">
        <v>2034</v>
      </c>
      <c r="P288" s="65">
        <v>2035</v>
      </c>
      <c r="Q288" s="65">
        <v>2036</v>
      </c>
      <c r="R288" s="66" t="s">
        <v>13</v>
      </c>
    </row>
    <row r="289" spans="1:33" ht="16" hidden="1" thickBot="1" x14ac:dyDescent="0.4">
      <c r="A289" s="25"/>
      <c r="B289" s="94"/>
      <c r="C289" s="95"/>
      <c r="D289" s="92" t="e">
        <f>#REF!</f>
        <v>#REF!</v>
      </c>
      <c r="E289" s="92" t="e">
        <f>#REF!</f>
        <v>#REF!</v>
      </c>
      <c r="F289" s="92" t="e">
        <f>#REF!</f>
        <v>#REF!</v>
      </c>
      <c r="G289" s="92" t="e">
        <f>#REF!</f>
        <v>#REF!</v>
      </c>
      <c r="H289" s="92" t="e">
        <f>#REF!</f>
        <v>#REF!</v>
      </c>
      <c r="I289" s="92" t="e">
        <f>#REF!</f>
        <v>#REF!</v>
      </c>
      <c r="J289" s="92" t="e">
        <f>#REF!</f>
        <v>#REF!</v>
      </c>
      <c r="K289" s="92" t="e">
        <f>#REF!</f>
        <v>#REF!</v>
      </c>
      <c r="L289" s="92" t="e">
        <f>#REF!</f>
        <v>#REF!</v>
      </c>
      <c r="M289" s="92" t="e">
        <f>#REF!</f>
        <v>#REF!</v>
      </c>
      <c r="N289" s="92" t="e">
        <f>#REF!</f>
        <v>#REF!</v>
      </c>
      <c r="O289" s="92" t="e">
        <f>#REF!</f>
        <v>#REF!</v>
      </c>
      <c r="P289" s="92" t="e">
        <f>#REF!</f>
        <v>#REF!</v>
      </c>
      <c r="Q289" s="92" t="e">
        <f>#REF!</f>
        <v>#REF!</v>
      </c>
      <c r="R289" s="68" t="e">
        <f>RATE(12,,-E289,Q289)</f>
        <v>#REF!</v>
      </c>
      <c r="T289" s="65">
        <v>2023</v>
      </c>
      <c r="U289" s="65">
        <v>2024</v>
      </c>
      <c r="V289" s="65">
        <v>2025</v>
      </c>
      <c r="W289" s="65">
        <v>2026</v>
      </c>
      <c r="X289" s="65">
        <v>2027</v>
      </c>
      <c r="Y289" s="65">
        <v>2028</v>
      </c>
      <c r="Z289" s="65">
        <v>2029</v>
      </c>
      <c r="AA289" s="65">
        <v>2030</v>
      </c>
      <c r="AB289" s="65">
        <v>2031</v>
      </c>
      <c r="AC289" s="65">
        <v>2032</v>
      </c>
      <c r="AD289" s="65">
        <v>2033</v>
      </c>
      <c r="AE289" s="65">
        <v>2034</v>
      </c>
      <c r="AF289" s="65">
        <v>2035</v>
      </c>
      <c r="AG289" s="65">
        <v>2036</v>
      </c>
    </row>
    <row r="290" spans="1:33" ht="15" hidden="1" thickBot="1" x14ac:dyDescent="0.4">
      <c r="A290" s="150" t="s">
        <v>49</v>
      </c>
      <c r="B290" s="52" t="s">
        <v>34</v>
      </c>
      <c r="C290" s="45"/>
      <c r="D290" s="79" t="e">
        <f t="shared" ref="D290" si="1585">D289*T290</f>
        <v>#REF!</v>
      </c>
      <c r="E290" s="79" t="e">
        <f t="shared" ref="E290" si="1586">E289*U290</f>
        <v>#REF!</v>
      </c>
      <c r="F290" s="79" t="e">
        <f t="shared" ref="F290" si="1587">F289*V290</f>
        <v>#REF!</v>
      </c>
      <c r="G290" s="79" t="e">
        <f t="shared" ref="G290" si="1588">G289*W290</f>
        <v>#REF!</v>
      </c>
      <c r="H290" s="79" t="e">
        <f t="shared" ref="H290" si="1589">H289*X290</f>
        <v>#REF!</v>
      </c>
      <c r="I290" s="79" t="e">
        <f t="shared" ref="I290" si="1590">I289*Y290</f>
        <v>#REF!</v>
      </c>
      <c r="J290" s="79" t="e">
        <f t="shared" ref="J290" si="1591">J289*Z290</f>
        <v>#REF!</v>
      </c>
      <c r="K290" s="79" t="e">
        <f t="shared" ref="K290" si="1592">K289*AA290</f>
        <v>#REF!</v>
      </c>
      <c r="L290" s="79" t="e">
        <f t="shared" ref="L290" si="1593">L289*AB290</f>
        <v>#REF!</v>
      </c>
      <c r="M290" s="79" t="e">
        <f t="shared" ref="M290" si="1594">M289*AC290</f>
        <v>#REF!</v>
      </c>
      <c r="N290" s="79" t="e">
        <f t="shared" ref="N290" si="1595">N289*AD290</f>
        <v>#REF!</v>
      </c>
      <c r="O290" s="79" t="e">
        <f t="shared" ref="O290" si="1596">O289*AE290</f>
        <v>#REF!</v>
      </c>
      <c r="P290" s="79" t="e">
        <f t="shared" ref="P290" si="1597">P289*AF290</f>
        <v>#REF!</v>
      </c>
      <c r="Q290" s="79" t="e">
        <f t="shared" ref="Q290" si="1598">Q289*AG290</f>
        <v>#REF!</v>
      </c>
      <c r="R290" s="77" t="e">
        <f>RATE(12,,-E290,Q290)</f>
        <v>#REF!</v>
      </c>
      <c r="S290" s="52"/>
      <c r="T290" s="12">
        <v>0.56000000000000005</v>
      </c>
      <c r="U290" s="12">
        <v>0.56092161367703952</v>
      </c>
      <c r="V290" s="12">
        <v>0.56184474408938223</v>
      </c>
      <c r="W290" s="12">
        <v>0.56276939373317769</v>
      </c>
      <c r="X290" s="12">
        <v>0.56369556510868446</v>
      </c>
      <c r="Y290" s="12">
        <v>0.56462326072027491</v>
      </c>
      <c r="Z290" s="12">
        <v>0.56555248307644368</v>
      </c>
      <c r="AA290" s="12">
        <v>0.56648323468981299</v>
      </c>
      <c r="AB290" s="12">
        <v>0.56741551807714108</v>
      </c>
      <c r="AC290" s="12">
        <v>0.56834933575932756</v>
      </c>
      <c r="AD290" s="12">
        <v>0.56928469026142059</v>
      </c>
      <c r="AE290" s="12">
        <v>0.57022158411262425</v>
      </c>
      <c r="AF290" s="12">
        <v>0.57116001984630527</v>
      </c>
      <c r="AG290" s="12">
        <v>0.57209999999999905</v>
      </c>
    </row>
    <row r="291" spans="1:33" ht="15" hidden="1" thickBot="1" x14ac:dyDescent="0.4">
      <c r="A291" s="151"/>
      <c r="B291" s="53" t="s">
        <v>35</v>
      </c>
      <c r="C291" s="46"/>
      <c r="D291" s="80" t="e">
        <f t="shared" ref="D291" si="1599">D289*T291</f>
        <v>#REF!</v>
      </c>
      <c r="E291" s="80" t="e">
        <f t="shared" ref="E291" si="1600">E289*U291</f>
        <v>#REF!</v>
      </c>
      <c r="F291" s="80" t="e">
        <f t="shared" ref="F291" si="1601">F289*V291</f>
        <v>#REF!</v>
      </c>
      <c r="G291" s="80" t="e">
        <f t="shared" ref="G291" si="1602">G289*W291</f>
        <v>#REF!</v>
      </c>
      <c r="H291" s="80" t="e">
        <f t="shared" ref="H291" si="1603">H289*X291</f>
        <v>#REF!</v>
      </c>
      <c r="I291" s="80" t="e">
        <f t="shared" ref="I291" si="1604">I289*Y291</f>
        <v>#REF!</v>
      </c>
      <c r="J291" s="80" t="e">
        <f t="shared" ref="J291" si="1605">J289*Z291</f>
        <v>#REF!</v>
      </c>
      <c r="K291" s="80" t="e">
        <f t="shared" ref="K291" si="1606">K289*AA291</f>
        <v>#REF!</v>
      </c>
      <c r="L291" s="80" t="e">
        <f t="shared" ref="L291" si="1607">L289*AB291</f>
        <v>#REF!</v>
      </c>
      <c r="M291" s="80" t="e">
        <f t="shared" ref="M291" si="1608">M289*AC291</f>
        <v>#REF!</v>
      </c>
      <c r="N291" s="80" t="e">
        <f t="shared" ref="N291" si="1609">N289*AD291</f>
        <v>#REF!</v>
      </c>
      <c r="O291" s="80" t="e">
        <f t="shared" ref="O291" si="1610">O289*AE291</f>
        <v>#REF!</v>
      </c>
      <c r="P291" s="80" t="e">
        <f t="shared" ref="P291" si="1611">P289*AF291</f>
        <v>#REF!</v>
      </c>
      <c r="Q291" s="80" t="e">
        <f t="shared" ref="Q291" si="1612">Q289*AG291</f>
        <v>#REF!</v>
      </c>
      <c r="R291" s="78" t="e">
        <f>RATE(12,,-E291,Q291)</f>
        <v>#REF!</v>
      </c>
      <c r="S291" s="53"/>
      <c r="T291" s="12">
        <f>1-T290</f>
        <v>0.43999999999999995</v>
      </c>
      <c r="U291" s="12">
        <f t="shared" ref="U291:AG291" si="1613">1-U290</f>
        <v>0.43907838632296048</v>
      </c>
      <c r="V291" s="12">
        <f t="shared" si="1613"/>
        <v>0.43815525591061777</v>
      </c>
      <c r="W291" s="12">
        <f t="shared" si="1613"/>
        <v>0.43723060626682231</v>
      </c>
      <c r="X291" s="12">
        <f t="shared" si="1613"/>
        <v>0.43630443489131554</v>
      </c>
      <c r="Y291" s="12">
        <f t="shared" si="1613"/>
        <v>0.43537673927972509</v>
      </c>
      <c r="Z291" s="12">
        <f t="shared" si="1613"/>
        <v>0.43444751692355632</v>
      </c>
      <c r="AA291" s="12">
        <f t="shared" si="1613"/>
        <v>0.43351676531018701</v>
      </c>
      <c r="AB291" s="12">
        <f t="shared" si="1613"/>
        <v>0.43258448192285892</v>
      </c>
      <c r="AC291" s="12">
        <f t="shared" si="1613"/>
        <v>0.43165066424067244</v>
      </c>
      <c r="AD291" s="12">
        <f t="shared" si="1613"/>
        <v>0.43071530973857941</v>
      </c>
      <c r="AE291" s="12">
        <f t="shared" si="1613"/>
        <v>0.42977841588737575</v>
      </c>
      <c r="AF291" s="12">
        <f t="shared" si="1613"/>
        <v>0.42883998015369473</v>
      </c>
      <c r="AG291" s="12">
        <f t="shared" si="1613"/>
        <v>0.42790000000000095</v>
      </c>
    </row>
    <row r="292" spans="1:33" ht="15" hidden="1" thickBot="1" x14ac:dyDescent="0.4">
      <c r="A292" s="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21"/>
    </row>
    <row r="293" spans="1:33" ht="15" hidden="1" thickBot="1" x14ac:dyDescent="0.4">
      <c r="A293" s="150" t="s">
        <v>15</v>
      </c>
      <c r="B293" s="57" t="s">
        <v>16</v>
      </c>
      <c r="C293" s="47"/>
      <c r="D293" s="82" t="e">
        <f t="shared" ref="D293" si="1614">D289*T293</f>
        <v>#REF!</v>
      </c>
      <c r="E293" s="82" t="e">
        <f t="shared" ref="E293" si="1615">E289*U293</f>
        <v>#REF!</v>
      </c>
      <c r="F293" s="82" t="e">
        <f t="shared" ref="F293" si="1616">F289*V293</f>
        <v>#REF!</v>
      </c>
      <c r="G293" s="82" t="e">
        <f t="shared" ref="G293" si="1617">G289*W293</f>
        <v>#REF!</v>
      </c>
      <c r="H293" s="82" t="e">
        <f t="shared" ref="H293" si="1618">H289*X293</f>
        <v>#REF!</v>
      </c>
      <c r="I293" s="82" t="e">
        <f t="shared" ref="I293" si="1619">I289*Y293</f>
        <v>#REF!</v>
      </c>
      <c r="J293" s="82" t="e">
        <f t="shared" ref="J293" si="1620">J289*Z293</f>
        <v>#REF!</v>
      </c>
      <c r="K293" s="82" t="e">
        <f t="shared" ref="K293" si="1621">K289*AA293</f>
        <v>#REF!</v>
      </c>
      <c r="L293" s="82" t="e">
        <f t="shared" ref="L293" si="1622">L289*AB293</f>
        <v>#REF!</v>
      </c>
      <c r="M293" s="82" t="e">
        <f t="shared" ref="M293" si="1623">M289*AC293</f>
        <v>#REF!</v>
      </c>
      <c r="N293" s="82" t="e">
        <f t="shared" ref="N293" si="1624">N289*AD293</f>
        <v>#REF!</v>
      </c>
      <c r="O293" s="82" t="e">
        <f t="shared" ref="O293" si="1625">O289*AE293</f>
        <v>#REF!</v>
      </c>
      <c r="P293" s="82" t="e">
        <f t="shared" ref="P293" si="1626">P289*AF293</f>
        <v>#REF!</v>
      </c>
      <c r="Q293" s="82" t="e">
        <f t="shared" ref="Q293" si="1627">Q289*AG293</f>
        <v>#REF!</v>
      </c>
      <c r="R293" s="69" t="e">
        <f>RATE(12,,-E293,Q293)</f>
        <v>#REF!</v>
      </c>
      <c r="S293" s="57"/>
      <c r="T293" s="12">
        <v>0.47099999999999992</v>
      </c>
      <c r="U293" s="12">
        <v>0.47038461538461535</v>
      </c>
      <c r="V293" s="12">
        <v>0.46976923076923072</v>
      </c>
      <c r="W293" s="12">
        <v>0.46915384615384609</v>
      </c>
      <c r="X293" s="12">
        <v>0.46853846153846151</v>
      </c>
      <c r="Y293" s="12">
        <v>0.46792307692307689</v>
      </c>
      <c r="Z293" s="12">
        <v>0.46730769230769226</v>
      </c>
      <c r="AA293" s="12">
        <v>0.46669230769230763</v>
      </c>
      <c r="AB293" s="12">
        <v>0.46607692307692306</v>
      </c>
      <c r="AC293" s="12">
        <v>0.46546153846153843</v>
      </c>
      <c r="AD293" s="12">
        <v>0.4648461538461538</v>
      </c>
      <c r="AE293" s="12">
        <v>0.46423076923076922</v>
      </c>
      <c r="AF293" s="12">
        <v>0.4636153846153846</v>
      </c>
      <c r="AG293" s="12">
        <v>0.46299999999999997</v>
      </c>
    </row>
    <row r="294" spans="1:33" ht="15" hidden="1" thickBot="1" x14ac:dyDescent="0.4">
      <c r="A294" s="151"/>
      <c r="B294" s="58" t="s">
        <v>17</v>
      </c>
      <c r="C294" s="48"/>
      <c r="D294" s="83" t="e">
        <f t="shared" ref="D294" si="1628">D289*T294</f>
        <v>#REF!</v>
      </c>
      <c r="E294" s="83" t="e">
        <f t="shared" ref="E294" si="1629">E289*U294</f>
        <v>#REF!</v>
      </c>
      <c r="F294" s="83" t="e">
        <f t="shared" ref="F294" si="1630">F289*V294</f>
        <v>#REF!</v>
      </c>
      <c r="G294" s="83" t="e">
        <f t="shared" ref="G294" si="1631">G289*W294</f>
        <v>#REF!</v>
      </c>
      <c r="H294" s="83" t="e">
        <f t="shared" ref="H294" si="1632">H289*X294</f>
        <v>#REF!</v>
      </c>
      <c r="I294" s="83" t="e">
        <f t="shared" ref="I294" si="1633">I289*Y294</f>
        <v>#REF!</v>
      </c>
      <c r="J294" s="83" t="e">
        <f t="shared" ref="J294" si="1634">J289*Z294</f>
        <v>#REF!</v>
      </c>
      <c r="K294" s="83" t="e">
        <f t="shared" ref="K294" si="1635">K289*AA294</f>
        <v>#REF!</v>
      </c>
      <c r="L294" s="83" t="e">
        <f t="shared" ref="L294" si="1636">L289*AB294</f>
        <v>#REF!</v>
      </c>
      <c r="M294" s="83" t="e">
        <f t="shared" ref="M294" si="1637">M289*AC294</f>
        <v>#REF!</v>
      </c>
      <c r="N294" s="83" t="e">
        <f t="shared" ref="N294" si="1638">N289*AD294</f>
        <v>#REF!</v>
      </c>
      <c r="O294" s="83" t="e">
        <f t="shared" ref="O294" si="1639">O289*AE294</f>
        <v>#REF!</v>
      </c>
      <c r="P294" s="83" t="e">
        <f t="shared" ref="P294" si="1640">P289*AF294</f>
        <v>#REF!</v>
      </c>
      <c r="Q294" s="83" t="e">
        <f t="shared" ref="Q294" si="1641">Q289*AG294</f>
        <v>#REF!</v>
      </c>
      <c r="R294" s="70" t="e">
        <f>RATE(12,,-E294,Q294)</f>
        <v>#REF!</v>
      </c>
      <c r="S294" s="58"/>
      <c r="T294" s="12">
        <f>1-T293</f>
        <v>0.52900000000000014</v>
      </c>
      <c r="U294" s="12">
        <f t="shared" ref="U294:AG294" si="1642">1-U293</f>
        <v>0.5296153846153846</v>
      </c>
      <c r="V294" s="12">
        <f t="shared" si="1642"/>
        <v>0.53023076923076928</v>
      </c>
      <c r="W294" s="12">
        <f t="shared" si="1642"/>
        <v>0.53084615384615397</v>
      </c>
      <c r="X294" s="12">
        <f t="shared" si="1642"/>
        <v>0.53146153846153843</v>
      </c>
      <c r="Y294" s="12">
        <f t="shared" si="1642"/>
        <v>0.53207692307692311</v>
      </c>
      <c r="Z294" s="12">
        <f t="shared" si="1642"/>
        <v>0.5326923076923078</v>
      </c>
      <c r="AA294" s="12">
        <f t="shared" si="1642"/>
        <v>0.53330769230769237</v>
      </c>
      <c r="AB294" s="12">
        <f t="shared" si="1642"/>
        <v>0.53392307692307694</v>
      </c>
      <c r="AC294" s="12">
        <f t="shared" si="1642"/>
        <v>0.53453846153846163</v>
      </c>
      <c r="AD294" s="12">
        <f t="shared" si="1642"/>
        <v>0.5351538461538462</v>
      </c>
      <c r="AE294" s="12">
        <f t="shared" si="1642"/>
        <v>0.53576923076923078</v>
      </c>
      <c r="AF294" s="12">
        <f t="shared" si="1642"/>
        <v>0.53638461538461546</v>
      </c>
      <c r="AG294" s="12">
        <f t="shared" si="1642"/>
        <v>0.53700000000000003</v>
      </c>
    </row>
    <row r="295" spans="1:33" ht="15" hidden="1" thickBot="1" x14ac:dyDescent="0.4">
      <c r="A295" s="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21"/>
    </row>
    <row r="296" spans="1:33" ht="15" hidden="1" thickBot="1" x14ac:dyDescent="0.4">
      <c r="A296" s="150" t="s">
        <v>18</v>
      </c>
      <c r="B296" s="54" t="s">
        <v>19</v>
      </c>
      <c r="C296" s="49"/>
      <c r="D296" s="84" t="e">
        <f t="shared" ref="D296" si="1643">D289*T296</f>
        <v>#REF!</v>
      </c>
      <c r="E296" s="84" t="e">
        <f t="shared" ref="E296" si="1644">E289*U296</f>
        <v>#REF!</v>
      </c>
      <c r="F296" s="84" t="e">
        <f t="shared" ref="F296" si="1645">F289*V296</f>
        <v>#REF!</v>
      </c>
      <c r="G296" s="84" t="e">
        <f t="shared" ref="G296" si="1646">G289*W296</f>
        <v>#REF!</v>
      </c>
      <c r="H296" s="84" t="e">
        <f t="shared" ref="H296" si="1647">H289*X296</f>
        <v>#REF!</v>
      </c>
      <c r="I296" s="84" t="e">
        <f t="shared" ref="I296" si="1648">I289*Y296</f>
        <v>#REF!</v>
      </c>
      <c r="J296" s="84" t="e">
        <f t="shared" ref="J296" si="1649">J289*Z296</f>
        <v>#REF!</v>
      </c>
      <c r="K296" s="84" t="e">
        <f t="shared" ref="K296" si="1650">K289*AA296</f>
        <v>#REF!</v>
      </c>
      <c r="L296" s="84" t="e">
        <f t="shared" ref="L296" si="1651">L289*AB296</f>
        <v>#REF!</v>
      </c>
      <c r="M296" s="84" t="e">
        <f t="shared" ref="M296" si="1652">M289*AC296</f>
        <v>#REF!</v>
      </c>
      <c r="N296" s="84" t="e">
        <f t="shared" ref="N296" si="1653">N289*AD296</f>
        <v>#REF!</v>
      </c>
      <c r="O296" s="84" t="e">
        <f t="shared" ref="O296" si="1654">O289*AE296</f>
        <v>#REF!</v>
      </c>
      <c r="P296" s="84" t="e">
        <f t="shared" ref="P296" si="1655">P289*AF296</f>
        <v>#REF!</v>
      </c>
      <c r="Q296" s="84" t="e">
        <f t="shared" ref="Q296" si="1656">Q289*AG296</f>
        <v>#REF!</v>
      </c>
      <c r="R296" s="71" t="e">
        <f>RATE(12,,-E296,Q296)</f>
        <v>#REF!</v>
      </c>
      <c r="S296" s="54"/>
      <c r="T296" s="12">
        <v>0.40099999999999997</v>
      </c>
      <c r="U296" s="12">
        <v>0.40265090533119946</v>
      </c>
      <c r="V296" s="12">
        <v>0.40430860739160734</v>
      </c>
      <c r="W296" s="12">
        <v>0.40597313416316017</v>
      </c>
      <c r="X296" s="12">
        <v>0.40764451374299493</v>
      </c>
      <c r="Y296" s="12">
        <v>0.40932277434392395</v>
      </c>
      <c r="Z296" s="12">
        <v>0.41100794429491083</v>
      </c>
      <c r="AA296" s="12">
        <v>0.4127000520415488</v>
      </c>
      <c r="AB296" s="12">
        <v>0.41439912614654062</v>
      </c>
      <c r="AC296" s="12">
        <v>0.41610519529018092</v>
      </c>
      <c r="AD296" s="12">
        <v>0.41781828827084017</v>
      </c>
      <c r="AE296" s="12">
        <v>0.4195384340054511</v>
      </c>
      <c r="AF296" s="12">
        <v>0.4212656615299965</v>
      </c>
      <c r="AG296" s="12">
        <v>0.42299999999999938</v>
      </c>
    </row>
    <row r="297" spans="1:33" ht="15" hidden="1" thickBot="1" x14ac:dyDescent="0.4">
      <c r="A297" s="151"/>
      <c r="B297" s="56" t="s">
        <v>20</v>
      </c>
      <c r="C297" s="44"/>
      <c r="D297" s="85" t="e">
        <f t="shared" ref="D297" si="1657">D289*T297</f>
        <v>#REF!</v>
      </c>
      <c r="E297" s="85" t="e">
        <f t="shared" ref="E297" si="1658">E289*U297</f>
        <v>#REF!</v>
      </c>
      <c r="F297" s="85" t="e">
        <f t="shared" ref="F297" si="1659">F289*V297</f>
        <v>#REF!</v>
      </c>
      <c r="G297" s="85" t="e">
        <f t="shared" ref="G297" si="1660">G289*W297</f>
        <v>#REF!</v>
      </c>
      <c r="H297" s="85" t="e">
        <f t="shared" ref="H297" si="1661">H289*X297</f>
        <v>#REF!</v>
      </c>
      <c r="I297" s="85" t="e">
        <f t="shared" ref="I297" si="1662">I289*Y297</f>
        <v>#REF!</v>
      </c>
      <c r="J297" s="85" t="e">
        <f t="shared" ref="J297" si="1663">J289*Z297</f>
        <v>#REF!</v>
      </c>
      <c r="K297" s="85" t="e">
        <f t="shared" ref="K297" si="1664">K289*AA297</f>
        <v>#REF!</v>
      </c>
      <c r="L297" s="85" t="e">
        <f t="shared" ref="L297" si="1665">L289*AB297</f>
        <v>#REF!</v>
      </c>
      <c r="M297" s="85" t="e">
        <f t="shared" ref="M297" si="1666">M289*AC297</f>
        <v>#REF!</v>
      </c>
      <c r="N297" s="85" t="e">
        <f t="shared" ref="N297" si="1667">N289*AD297</f>
        <v>#REF!</v>
      </c>
      <c r="O297" s="85" t="e">
        <f t="shared" ref="O297" si="1668">O289*AE297</f>
        <v>#REF!</v>
      </c>
      <c r="P297" s="85" t="e">
        <f t="shared" ref="P297" si="1669">P289*AF297</f>
        <v>#REF!</v>
      </c>
      <c r="Q297" s="85" t="e">
        <f t="shared" ref="Q297" si="1670">Q289*AG297</f>
        <v>#REF!</v>
      </c>
      <c r="R297" s="72" t="e">
        <f>RATE(12,,-E297,Q297)</f>
        <v>#REF!</v>
      </c>
      <c r="S297" s="56"/>
      <c r="T297" s="12">
        <f>1-T296</f>
        <v>0.59899999999999998</v>
      </c>
      <c r="U297" s="12">
        <f t="shared" ref="U297:AG297" si="1671">1-U296</f>
        <v>0.59734909466880048</v>
      </c>
      <c r="V297" s="12">
        <f t="shared" si="1671"/>
        <v>0.59569139260839266</v>
      </c>
      <c r="W297" s="12">
        <f t="shared" si="1671"/>
        <v>0.59402686583683983</v>
      </c>
      <c r="X297" s="12">
        <f t="shared" si="1671"/>
        <v>0.59235548625700507</v>
      </c>
      <c r="Y297" s="12">
        <f t="shared" si="1671"/>
        <v>0.59067722565607605</v>
      </c>
      <c r="Z297" s="12">
        <f t="shared" si="1671"/>
        <v>0.58899205570508917</v>
      </c>
      <c r="AA297" s="12">
        <f t="shared" si="1671"/>
        <v>0.5872999479584512</v>
      </c>
      <c r="AB297" s="12">
        <f t="shared" si="1671"/>
        <v>0.58560087385345938</v>
      </c>
      <c r="AC297" s="12">
        <f t="shared" si="1671"/>
        <v>0.58389480470981914</v>
      </c>
      <c r="AD297" s="12">
        <f t="shared" si="1671"/>
        <v>0.58218171172915989</v>
      </c>
      <c r="AE297" s="12">
        <f t="shared" si="1671"/>
        <v>0.5804615659945489</v>
      </c>
      <c r="AF297" s="12">
        <f t="shared" si="1671"/>
        <v>0.57873433847000344</v>
      </c>
      <c r="AG297" s="12">
        <f t="shared" si="1671"/>
        <v>0.57700000000000062</v>
      </c>
    </row>
    <row r="298" spans="1:33" ht="15" hidden="1" thickBot="1" x14ac:dyDescent="0.4">
      <c r="A298" s="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21"/>
    </row>
    <row r="299" spans="1:33" ht="15" hidden="1" thickBot="1" x14ac:dyDescent="0.4">
      <c r="A299" s="150" t="s">
        <v>14</v>
      </c>
      <c r="B299" s="59" t="s">
        <v>21</v>
      </c>
      <c r="C299" s="50"/>
      <c r="D299" s="86" t="e">
        <f t="shared" ref="D299" si="1672">D289*T299</f>
        <v>#REF!</v>
      </c>
      <c r="E299" s="86" t="e">
        <f t="shared" ref="E299" si="1673">E289*U299</f>
        <v>#REF!</v>
      </c>
      <c r="F299" s="86" t="e">
        <f t="shared" ref="F299" si="1674">F289*V299</f>
        <v>#REF!</v>
      </c>
      <c r="G299" s="86" t="e">
        <f t="shared" ref="G299" si="1675">G289*W299</f>
        <v>#REF!</v>
      </c>
      <c r="H299" s="86" t="e">
        <f t="shared" ref="H299" si="1676">H289*X299</f>
        <v>#REF!</v>
      </c>
      <c r="I299" s="86" t="e">
        <f t="shared" ref="I299" si="1677">I289*Y299</f>
        <v>#REF!</v>
      </c>
      <c r="J299" s="86" t="e">
        <f t="shared" ref="J299" si="1678">J289*Z299</f>
        <v>#REF!</v>
      </c>
      <c r="K299" s="86" t="e">
        <f t="shared" ref="K299" si="1679">K289*AA299</f>
        <v>#REF!</v>
      </c>
      <c r="L299" s="86" t="e">
        <f t="shared" ref="L299" si="1680">L289*AB299</f>
        <v>#REF!</v>
      </c>
      <c r="M299" s="86" t="e">
        <f t="shared" ref="M299" si="1681">M289*AC299</f>
        <v>#REF!</v>
      </c>
      <c r="N299" s="86" t="e">
        <f t="shared" ref="N299" si="1682">N289*AD299</f>
        <v>#REF!</v>
      </c>
      <c r="O299" s="86" t="e">
        <f t="shared" ref="O299" si="1683">O289*AE299</f>
        <v>#REF!</v>
      </c>
      <c r="P299" s="86" t="e">
        <f t="shared" ref="P299" si="1684">P289*AF299</f>
        <v>#REF!</v>
      </c>
      <c r="Q299" s="86" t="e">
        <f t="shared" ref="Q299" si="1685">Q289*AG299</f>
        <v>#REF!</v>
      </c>
      <c r="R299" s="73" t="e">
        <f t="shared" ref="R299:R304" si="1686">RATE(12,,-E299,Q299)</f>
        <v>#REF!</v>
      </c>
      <c r="S299" s="59"/>
      <c r="T299" s="12">
        <v>0.25</v>
      </c>
      <c r="U299" s="12">
        <v>0.25155593539307364</v>
      </c>
      <c r="V299" s="12">
        <v>0.25312155452593693</v>
      </c>
      <c r="W299" s="12">
        <v>0.25469691766768382</v>
      </c>
      <c r="X299" s="12">
        <v>0.25628208546250747</v>
      </c>
      <c r="Y299" s="12">
        <v>0.2578771189320348</v>
      </c>
      <c r="Z299" s="12">
        <v>0.25948207947767565</v>
      </c>
      <c r="AA299" s="12">
        <v>0.2610970288829863</v>
      </c>
      <c r="AB299" s="12">
        <v>0.26272202931604799</v>
      </c>
      <c r="AC299" s="12">
        <v>0.26435714333185978</v>
      </c>
      <c r="AD299" s="12">
        <v>0.26600243387474731</v>
      </c>
      <c r="AE299" s="12">
        <v>0.26765796428078514</v>
      </c>
      <c r="AF299" s="12">
        <v>0.26932379828023517</v>
      </c>
      <c r="AG299" s="12">
        <v>0.27100000000000013</v>
      </c>
    </row>
    <row r="300" spans="1:33" ht="15" hidden="1" thickBot="1" x14ac:dyDescent="0.4">
      <c r="A300" s="155"/>
      <c r="B300" s="60" t="s">
        <v>22</v>
      </c>
      <c r="C300" s="41"/>
      <c r="D300" s="87" t="e">
        <f t="shared" ref="D300" si="1687">D289*T300</f>
        <v>#REF!</v>
      </c>
      <c r="E300" s="87" t="e">
        <f t="shared" ref="E300" si="1688">E289*U300</f>
        <v>#REF!</v>
      </c>
      <c r="F300" s="87" t="e">
        <f t="shared" ref="F300" si="1689">F289*V300</f>
        <v>#REF!</v>
      </c>
      <c r="G300" s="87" t="e">
        <f t="shared" ref="G300" si="1690">G289*W300</f>
        <v>#REF!</v>
      </c>
      <c r="H300" s="87" t="e">
        <f t="shared" ref="H300" si="1691">H289*X300</f>
        <v>#REF!</v>
      </c>
      <c r="I300" s="87" t="e">
        <f t="shared" ref="I300" si="1692">I289*Y300</f>
        <v>#REF!</v>
      </c>
      <c r="J300" s="87" t="e">
        <f t="shared" ref="J300" si="1693">J289*Z300</f>
        <v>#REF!</v>
      </c>
      <c r="K300" s="87" t="e">
        <f t="shared" ref="K300" si="1694">K289*AA300</f>
        <v>#REF!</v>
      </c>
      <c r="L300" s="87" t="e">
        <f t="shared" ref="L300" si="1695">L289*AB300</f>
        <v>#REF!</v>
      </c>
      <c r="M300" s="87" t="e">
        <f t="shared" ref="M300" si="1696">M289*AC300</f>
        <v>#REF!</v>
      </c>
      <c r="N300" s="87" t="e">
        <f t="shared" ref="N300" si="1697">N289*AD300</f>
        <v>#REF!</v>
      </c>
      <c r="O300" s="87" t="e">
        <f t="shared" ref="O300" si="1698">O289*AE300</f>
        <v>#REF!</v>
      </c>
      <c r="P300" s="87" t="e">
        <f t="shared" ref="P300" si="1699">P289*AF300</f>
        <v>#REF!</v>
      </c>
      <c r="Q300" s="87" t="e">
        <f t="shared" ref="Q300" si="1700">Q289*AG300</f>
        <v>#REF!</v>
      </c>
      <c r="R300" s="74" t="e">
        <f t="shared" si="1686"/>
        <v>#REF!</v>
      </c>
      <c r="S300" s="60"/>
      <c r="T300" s="12">
        <v>0.38</v>
      </c>
      <c r="U300" s="12">
        <v>0.38090988938047371</v>
      </c>
      <c r="V300" s="12">
        <v>0.38182195744169661</v>
      </c>
      <c r="W300" s="12">
        <v>0.38273620940040159</v>
      </c>
      <c r="X300" s="12">
        <v>0.38365265048581265</v>
      </c>
      <c r="Y300" s="12">
        <v>0.38457128593967477</v>
      </c>
      <c r="Z300" s="12">
        <v>0.38549212101628438</v>
      </c>
      <c r="AA300" s="12">
        <v>0.38641516098251855</v>
      </c>
      <c r="AB300" s="12">
        <v>0.38734041111786593</v>
      </c>
      <c r="AC300" s="12">
        <v>0.38826787671445667</v>
      </c>
      <c r="AD300" s="12">
        <v>0.38919756307709236</v>
      </c>
      <c r="AE300" s="12">
        <v>0.39012947552327681</v>
      </c>
      <c r="AF300" s="12">
        <v>0.3910636193832463</v>
      </c>
      <c r="AG300" s="12">
        <v>0.39200000000000002</v>
      </c>
    </row>
    <row r="301" spans="1:33" ht="15" hidden="1" thickBot="1" x14ac:dyDescent="0.4">
      <c r="A301" s="155"/>
      <c r="B301" s="61" t="s">
        <v>23</v>
      </c>
      <c r="C301" s="41"/>
      <c r="D301" s="88" t="e">
        <f t="shared" ref="D301" si="1701">D300*T301</f>
        <v>#REF!</v>
      </c>
      <c r="E301" s="88" t="e">
        <f t="shared" ref="E301" si="1702">E300*U301</f>
        <v>#REF!</v>
      </c>
      <c r="F301" s="88" t="e">
        <f t="shared" ref="F301" si="1703">F300*V301</f>
        <v>#REF!</v>
      </c>
      <c r="G301" s="88" t="e">
        <f t="shared" ref="G301" si="1704">G300*W301</f>
        <v>#REF!</v>
      </c>
      <c r="H301" s="88" t="e">
        <f t="shared" ref="H301" si="1705">H300*X301</f>
        <v>#REF!</v>
      </c>
      <c r="I301" s="88" t="e">
        <f t="shared" ref="I301" si="1706">I300*Y301</f>
        <v>#REF!</v>
      </c>
      <c r="J301" s="88" t="e">
        <f t="shared" ref="J301" si="1707">J300*Z301</f>
        <v>#REF!</v>
      </c>
      <c r="K301" s="88" t="e">
        <f t="shared" ref="K301" si="1708">K300*AA301</f>
        <v>#REF!</v>
      </c>
      <c r="L301" s="88" t="e">
        <f t="shared" ref="L301" si="1709">L300*AB301</f>
        <v>#REF!</v>
      </c>
      <c r="M301" s="88" t="e">
        <f t="shared" ref="M301" si="1710">M300*AC301</f>
        <v>#REF!</v>
      </c>
      <c r="N301" s="88" t="e">
        <f t="shared" ref="N301" si="1711">N300*AD301</f>
        <v>#REF!</v>
      </c>
      <c r="O301" s="88" t="e">
        <f t="shared" ref="O301" si="1712">O300*AE301</f>
        <v>#REF!</v>
      </c>
      <c r="P301" s="88" t="e">
        <f t="shared" ref="P301" si="1713">P300*AF301</f>
        <v>#REF!</v>
      </c>
      <c r="Q301" s="88" t="e">
        <f t="shared" ref="Q301" si="1714">Q300*AG301</f>
        <v>#REF!</v>
      </c>
      <c r="R301" s="74" t="e">
        <f t="shared" si="1686"/>
        <v>#REF!</v>
      </c>
      <c r="S301" s="61"/>
      <c r="T301" s="67">
        <v>0.34999999999999987</v>
      </c>
      <c r="U301" s="67">
        <v>0.34938588387166564</v>
      </c>
      <c r="V301" s="67">
        <v>0.34877284528224306</v>
      </c>
      <c r="W301" s="67">
        <v>0.34816088234106346</v>
      </c>
      <c r="X301" s="67">
        <v>0.34754999316077562</v>
      </c>
      <c r="Y301" s="67">
        <v>0.34694017585733994</v>
      </c>
      <c r="Z301" s="67">
        <v>0.34633142855002247</v>
      </c>
      <c r="AA301" s="67">
        <v>0.34572374936138933</v>
      </c>
      <c r="AB301" s="67">
        <v>0.34511713641730069</v>
      </c>
      <c r="AC301" s="67">
        <v>0.34451158784690528</v>
      </c>
      <c r="AD301" s="67">
        <v>0.34390710178263434</v>
      </c>
      <c r="AE301" s="67">
        <v>0.34330367636019604</v>
      </c>
      <c r="AF301" s="67">
        <v>0.34270130971856966</v>
      </c>
      <c r="AG301" s="67">
        <v>0.34209999999999979</v>
      </c>
    </row>
    <row r="302" spans="1:33" ht="15" hidden="1" thickBot="1" x14ac:dyDescent="0.4">
      <c r="A302" s="155"/>
      <c r="B302" s="61" t="s">
        <v>24</v>
      </c>
      <c r="C302" s="41"/>
      <c r="D302" s="88" t="e">
        <f t="shared" ref="D302" si="1715">D300*T302</f>
        <v>#REF!</v>
      </c>
      <c r="E302" s="88" t="e">
        <f t="shared" ref="E302" si="1716">E300*U302</f>
        <v>#REF!</v>
      </c>
      <c r="F302" s="88" t="e">
        <f t="shared" ref="F302" si="1717">F300*V302</f>
        <v>#REF!</v>
      </c>
      <c r="G302" s="88" t="e">
        <f t="shared" ref="G302" si="1718">G300*W302</f>
        <v>#REF!</v>
      </c>
      <c r="H302" s="88" t="e">
        <f t="shared" ref="H302" si="1719">H300*X302</f>
        <v>#REF!</v>
      </c>
      <c r="I302" s="88" t="e">
        <f t="shared" ref="I302" si="1720">I300*Y302</f>
        <v>#REF!</v>
      </c>
      <c r="J302" s="88" t="e">
        <f t="shared" ref="J302" si="1721">J300*Z302</f>
        <v>#REF!</v>
      </c>
      <c r="K302" s="88" t="e">
        <f t="shared" ref="K302" si="1722">K300*AA302</f>
        <v>#REF!</v>
      </c>
      <c r="L302" s="88" t="e">
        <f t="shared" ref="L302" si="1723">L300*AB302</f>
        <v>#REF!</v>
      </c>
      <c r="M302" s="88" t="e">
        <f t="shared" ref="M302" si="1724">M300*AC302</f>
        <v>#REF!</v>
      </c>
      <c r="N302" s="88" t="e">
        <f t="shared" ref="N302" si="1725">N300*AD302</f>
        <v>#REF!</v>
      </c>
      <c r="O302" s="88" t="e">
        <f t="shared" ref="O302" si="1726">O300*AE302</f>
        <v>#REF!</v>
      </c>
      <c r="P302" s="88" t="e">
        <f t="shared" ref="P302" si="1727">P300*AF302</f>
        <v>#REF!</v>
      </c>
      <c r="Q302" s="88" t="e">
        <f t="shared" ref="Q302" si="1728">Q300*AG302</f>
        <v>#REF!</v>
      </c>
      <c r="R302" s="74" t="e">
        <f t="shared" si="1686"/>
        <v>#REF!</v>
      </c>
      <c r="S302" s="61"/>
      <c r="T302" s="67">
        <v>0.28000000000000003</v>
      </c>
      <c r="U302" s="67">
        <v>0.28097918830490543</v>
      </c>
      <c r="V302" s="67">
        <v>0.28196180093029821</v>
      </c>
      <c r="W302" s="67">
        <v>0.28294784985137333</v>
      </c>
      <c r="X302" s="67">
        <v>0.28393734708520407</v>
      </c>
      <c r="Y302" s="67">
        <v>0.28493030469088876</v>
      </c>
      <c r="Z302" s="67">
        <v>0.28592673476969749</v>
      </c>
      <c r="AA302" s="67">
        <v>0.28692664946521995</v>
      </c>
      <c r="AB302" s="67">
        <v>0.28793006096351298</v>
      </c>
      <c r="AC302" s="67">
        <v>0.28893698149324931</v>
      </c>
      <c r="AD302" s="67">
        <v>0.28994742332586665</v>
      </c>
      <c r="AE302" s="67">
        <v>0.29096139877571725</v>
      </c>
      <c r="AF302" s="67">
        <v>0.29197892020021765</v>
      </c>
      <c r="AG302" s="67">
        <v>0.29299999999999965</v>
      </c>
    </row>
    <row r="303" spans="1:33" ht="15" hidden="1" thickBot="1" x14ac:dyDescent="0.4">
      <c r="A303" s="155"/>
      <c r="B303" s="61" t="s">
        <v>25</v>
      </c>
      <c r="C303" s="41"/>
      <c r="D303" s="88" t="e">
        <f t="shared" ref="D303" si="1729">D300*T303</f>
        <v>#REF!</v>
      </c>
      <c r="E303" s="88" t="e">
        <f t="shared" ref="E303" si="1730">E300*U303</f>
        <v>#REF!</v>
      </c>
      <c r="F303" s="88" t="e">
        <f t="shared" ref="F303" si="1731">F300*V303</f>
        <v>#REF!</v>
      </c>
      <c r="G303" s="88" t="e">
        <f t="shared" ref="G303" si="1732">G300*W303</f>
        <v>#REF!</v>
      </c>
      <c r="H303" s="88" t="e">
        <f t="shared" ref="H303" si="1733">H300*X303</f>
        <v>#REF!</v>
      </c>
      <c r="I303" s="88" t="e">
        <f t="shared" ref="I303" si="1734">I300*Y303</f>
        <v>#REF!</v>
      </c>
      <c r="J303" s="88" t="e">
        <f t="shared" ref="J303" si="1735">J300*Z303</f>
        <v>#REF!</v>
      </c>
      <c r="K303" s="88" t="e">
        <f t="shared" ref="K303" si="1736">K300*AA303</f>
        <v>#REF!</v>
      </c>
      <c r="L303" s="88" t="e">
        <f t="shared" ref="L303" si="1737">L300*AB303</f>
        <v>#REF!</v>
      </c>
      <c r="M303" s="88" t="e">
        <f t="shared" ref="M303" si="1738">M300*AC303</f>
        <v>#REF!</v>
      </c>
      <c r="N303" s="88" t="e">
        <f t="shared" ref="N303" si="1739">N300*AD303</f>
        <v>#REF!</v>
      </c>
      <c r="O303" s="88" t="e">
        <f t="shared" ref="O303" si="1740">O300*AE303</f>
        <v>#REF!</v>
      </c>
      <c r="P303" s="88" t="e">
        <f t="shared" ref="P303" si="1741">P300*AF303</f>
        <v>#REF!</v>
      </c>
      <c r="Q303" s="88" t="e">
        <f t="shared" ref="Q303" si="1742">Q300*AG303</f>
        <v>#REF!</v>
      </c>
      <c r="R303" s="74" t="e">
        <f t="shared" si="1686"/>
        <v>#REF!</v>
      </c>
      <c r="S303" s="61"/>
      <c r="T303" s="67">
        <f>1-SUM(T301:T302)</f>
        <v>0.37000000000000011</v>
      </c>
      <c r="U303" s="67">
        <f t="shared" ref="U303:AG303" si="1743">1-SUM(U301:U302)</f>
        <v>0.36963492782342899</v>
      </c>
      <c r="V303" s="67">
        <f t="shared" si="1743"/>
        <v>0.36926535378745873</v>
      </c>
      <c r="W303" s="67">
        <f t="shared" si="1743"/>
        <v>0.36889126780756321</v>
      </c>
      <c r="X303" s="67">
        <f t="shared" si="1743"/>
        <v>0.36851265975402026</v>
      </c>
      <c r="Y303" s="67">
        <f t="shared" si="1743"/>
        <v>0.3681295194517713</v>
      </c>
      <c r="Z303" s="67">
        <f t="shared" si="1743"/>
        <v>0.36774183668028004</v>
      </c>
      <c r="AA303" s="67">
        <f t="shared" si="1743"/>
        <v>0.36734960117339077</v>
      </c>
      <c r="AB303" s="67">
        <f t="shared" si="1743"/>
        <v>0.36695280261918639</v>
      </c>
      <c r="AC303" s="67">
        <f t="shared" si="1743"/>
        <v>0.36655143065984541</v>
      </c>
      <c r="AD303" s="67">
        <f t="shared" si="1743"/>
        <v>0.36614547489149896</v>
      </c>
      <c r="AE303" s="67">
        <f t="shared" si="1743"/>
        <v>0.36573492486408665</v>
      </c>
      <c r="AF303" s="67">
        <f t="shared" si="1743"/>
        <v>0.36531977008121275</v>
      </c>
      <c r="AG303" s="67">
        <f t="shared" si="1743"/>
        <v>0.36490000000000056</v>
      </c>
    </row>
    <row r="304" spans="1:33" ht="15" hidden="1" thickBot="1" x14ac:dyDescent="0.4">
      <c r="A304" s="151"/>
      <c r="B304" s="62" t="s">
        <v>26</v>
      </c>
      <c r="C304" s="51"/>
      <c r="D304" s="89" t="e">
        <f t="shared" ref="D304" si="1744">D289*T304</f>
        <v>#REF!</v>
      </c>
      <c r="E304" s="89" t="e">
        <f t="shared" ref="E304" si="1745">E289*U304</f>
        <v>#REF!</v>
      </c>
      <c r="F304" s="89" t="e">
        <f t="shared" ref="F304" si="1746">F289*V304</f>
        <v>#REF!</v>
      </c>
      <c r="G304" s="89" t="e">
        <f t="shared" ref="G304" si="1747">G289*W304</f>
        <v>#REF!</v>
      </c>
      <c r="H304" s="89" t="e">
        <f t="shared" ref="H304" si="1748">H289*X304</f>
        <v>#REF!</v>
      </c>
      <c r="I304" s="89" t="e">
        <f t="shared" ref="I304" si="1749">I289*Y304</f>
        <v>#REF!</v>
      </c>
      <c r="J304" s="89" t="e">
        <f t="shared" ref="J304" si="1750">J289*Z304</f>
        <v>#REF!</v>
      </c>
      <c r="K304" s="89" t="e">
        <f t="shared" ref="K304" si="1751">K289*AA304</f>
        <v>#REF!</v>
      </c>
      <c r="L304" s="89" t="e">
        <f t="shared" ref="L304" si="1752">L289*AB304</f>
        <v>#REF!</v>
      </c>
      <c r="M304" s="89" t="e">
        <f t="shared" ref="M304" si="1753">M289*AC304</f>
        <v>#REF!</v>
      </c>
      <c r="N304" s="89" t="e">
        <f t="shared" ref="N304" si="1754">N289*AD304</f>
        <v>#REF!</v>
      </c>
      <c r="O304" s="89" t="e">
        <f t="shared" ref="O304" si="1755">O289*AE304</f>
        <v>#REF!</v>
      </c>
      <c r="P304" s="89" t="e">
        <f t="shared" ref="P304" si="1756">P289*AF304</f>
        <v>#REF!</v>
      </c>
      <c r="Q304" s="89" t="e">
        <f t="shared" ref="Q304" si="1757">Q289*AG304</f>
        <v>#REF!</v>
      </c>
      <c r="R304" s="75" t="e">
        <f t="shared" si="1686"/>
        <v>#REF!</v>
      </c>
      <c r="S304" s="62"/>
      <c r="T304" s="12">
        <f>1-SUM(T299+T300)</f>
        <v>0.37</v>
      </c>
      <c r="U304" s="12">
        <f t="shared" ref="U304:AG304" si="1758">1-SUM(U299+U300)</f>
        <v>0.36753417522645271</v>
      </c>
      <c r="V304" s="12">
        <f t="shared" si="1758"/>
        <v>0.36505648803236646</v>
      </c>
      <c r="W304" s="12">
        <f t="shared" si="1758"/>
        <v>0.36256687293191459</v>
      </c>
      <c r="X304" s="12">
        <f t="shared" si="1758"/>
        <v>0.36006526405167993</v>
      </c>
      <c r="Y304" s="12">
        <f t="shared" si="1758"/>
        <v>0.35755159512829038</v>
      </c>
      <c r="Z304" s="12">
        <f t="shared" si="1758"/>
        <v>0.35502579950603996</v>
      </c>
      <c r="AA304" s="12">
        <f t="shared" si="1758"/>
        <v>0.35248781013449515</v>
      </c>
      <c r="AB304" s="12">
        <f t="shared" si="1758"/>
        <v>0.34993755956608608</v>
      </c>
      <c r="AC304" s="12">
        <f t="shared" si="1758"/>
        <v>0.3473749799536836</v>
      </c>
      <c r="AD304" s="12">
        <f t="shared" si="1758"/>
        <v>0.34480000304816039</v>
      </c>
      <c r="AE304" s="12">
        <f t="shared" si="1758"/>
        <v>0.34221256019593804</v>
      </c>
      <c r="AF304" s="12">
        <f t="shared" si="1758"/>
        <v>0.33961258233651859</v>
      </c>
      <c r="AG304" s="12">
        <f t="shared" si="1758"/>
        <v>0.33699999999999986</v>
      </c>
    </row>
    <row r="305" spans="1:33" ht="15" hidden="1" thickBot="1" x14ac:dyDescent="0.4">
      <c r="A305" s="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21"/>
    </row>
    <row r="306" spans="1:33" ht="15" hidden="1" thickBot="1" x14ac:dyDescent="0.4">
      <c r="A306" s="152" t="s">
        <v>27</v>
      </c>
      <c r="B306" s="54" t="s">
        <v>28</v>
      </c>
      <c r="C306" s="49"/>
      <c r="D306" s="84" t="e">
        <f t="shared" ref="D306" si="1759">D289*T306</f>
        <v>#REF!</v>
      </c>
      <c r="E306" s="84" t="e">
        <f t="shared" ref="E306" si="1760">E289*U306</f>
        <v>#REF!</v>
      </c>
      <c r="F306" s="84" t="e">
        <f t="shared" ref="F306" si="1761">F289*V306</f>
        <v>#REF!</v>
      </c>
      <c r="G306" s="84" t="e">
        <f t="shared" ref="G306" si="1762">G289*W306</f>
        <v>#REF!</v>
      </c>
      <c r="H306" s="84" t="e">
        <f t="shared" ref="H306" si="1763">H289*X306</f>
        <v>#REF!</v>
      </c>
      <c r="I306" s="84" t="e">
        <f t="shared" ref="I306" si="1764">I289*Y306</f>
        <v>#REF!</v>
      </c>
      <c r="J306" s="84" t="e">
        <f t="shared" ref="J306" si="1765">J289*Z306</f>
        <v>#REF!</v>
      </c>
      <c r="K306" s="84" t="e">
        <f t="shared" ref="K306" si="1766">K289*AA306</f>
        <v>#REF!</v>
      </c>
      <c r="L306" s="84" t="e">
        <f t="shared" ref="L306" si="1767">L289*AB306</f>
        <v>#REF!</v>
      </c>
      <c r="M306" s="84" t="e">
        <f t="shared" ref="M306" si="1768">M289*AC306</f>
        <v>#REF!</v>
      </c>
      <c r="N306" s="84" t="e">
        <f t="shared" ref="N306" si="1769">N289*AD306</f>
        <v>#REF!</v>
      </c>
      <c r="O306" s="84" t="e">
        <f t="shared" ref="O306" si="1770">O289*AE306</f>
        <v>#REF!</v>
      </c>
      <c r="P306" s="84" t="e">
        <f t="shared" ref="P306" si="1771">P289*AF306</f>
        <v>#REF!</v>
      </c>
      <c r="Q306" s="84" t="e">
        <f t="shared" ref="Q306" si="1772">Q289*AG306</f>
        <v>#REF!</v>
      </c>
      <c r="R306" s="71" t="e">
        <f>RATE(12,,-E306,Q306)</f>
        <v>#REF!</v>
      </c>
      <c r="S306" s="54"/>
      <c r="T306" s="12">
        <v>0.40099999999999997</v>
      </c>
      <c r="U306" s="12">
        <v>0.40265090533119946</v>
      </c>
      <c r="V306" s="12">
        <v>0.40430860739160734</v>
      </c>
      <c r="W306" s="12">
        <v>0.40597313416316017</v>
      </c>
      <c r="X306" s="12">
        <v>0.40764451374299493</v>
      </c>
      <c r="Y306" s="12">
        <v>0.40932277434392395</v>
      </c>
      <c r="Z306" s="12">
        <v>0.41100794429491083</v>
      </c>
      <c r="AA306" s="12">
        <v>0.4127000520415488</v>
      </c>
      <c r="AB306" s="12">
        <v>0.41439912614654062</v>
      </c>
      <c r="AC306" s="12">
        <v>0.41610519529018092</v>
      </c>
      <c r="AD306" s="12">
        <v>0.41781828827084017</v>
      </c>
      <c r="AE306" s="12">
        <v>0.4195384340054511</v>
      </c>
      <c r="AF306" s="12">
        <v>0.4212656615299965</v>
      </c>
      <c r="AG306" s="12">
        <v>0.42299999999999938</v>
      </c>
    </row>
    <row r="307" spans="1:33" ht="15" hidden="1" thickBot="1" x14ac:dyDescent="0.4">
      <c r="A307" s="154"/>
      <c r="B307" s="55" t="s">
        <v>29</v>
      </c>
      <c r="C307" s="40"/>
      <c r="D307" s="90" t="e">
        <f t="shared" ref="D307" si="1773">D289*T307</f>
        <v>#REF!</v>
      </c>
      <c r="E307" s="90" t="e">
        <f t="shared" ref="E307" si="1774">E289*U307</f>
        <v>#REF!</v>
      </c>
      <c r="F307" s="90" t="e">
        <f t="shared" ref="F307" si="1775">F289*V307</f>
        <v>#REF!</v>
      </c>
      <c r="G307" s="90" t="e">
        <f t="shared" ref="G307" si="1776">G289*W307</f>
        <v>#REF!</v>
      </c>
      <c r="H307" s="90" t="e">
        <f t="shared" ref="H307" si="1777">H289*X307</f>
        <v>#REF!</v>
      </c>
      <c r="I307" s="90" t="e">
        <f t="shared" ref="I307" si="1778">I289*Y307</f>
        <v>#REF!</v>
      </c>
      <c r="J307" s="90" t="e">
        <f t="shared" ref="J307" si="1779">J289*Z307</f>
        <v>#REF!</v>
      </c>
      <c r="K307" s="90" t="e">
        <f t="shared" ref="K307" si="1780">K289*AA307</f>
        <v>#REF!</v>
      </c>
      <c r="L307" s="90" t="e">
        <f t="shared" ref="L307" si="1781">L289*AB307</f>
        <v>#REF!</v>
      </c>
      <c r="M307" s="90" t="e">
        <f t="shared" ref="M307" si="1782">M289*AC307</f>
        <v>#REF!</v>
      </c>
      <c r="N307" s="90" t="e">
        <f t="shared" ref="N307" si="1783">N289*AD307</f>
        <v>#REF!</v>
      </c>
      <c r="O307" s="90" t="e">
        <f t="shared" ref="O307" si="1784">O289*AE307</f>
        <v>#REF!</v>
      </c>
      <c r="P307" s="90" t="e">
        <f t="shared" ref="P307" si="1785">P289*AF307</f>
        <v>#REF!</v>
      </c>
      <c r="Q307" s="90" t="e">
        <f t="shared" ref="Q307" si="1786">Q289*AG307</f>
        <v>#REF!</v>
      </c>
      <c r="R307" s="76" t="e">
        <f>RATE(12,,-E307,Q307)</f>
        <v>#REF!</v>
      </c>
      <c r="S307" s="55"/>
      <c r="T307" s="12">
        <v>0.43099999999999999</v>
      </c>
      <c r="U307" s="12">
        <v>0.43183634674261745</v>
      </c>
      <c r="V307" s="12">
        <v>0.43267431639909548</v>
      </c>
      <c r="W307" s="12">
        <v>0.43351391211866536</v>
      </c>
      <c r="X307" s="12">
        <v>0.43435513705666956</v>
      </c>
      <c r="Y307" s="12">
        <v>0.43519799437457324</v>
      </c>
      <c r="Z307" s="12">
        <v>0.43604248723997657</v>
      </c>
      <c r="AA307" s="12">
        <v>0.43688861882662616</v>
      </c>
      <c r="AB307" s="12">
        <v>0.43773639231442729</v>
      </c>
      <c r="AC307" s="12">
        <v>0.43858581088945586</v>
      </c>
      <c r="AD307" s="12">
        <v>0.43943687774397006</v>
      </c>
      <c r="AE307" s="12">
        <v>0.44028959607642287</v>
      </c>
      <c r="AF307" s="12">
        <v>0.44114396909147369</v>
      </c>
      <c r="AG307" s="12">
        <v>0.44200000000000028</v>
      </c>
    </row>
    <row r="308" spans="1:33" ht="15" hidden="1" thickBot="1" x14ac:dyDescent="0.4">
      <c r="A308" s="153"/>
      <c r="B308" s="56" t="s">
        <v>30</v>
      </c>
      <c r="C308" s="44"/>
      <c r="D308" s="85" t="e">
        <f t="shared" ref="D308" si="1787">D289*T308</f>
        <v>#REF!</v>
      </c>
      <c r="E308" s="85" t="e">
        <f t="shared" ref="E308" si="1788">E289*U308</f>
        <v>#REF!</v>
      </c>
      <c r="F308" s="85" t="e">
        <f t="shared" ref="F308" si="1789">F289*V308</f>
        <v>#REF!</v>
      </c>
      <c r="G308" s="85" t="e">
        <f t="shared" ref="G308" si="1790">G289*W308</f>
        <v>#REF!</v>
      </c>
      <c r="H308" s="85" t="e">
        <f t="shared" ref="H308" si="1791">H289*X308</f>
        <v>#REF!</v>
      </c>
      <c r="I308" s="85" t="e">
        <f t="shared" ref="I308" si="1792">I289*Y308</f>
        <v>#REF!</v>
      </c>
      <c r="J308" s="85" t="e">
        <f t="shared" ref="J308" si="1793">J289*Z308</f>
        <v>#REF!</v>
      </c>
      <c r="K308" s="85" t="e">
        <f t="shared" ref="K308" si="1794">K289*AA308</f>
        <v>#REF!</v>
      </c>
      <c r="L308" s="85" t="e">
        <f t="shared" ref="L308" si="1795">L289*AB308</f>
        <v>#REF!</v>
      </c>
      <c r="M308" s="85" t="e">
        <f t="shared" ref="M308" si="1796">M289*AC308</f>
        <v>#REF!</v>
      </c>
      <c r="N308" s="85" t="e">
        <f t="shared" ref="N308" si="1797">N289*AD308</f>
        <v>#REF!</v>
      </c>
      <c r="O308" s="85" t="e">
        <f t="shared" ref="O308" si="1798">O289*AE308</f>
        <v>#REF!</v>
      </c>
      <c r="P308" s="85" t="e">
        <f t="shared" ref="P308" si="1799">P289*AF308</f>
        <v>#REF!</v>
      </c>
      <c r="Q308" s="85" t="e">
        <f t="shared" ref="Q308" si="1800">Q289*AG308</f>
        <v>#REF!</v>
      </c>
      <c r="R308" s="72" t="e">
        <f>RATE(12,,-E308,Q308)</f>
        <v>#REF!</v>
      </c>
      <c r="S308" s="56"/>
      <c r="T308" s="12">
        <f>1-SUM(T306:T307)</f>
        <v>0.16800000000000004</v>
      </c>
      <c r="U308" s="12">
        <f t="shared" ref="U308:AG308" si="1801">1-SUM(U306:U307)</f>
        <v>0.16551274792618309</v>
      </c>
      <c r="V308" s="12">
        <f t="shared" si="1801"/>
        <v>0.16301707620929717</v>
      </c>
      <c r="W308" s="12">
        <f t="shared" si="1801"/>
        <v>0.16051295371817442</v>
      </c>
      <c r="X308" s="12">
        <f t="shared" si="1801"/>
        <v>0.15800034920033545</v>
      </c>
      <c r="Y308" s="12">
        <f t="shared" si="1801"/>
        <v>0.15547923128150276</v>
      </c>
      <c r="Z308" s="12">
        <f t="shared" si="1801"/>
        <v>0.15294956846511254</v>
      </c>
      <c r="AA308" s="12">
        <f t="shared" si="1801"/>
        <v>0.15041132913182498</v>
      </c>
      <c r="AB308" s="12">
        <f t="shared" si="1801"/>
        <v>0.14786448153903209</v>
      </c>
      <c r="AC308" s="12">
        <f t="shared" si="1801"/>
        <v>0.14530899382036322</v>
      </c>
      <c r="AD308" s="12">
        <f t="shared" si="1801"/>
        <v>0.14274483398518978</v>
      </c>
      <c r="AE308" s="12">
        <f t="shared" si="1801"/>
        <v>0.14017196991812608</v>
      </c>
      <c r="AF308" s="12">
        <f t="shared" si="1801"/>
        <v>0.13759036937852986</v>
      </c>
      <c r="AG308" s="12">
        <f t="shared" si="1801"/>
        <v>0.13500000000000034</v>
      </c>
    </row>
    <row r="309" spans="1:33" ht="15.5" x14ac:dyDescent="0.35">
      <c r="A309" s="42"/>
      <c r="B309" s="43"/>
      <c r="C309" s="93"/>
      <c r="D309" s="91">
        <v>2023</v>
      </c>
      <c r="E309" s="65">
        <v>2024</v>
      </c>
      <c r="F309" s="65">
        <v>2025</v>
      </c>
      <c r="G309" s="65">
        <v>2026</v>
      </c>
      <c r="H309" s="65">
        <v>2027</v>
      </c>
      <c r="I309" s="65">
        <v>2028</v>
      </c>
      <c r="J309" s="65">
        <v>2029</v>
      </c>
      <c r="K309" s="65">
        <v>2030</v>
      </c>
      <c r="L309" s="65">
        <v>2031</v>
      </c>
      <c r="M309" s="65">
        <v>2032</v>
      </c>
      <c r="N309" s="65">
        <v>2033</v>
      </c>
      <c r="O309" s="65">
        <v>2034</v>
      </c>
      <c r="P309" s="65">
        <v>2035</v>
      </c>
      <c r="Q309" s="65">
        <v>2036</v>
      </c>
      <c r="R309" s="66" t="s">
        <v>84</v>
      </c>
    </row>
    <row r="310" spans="1:33" ht="16" thickBot="1" x14ac:dyDescent="0.4">
      <c r="A310" s="1"/>
      <c r="C310" s="21"/>
      <c r="D310" s="92">
        <f>'Market Analysis '!C29</f>
        <v>49.14819</v>
      </c>
      <c r="E310" s="92">
        <f>'Market Analysis '!D29</f>
        <v>51.458154929999999</v>
      </c>
      <c r="F310" s="92">
        <f>'Market Analysis '!E29</f>
        <v>53.915281827907499</v>
      </c>
      <c r="G310" s="92">
        <f>'Market Analysis '!F29</f>
        <v>56.530172996561014</v>
      </c>
      <c r="H310" s="92">
        <f>'Market Analysis '!G29</f>
        <v>59.314284016641643</v>
      </c>
      <c r="I310" s="92">
        <f>'Market Analysis '!H29</f>
        <v>62.279998217473725</v>
      </c>
      <c r="J310" s="92">
        <f>'Market Analysis '!I29</f>
        <v>65.440708127010524</v>
      </c>
      <c r="K310" s="92">
        <f>'Market Analysis '!J29</f>
        <v>68.810904595551577</v>
      </c>
      <c r="L310" s="92">
        <f>'Market Analysis '!K29</f>
        <v>72.406274360669144</v>
      </c>
      <c r="M310" s="92">
        <f>'Market Analysis '!L29</f>
        <v>76.243806901784609</v>
      </c>
      <c r="N310" s="92">
        <f>'Market Analysis '!M29</f>
        <v>80.341911522755524</v>
      </c>
      <c r="O310" s="92">
        <f>'Market Analysis '!N29</f>
        <v>84.720545700745703</v>
      </c>
      <c r="P310" s="92">
        <f>'Market Analysis '!O29</f>
        <v>89.401355850711909</v>
      </c>
      <c r="Q310" s="92">
        <f>'Market Analysis '!P29</f>
        <v>94.407831778351778</v>
      </c>
      <c r="R310" s="68">
        <f t="shared" ref="R310:R315" si="1802">RATE(9,,-H310,Q310)</f>
        <v>5.2998219369395361E-2</v>
      </c>
      <c r="T310" s="65">
        <v>2023</v>
      </c>
      <c r="U310" s="65">
        <v>2024</v>
      </c>
      <c r="V310" s="65">
        <v>2025</v>
      </c>
      <c r="W310" s="65">
        <v>2026</v>
      </c>
      <c r="X310" s="65">
        <v>2027</v>
      </c>
      <c r="Y310" s="65">
        <v>2028</v>
      </c>
      <c r="Z310" s="65">
        <v>2029</v>
      </c>
      <c r="AA310" s="65">
        <v>2030</v>
      </c>
      <c r="AB310" s="65">
        <v>2031</v>
      </c>
      <c r="AC310" s="65">
        <v>2032</v>
      </c>
      <c r="AD310" s="65">
        <v>2033</v>
      </c>
      <c r="AE310" s="65">
        <v>2034</v>
      </c>
      <c r="AF310" s="65">
        <v>2035</v>
      </c>
      <c r="AG310" s="65">
        <v>2036</v>
      </c>
    </row>
    <row r="311" spans="1:33" s="121" customFormat="1" x14ac:dyDescent="0.35">
      <c r="A311" s="147" t="s">
        <v>59</v>
      </c>
      <c r="B311" s="118" t="s">
        <v>60</v>
      </c>
      <c r="C311" s="119"/>
      <c r="D311" s="120">
        <f>D310*T311</f>
        <v>17.201866499999998</v>
      </c>
      <c r="E311" s="120">
        <f t="shared" ref="E311" si="1803">E310*U311</f>
        <v>18.196303568962595</v>
      </c>
      <c r="F311" s="120">
        <f>F310*V311</f>
        <v>19.262017010654368</v>
      </c>
      <c r="G311" s="120">
        <f t="shared" ref="G311" si="1804">G310*W311</f>
        <v>20.404742375170628</v>
      </c>
      <c r="H311" s="120">
        <f t="shared" ref="H311" si="1805">H310*X311</f>
        <v>21.63072184964976</v>
      </c>
      <c r="I311" s="120">
        <f t="shared" ref="I311" si="1806">I310*Y311</f>
        <v>22.946752466782577</v>
      </c>
      <c r="J311" s="120">
        <f t="shared" ref="J311" si="1807">J310*Z311</f>
        <v>24.360239202400443</v>
      </c>
      <c r="K311" s="120">
        <f t="shared" ref="K311" si="1808">K310*AA311</f>
        <v>25.879253486185245</v>
      </c>
      <c r="L311" s="120">
        <f t="shared" ref="L311" si="1809">L310*AB311</f>
        <v>27.512597708551219</v>
      </c>
      <c r="M311" s="120">
        <f t="shared" ref="M311" si="1810">M310*AC311</f>
        <v>29.269876372701464</v>
      </c>
      <c r="N311" s="120">
        <f t="shared" ref="N311" si="1811">N310*AD311</f>
        <v>31.161574614611652</v>
      </c>
      <c r="O311" s="120">
        <f t="shared" ref="O311" si="1812">O310*AE311</f>
        <v>33.199144896199563</v>
      </c>
      <c r="P311" s="120">
        <f t="shared" ref="P311" si="1813">P310*AF311</f>
        <v>35.395102769283952</v>
      </c>
      <c r="Q311" s="120">
        <f t="shared" ref="Q311" si="1814">Q310*AG311</f>
        <v>37.763132711340724</v>
      </c>
      <c r="R311" s="68">
        <f t="shared" si="1802"/>
        <v>6.3869983751278447E-2</v>
      </c>
      <c r="S311" s="118" t="s">
        <v>60</v>
      </c>
      <c r="T311" s="116">
        <v>0.34999999999999992</v>
      </c>
      <c r="U311" s="116">
        <v>0.35361360300841621</v>
      </c>
      <c r="V311" s="116">
        <v>0.35726451495026795</v>
      </c>
      <c r="W311" s="116">
        <v>0.36095312102462412</v>
      </c>
      <c r="X311" s="116">
        <v>0.36467981040757214</v>
      </c>
      <c r="Y311" s="116">
        <v>0.36844497629327921</v>
      </c>
      <c r="Z311" s="116">
        <v>0.37224901593547705</v>
      </c>
      <c r="AA311" s="116">
        <v>0.37609233068937542</v>
      </c>
      <c r="AB311" s="116">
        <v>0.37997532605400802</v>
      </c>
      <c r="AC311" s="116">
        <v>0.38389841171501571</v>
      </c>
      <c r="AD311" s="116">
        <v>0.38786200158787171</v>
      </c>
      <c r="AE311" s="116">
        <v>0.39186651386155258</v>
      </c>
      <c r="AF311" s="116">
        <v>0.39591237104266019</v>
      </c>
      <c r="AG311" s="116">
        <v>0.40000000000000013</v>
      </c>
    </row>
    <row r="312" spans="1:33" s="117" customFormat="1" x14ac:dyDescent="0.35">
      <c r="A312" s="148"/>
      <c r="B312" s="113" t="s">
        <v>61</v>
      </c>
      <c r="C312" s="114"/>
      <c r="D312" s="115">
        <f>D310*T312</f>
        <v>14.744457000000002</v>
      </c>
      <c r="E312" s="115">
        <f t="shared" ref="E312" si="1815">E310*U312</f>
        <v>15.445338862923412</v>
      </c>
      <c r="F312" s="115">
        <f t="shared" ref="F312" si="1816">F310*V312</f>
        <v>16.191127266529719</v>
      </c>
      <c r="G312" s="115">
        <f t="shared" ref="G312" si="1817">G310*W312</f>
        <v>16.985076110246862</v>
      </c>
      <c r="H312" s="115">
        <f t="shared" ref="H312" si="1818">H310*X312</f>
        <v>17.830702384906498</v>
      </c>
      <c r="I312" s="115">
        <f t="shared" ref="I312" si="1819">I310*Y312</f>
        <v>18.731809235233712</v>
      </c>
      <c r="J312" s="115">
        <f t="shared" ref="J312" si="1820">J310*Z312</f>
        <v>19.692511192244272</v>
      </c>
      <c r="K312" s="115">
        <f t="shared" ref="K312" si="1821">K310*AA312</f>
        <v>20.717261792300466</v>
      </c>
      <c r="L312" s="115">
        <f t="shared" ref="L312" si="1822">L310*AB312</f>
        <v>21.810883822416194</v>
      </c>
      <c r="M312" s="115">
        <f t="shared" ref="M312" si="1823">M310*AC312</f>
        <v>22.978602456765618</v>
      </c>
      <c r="N312" s="115">
        <f t="shared" ref="N312" si="1824">N310*AD312</f>
        <v>24.226081577528628</v>
      </c>
      <c r="O312" s="115">
        <f t="shared" ref="O312" si="1825">O310*AE312</f>
        <v>25.559463604526698</v>
      </c>
      <c r="P312" s="115">
        <f t="shared" ref="P312" si="1826">P310*AF312</f>
        <v>26.985413192930185</v>
      </c>
      <c r="Q312" s="115">
        <f t="shared" ref="Q312" si="1827">Q310*AG312</f>
        <v>28.511165197062269</v>
      </c>
      <c r="R312" s="68">
        <f t="shared" si="1802"/>
        <v>5.353656398676683E-2</v>
      </c>
      <c r="S312" s="113" t="s">
        <v>61</v>
      </c>
      <c r="T312" s="116">
        <v>0.30000000000000004</v>
      </c>
      <c r="U312" s="116">
        <v>0.30015337479422161</v>
      </c>
      <c r="V312" s="116">
        <v>0.30030682800120145</v>
      </c>
      <c r="W312" s="116">
        <v>0.30046035966102813</v>
      </c>
      <c r="X312" s="116">
        <v>0.30061396981381056</v>
      </c>
      <c r="Y312" s="116">
        <v>0.30076765849967829</v>
      </c>
      <c r="Z312" s="116">
        <v>0.30092142575878128</v>
      </c>
      <c r="AA312" s="116">
        <v>0.30107527163128989</v>
      </c>
      <c r="AB312" s="116">
        <v>0.30122919615739541</v>
      </c>
      <c r="AC312" s="116">
        <v>0.30138319937730923</v>
      </c>
      <c r="AD312" s="116">
        <v>0.30153728133126367</v>
      </c>
      <c r="AE312" s="116">
        <v>0.30169144205951126</v>
      </c>
      <c r="AF312" s="116">
        <v>0.3018456816023255</v>
      </c>
      <c r="AG312" s="116">
        <v>0.30200000000000032</v>
      </c>
    </row>
    <row r="313" spans="1:33" s="117" customFormat="1" x14ac:dyDescent="0.35">
      <c r="A313" s="148"/>
      <c r="B313" s="113" t="s">
        <v>62</v>
      </c>
      <c r="C313" s="114"/>
      <c r="D313" s="115">
        <f>D310*T313</f>
        <v>7.3722284999999994</v>
      </c>
      <c r="E313" s="115">
        <f t="shared" ref="E313" si="1828">E310*U313</f>
        <v>7.7304899684237922</v>
      </c>
      <c r="F313" s="115">
        <f t="shared" ref="F313" si="1829">F310*V313</f>
        <v>8.1119682488395775</v>
      </c>
      <c r="G313" s="115">
        <f t="shared" ref="G313" si="1830">G310*W313</f>
        <v>8.518364677228595</v>
      </c>
      <c r="H313" s="115">
        <f t="shared" ref="H313" si="1831">H310*X313</f>
        <v>8.9515194191478802</v>
      </c>
      <c r="I313" s="115">
        <f t="shared" ref="I313" si="1832">I310*Y313</f>
        <v>9.4134237452169423</v>
      </c>
      <c r="J313" s="115">
        <f t="shared" ref="J313" si="1833">J310*Z313</f>
        <v>9.9062334706528894</v>
      </c>
      <c r="K313" s="115">
        <f t="shared" ref="K313" si="1834">K310*AA313</f>
        <v>10.432283675992283</v>
      </c>
      <c r="L313" s="115">
        <f t="shared" ref="L313" si="1835">L310*AB313</f>
        <v>10.994104838566985</v>
      </c>
      <c r="M313" s="115">
        <f t="shared" ref="M313" si="1836">M310*AC313</f>
        <v>11.594440518112798</v>
      </c>
      <c r="N313" s="115">
        <f t="shared" ref="N313" si="1837">N310*AD313</f>
        <v>12.236266755244316</v>
      </c>
      <c r="O313" s="115">
        <f t="shared" ref="O313" si="1838">O310*AE313</f>
        <v>12.922813358607289</v>
      </c>
      <c r="P313" s="115">
        <f t="shared" ref="P313" si="1839">P310*AF313</f>
        <v>13.657587275522332</v>
      </c>
      <c r="Q313" s="115">
        <f t="shared" ref="Q313" si="1840">Q310*AG313</f>
        <v>14.4443982620878</v>
      </c>
      <c r="R313" s="68">
        <f t="shared" si="1802"/>
        <v>5.4603451766011286E-2</v>
      </c>
      <c r="S313" s="113" t="s">
        <v>62</v>
      </c>
      <c r="T313" s="116">
        <v>0.15</v>
      </c>
      <c r="U313" s="116">
        <v>0.15022866597023929</v>
      </c>
      <c r="V313" s="116">
        <v>0.15045768052798492</v>
      </c>
      <c r="W313" s="116">
        <v>0.15068704420463749</v>
      </c>
      <c r="X313" s="116">
        <v>0.15091675753240782</v>
      </c>
      <c r="Y313" s="116">
        <v>0.15114682104431795</v>
      </c>
      <c r="Z313" s="116">
        <v>0.15137723527420252</v>
      </c>
      <c r="AA313" s="116">
        <v>0.15160800075670999</v>
      </c>
      <c r="AB313" s="116">
        <v>0.15183911802730382</v>
      </c>
      <c r="AC313" s="116">
        <v>0.1520705876222638</v>
      </c>
      <c r="AD313" s="116">
        <v>0.15230241007868719</v>
      </c>
      <c r="AE313" s="116">
        <v>0.15253458593449007</v>
      </c>
      <c r="AF313" s="116">
        <v>0.15276711572840845</v>
      </c>
      <c r="AG313" s="116">
        <v>0.15299999999999978</v>
      </c>
    </row>
    <row r="314" spans="1:33" s="117" customFormat="1" x14ac:dyDescent="0.35">
      <c r="A314" s="148"/>
      <c r="B314" s="113" t="s">
        <v>63</v>
      </c>
      <c r="C314" s="114"/>
      <c r="D314" s="115">
        <f>D310*T314</f>
        <v>5.8977828000000008</v>
      </c>
      <c r="E314" s="115">
        <f t="shared" ref="E314" si="1841">E310*U314</f>
        <v>6.1828349763847195</v>
      </c>
      <c r="F314" s="115">
        <f t="shared" ref="F314" si="1842">F310*V314</f>
        <v>6.4863073465833239</v>
      </c>
      <c r="G314" s="115">
        <f t="shared" ref="G314" si="1843">G310*W314</f>
        <v>6.8095459847979853</v>
      </c>
      <c r="H314" s="115">
        <f t="shared" ref="H314" si="1844">H310*X314</f>
        <v>7.1540065544991744</v>
      </c>
      <c r="I314" s="115">
        <f t="shared" ref="I314" si="1845">I310*Y314</f>
        <v>7.5212639776506744</v>
      </c>
      <c r="J314" s="115">
        <f t="shared" ref="J314" si="1846">J310*Z314</f>
        <v>7.9130230190568147</v>
      </c>
      <c r="K314" s="115">
        <f t="shared" ref="K314" si="1847">K310*AA314</f>
        <v>8.3311298777518399</v>
      </c>
      <c r="L314" s="115">
        <f t="shared" ref="L314" si="1848">L310*AB314</f>
        <v>8.7775848870877216</v>
      </c>
      <c r="M314" s="115">
        <f t="shared" ref="M314" si="1849">M310*AC314</f>
        <v>9.2545564359944432</v>
      </c>
      <c r="N314" s="115">
        <f t="shared" ref="N314" si="1850">N310*AD314</f>
        <v>9.7643962359110095</v>
      </c>
      <c r="O314" s="115">
        <f t="shared" ref="O314" si="1851">O310*AE314</f>
        <v>10.309656071257072</v>
      </c>
      <c r="P314" s="115">
        <f t="shared" ref="P314" si="1852">P310*AF314</f>
        <v>10.893106186191146</v>
      </c>
      <c r="Q314" s="115">
        <f t="shared" ref="Q314" si="1853">Q310*AG314</f>
        <v>11.517755476958902</v>
      </c>
      <c r="R314" s="68">
        <f t="shared" si="1802"/>
        <v>5.4337942101429455E-2</v>
      </c>
      <c r="S314" s="113" t="s">
        <v>63</v>
      </c>
      <c r="T314" s="116">
        <v>0.12000000000000002</v>
      </c>
      <c r="U314" s="116">
        <v>0.12015267521339246</v>
      </c>
      <c r="V314" s="116">
        <v>0.12030554467445809</v>
      </c>
      <c r="W314" s="116">
        <v>0.12045860863033696</v>
      </c>
      <c r="X314" s="116">
        <v>0.12061186732848356</v>
      </c>
      <c r="Y314" s="116">
        <v>0.12076532101666719</v>
      </c>
      <c r="Z314" s="116">
        <v>0.1209189699429724</v>
      </c>
      <c r="AA314" s="116">
        <v>0.12107281435579939</v>
      </c>
      <c r="AB314" s="116">
        <v>0.12122685450386435</v>
      </c>
      <c r="AC314" s="116">
        <v>0.12138109063619994</v>
      </c>
      <c r="AD314" s="116">
        <v>0.12153552300215566</v>
      </c>
      <c r="AE314" s="116">
        <v>0.12169015185139827</v>
      </c>
      <c r="AF314" s="116">
        <v>0.12184497743391219</v>
      </c>
      <c r="AG314" s="116">
        <v>0.12199999999999984</v>
      </c>
    </row>
    <row r="315" spans="1:33" s="117" customFormat="1" x14ac:dyDescent="0.35">
      <c r="A315" s="148"/>
      <c r="B315" s="113" t="s">
        <v>64</v>
      </c>
      <c r="C315" s="114"/>
      <c r="D315" s="115">
        <f>D310*T315</f>
        <v>3.9318552000000033</v>
      </c>
      <c r="E315" s="115">
        <f t="shared" ref="E315" si="1854">E310*U315</f>
        <v>3.9031875533054787</v>
      </c>
      <c r="F315" s="115">
        <f t="shared" ref="F315" si="1855">F310*V315</f>
        <v>3.8638619553005125</v>
      </c>
      <c r="G315" s="115">
        <f t="shared" ref="G315" si="1856">G310*W315</f>
        <v>3.8124438491169457</v>
      </c>
      <c r="H315" s="115">
        <f>H310*X315</f>
        <v>3.7473338084383232</v>
      </c>
      <c r="I315" s="115">
        <f t="shared" ref="I315" si="1857">I310*Y315</f>
        <v>3.6667487925898241</v>
      </c>
      <c r="J315" s="115">
        <f t="shared" ref="J315" si="1858">J310*Z315</f>
        <v>3.5687012426561058</v>
      </c>
      <c r="K315" s="115">
        <f t="shared" ref="K315" si="1859">K310*AA315</f>
        <v>3.4509757633217419</v>
      </c>
      <c r="L315" s="115">
        <f t="shared" ref="L315" si="1860">L310*AB315</f>
        <v>3.311103104047028</v>
      </c>
      <c r="M315" s="115">
        <f t="shared" ref="M315" si="1861">M310*AC315</f>
        <v>3.1463311182102833</v>
      </c>
      <c r="N315" s="115">
        <f t="shared" ref="N315" si="1862">N310*AD315</f>
        <v>2.9535923394599291</v>
      </c>
      <c r="O315" s="115">
        <f t="shared" ref="O315" si="1863">O310*AE315</f>
        <v>2.7294677701550745</v>
      </c>
      <c r="P315" s="115">
        <f t="shared" ref="P315" si="1864">P310*AF315</f>
        <v>2.4701464267842943</v>
      </c>
      <c r="Q315" s="115">
        <f t="shared" ref="Q315" si="1865">Q310*AG315</f>
        <v>2.1713801309020822</v>
      </c>
      <c r="R315" s="68">
        <f t="shared" si="1802"/>
        <v>-5.8829807658828406E-2</v>
      </c>
      <c r="S315" s="113" t="s">
        <v>64</v>
      </c>
      <c r="T315" s="116">
        <f>1-SUM(T311:T314)</f>
        <v>8.0000000000000071E-2</v>
      </c>
      <c r="U315" s="116">
        <f t="shared" ref="U315:AG315" si="1866">1-SUM(U311:U314)</f>
        <v>7.585168101373041E-2</v>
      </c>
      <c r="V315" s="116">
        <f t="shared" si="1866"/>
        <v>7.1665431846087646E-2</v>
      </c>
      <c r="W315" s="116">
        <f t="shared" si="1866"/>
        <v>6.7440866479373307E-2</v>
      </c>
      <c r="X315" s="116">
        <f t="shared" si="1866"/>
        <v>6.3177594917725788E-2</v>
      </c>
      <c r="Y315" s="116">
        <f t="shared" si="1866"/>
        <v>5.887522314605742E-2</v>
      </c>
      <c r="Z315" s="116">
        <f t="shared" si="1866"/>
        <v>5.4533353088566772E-2</v>
      </c>
      <c r="AA315" s="116">
        <f t="shared" si="1866"/>
        <v>5.0151582566825281E-2</v>
      </c>
      <c r="AB315" s="116">
        <f t="shared" si="1866"/>
        <v>4.5729505257428471E-2</v>
      </c>
      <c r="AC315" s="116">
        <f t="shared" si="1866"/>
        <v>4.126671064921128E-2</v>
      </c>
      <c r="AD315" s="116">
        <f t="shared" si="1866"/>
        <v>3.6762784000021864E-2</v>
      </c>
      <c r="AE315" s="116">
        <f t="shared" si="1866"/>
        <v>3.2217306293047754E-2</v>
      </c>
      <c r="AF315" s="116">
        <f t="shared" si="1866"/>
        <v>2.7629854192693704E-2</v>
      </c>
      <c r="AG315" s="116">
        <f t="shared" si="1866"/>
        <v>2.2999999999999909E-2</v>
      </c>
    </row>
    <row r="316" spans="1:33" x14ac:dyDescent="0.35">
      <c r="A316" s="1"/>
      <c r="D316" s="81" t="b">
        <f>D310=SUM(D311:D315)</f>
        <v>1</v>
      </c>
      <c r="E316" s="81" t="b">
        <f t="shared" ref="E316:Q316" si="1867">E310=SUM(E311:E315)</f>
        <v>1</v>
      </c>
      <c r="F316" s="81" t="b">
        <f t="shared" si="1867"/>
        <v>1</v>
      </c>
      <c r="G316" s="81" t="b">
        <f t="shared" si="1867"/>
        <v>1</v>
      </c>
      <c r="H316" s="81" t="b">
        <f t="shared" si="1867"/>
        <v>1</v>
      </c>
      <c r="I316" s="81" t="b">
        <f t="shared" si="1867"/>
        <v>1</v>
      </c>
      <c r="J316" s="81" t="b">
        <f t="shared" si="1867"/>
        <v>1</v>
      </c>
      <c r="K316" s="81" t="b">
        <f t="shared" si="1867"/>
        <v>1</v>
      </c>
      <c r="L316" s="81" t="b">
        <f t="shared" si="1867"/>
        <v>0</v>
      </c>
      <c r="M316" s="81" t="b">
        <f t="shared" si="1867"/>
        <v>1</v>
      </c>
      <c r="N316" s="81" t="b">
        <f t="shared" si="1867"/>
        <v>1</v>
      </c>
      <c r="O316" s="81" t="b">
        <f t="shared" si="1867"/>
        <v>1</v>
      </c>
      <c r="P316" s="81" t="b">
        <f t="shared" si="1867"/>
        <v>1</v>
      </c>
      <c r="Q316" s="81" t="b">
        <f t="shared" si="1867"/>
        <v>1</v>
      </c>
      <c r="R316" s="21"/>
    </row>
    <row r="317" spans="1:33" s="117" customFormat="1" x14ac:dyDescent="0.35">
      <c r="A317" s="149" t="s">
        <v>65</v>
      </c>
      <c r="B317" s="122" t="s">
        <v>66</v>
      </c>
      <c r="C317" s="123"/>
      <c r="D317" s="124">
        <f>D310*T317</f>
        <v>34.403733000000003</v>
      </c>
      <c r="E317" s="124">
        <f t="shared" ref="E317" si="1868">E310*U317</f>
        <v>36.040435099222876</v>
      </c>
      <c r="F317" s="124">
        <f t="shared" ref="F317" si="1869">F310*V317</f>
        <v>37.782045789989461</v>
      </c>
      <c r="G317" s="124">
        <f t="shared" ref="G317" si="1870">G310*W317</f>
        <v>39.636169776028652</v>
      </c>
      <c r="H317" s="124">
        <f t="shared" ref="H317" si="1871">H310*X317</f>
        <v>41.611026836135679</v>
      </c>
      <c r="I317" s="124">
        <f t="shared" ref="I317" si="1872">I310*Y317</f>
        <v>43.715505758217319</v>
      </c>
      <c r="J317" s="124">
        <f t="shared" ref="J317" si="1873">J310*Z317</f>
        <v>45.959223349320148</v>
      </c>
      <c r="K317" s="124">
        <f t="shared" ref="K317" si="1874">K310*AA317</f>
        <v>48.35258902881462</v>
      </c>
      <c r="L317" s="124">
        <f t="shared" ref="L317" si="1875">L310*AB317</f>
        <v>50.906875565362164</v>
      </c>
      <c r="M317" s="124">
        <f t="shared" ref="M317" si="1876">M310*AC317</f>
        <v>53.63429657765797</v>
      </c>
      <c r="N317" s="124">
        <f t="shared" ref="N317" si="1877">N310*AD317</f>
        <v>56.548091484895686</v>
      </c>
      <c r="O317" s="124">
        <f t="shared" ref="O317" si="1878">O310*AE317</f>
        <v>59.662618666210925</v>
      </c>
      <c r="P317" s="124">
        <f t="shared" ref="P317" si="1879">P310*AF317</f>
        <v>62.993457669879504</v>
      </c>
      <c r="Q317" s="124">
        <f t="shared" ref="Q317" si="1880">Q310*AG317</f>
        <v>66.557521403738122</v>
      </c>
      <c r="R317" s="68">
        <f>RATE(9,,-H317,Q317)</f>
        <v>5.3574891132558006E-2</v>
      </c>
      <c r="S317" s="122" t="s">
        <v>66</v>
      </c>
      <c r="T317" s="116">
        <v>0.70000000000000007</v>
      </c>
      <c r="U317" s="116">
        <v>0.70038335319736411</v>
      </c>
      <c r="V317" s="116">
        <v>0.70076691633711929</v>
      </c>
      <c r="W317" s="116">
        <v>0.70115068953424042</v>
      </c>
      <c r="X317" s="116">
        <v>0.70153467290376448</v>
      </c>
      <c r="Y317" s="116">
        <v>0.70191886656079228</v>
      </c>
      <c r="Z317" s="116">
        <v>0.70230327062048659</v>
      </c>
      <c r="AA317" s="116">
        <v>0.70268788519807479</v>
      </c>
      <c r="AB317" s="116">
        <v>0.70307271040884567</v>
      </c>
      <c r="AC317" s="116">
        <v>0.70345774636815217</v>
      </c>
      <c r="AD317" s="116">
        <v>0.70384299319141008</v>
      </c>
      <c r="AE317" s="116">
        <v>0.70422845099409903</v>
      </c>
      <c r="AF317" s="116">
        <v>0.70461411989176093</v>
      </c>
      <c r="AG317" s="116">
        <v>0.70500000000000129</v>
      </c>
    </row>
    <row r="318" spans="1:33" s="117" customFormat="1" x14ac:dyDescent="0.35">
      <c r="A318" s="149"/>
      <c r="B318" s="122" t="s">
        <v>67</v>
      </c>
      <c r="C318" s="123"/>
      <c r="D318" s="124">
        <f>D310*T318</f>
        <v>9.829638000000001</v>
      </c>
      <c r="E318" s="124">
        <f t="shared" ref="E318" si="1881">E310*U318</f>
        <v>10.29951131940695</v>
      </c>
      <c r="F318" s="124">
        <f t="shared" ref="F318" si="1882">F310*V318</f>
        <v>10.799575926354498</v>
      </c>
      <c r="G318" s="124">
        <f t="shared" ref="G318" si="1883">G310*W318</f>
        <v>11.332025686705828</v>
      </c>
      <c r="H318" s="124">
        <f t="shared" ref="H318" si="1884">H310*X318</f>
        <v>11.899232259211786</v>
      </c>
      <c r="I318" s="124">
        <f t="shared" ref="I318" si="1885">I310*Y318</f>
        <v>12.50376071473578</v>
      </c>
      <c r="J318" s="124">
        <f t="shared" ref="J318" si="1886">J310*Z318</f>
        <v>13.148386627954865</v>
      </c>
      <c r="K318" s="124">
        <f t="shared" ref="K318" si="1887">K310*AA318</f>
        <v>13.836114788895324</v>
      </c>
      <c r="L318" s="124">
        <f t="shared" ref="L318" si="1888">L310*AB318</f>
        <v>14.570199697215827</v>
      </c>
      <c r="M318" s="124">
        <f t="shared" ref="M318" si="1889">M310*AC318</f>
        <v>15.35416801942759</v>
      </c>
      <c r="N318" s="124">
        <f t="shared" ref="N318" si="1890">N310*AD318</f>
        <v>16.191843208438058</v>
      </c>
      <c r="O318" s="124">
        <f t="shared" ref="O318" si="1891">O310*AE318</f>
        <v>17.087372506145545</v>
      </c>
      <c r="P318" s="124">
        <f t="shared" ref="P318" si="1892">P310*AF318</f>
        <v>18.045256573546745</v>
      </c>
      <c r="Q318" s="124">
        <f t="shared" ref="Q318" si="1893">Q310*AG318</f>
        <v>19.07038201922709</v>
      </c>
      <c r="R318" s="68">
        <f>RATE(9,,-H318,Q318)</f>
        <v>5.3804503335157475E-2</v>
      </c>
      <c r="S318" s="122" t="s">
        <v>67</v>
      </c>
      <c r="T318" s="116">
        <v>0.20000000000000004</v>
      </c>
      <c r="U318" s="116">
        <v>0.2001531406133327</v>
      </c>
      <c r="V318" s="116">
        <v>0.2003063984869026</v>
      </c>
      <c r="W318" s="116">
        <v>0.20045977371049628</v>
      </c>
      <c r="X318" s="116">
        <v>0.20061326637396906</v>
      </c>
      <c r="Y318" s="116">
        <v>0.2007668765672449</v>
      </c>
      <c r="Z318" s="116">
        <v>0.20092060438031684</v>
      </c>
      <c r="AA318" s="116">
        <v>0.20107444990324672</v>
      </c>
      <c r="AB318" s="116">
        <v>0.20122841322616528</v>
      </c>
      <c r="AC318" s="116">
        <v>0.20138249443927231</v>
      </c>
      <c r="AD318" s="116">
        <v>0.20153669363283677</v>
      </c>
      <c r="AE318" s="116">
        <v>0.2016910108971966</v>
      </c>
      <c r="AF318" s="116">
        <v>0.20184544632275897</v>
      </c>
      <c r="AG318" s="116">
        <v>0.20200000000000032</v>
      </c>
    </row>
    <row r="319" spans="1:33" s="117" customFormat="1" x14ac:dyDescent="0.35">
      <c r="A319" s="149"/>
      <c r="B319" s="122" t="s">
        <v>68</v>
      </c>
      <c r="C319" s="123"/>
      <c r="D319" s="124">
        <f>D310*T319</f>
        <v>4.9148189999999934</v>
      </c>
      <c r="E319" s="124">
        <f t="shared" ref="E319" si="1894">E310*U319</f>
        <v>5.1182085113701792</v>
      </c>
      <c r="F319" s="124">
        <f t="shared" ref="F319" si="1895">F310*V319</f>
        <v>5.3336601115635398</v>
      </c>
      <c r="G319" s="124">
        <f t="shared" ref="G319" si="1896">G310*W319</f>
        <v>5.5619775338265329</v>
      </c>
      <c r="H319" s="124">
        <f t="shared" ref="H319" si="1897">H310*X319</f>
        <v>5.8040249212941788</v>
      </c>
      <c r="I319" s="124">
        <f t="shared" ref="I319" si="1898">I310*Y319</f>
        <v>6.0607317445206252</v>
      </c>
      <c r="J319" s="124">
        <f t="shared" ref="J319" si="1899">J310*Z319</f>
        <v>6.3330981497355063</v>
      </c>
      <c r="K319" s="124">
        <f t="shared" ref="K319" si="1900">K310*AA319</f>
        <v>6.622200777841627</v>
      </c>
      <c r="L319" s="124">
        <f t="shared" ref="L319" si="1901">L310*AB319</f>
        <v>6.9291990980911553</v>
      </c>
      <c r="M319" s="124">
        <f>M310*AC319</f>
        <v>7.2553423046990471</v>
      </c>
      <c r="N319" s="124">
        <f t="shared" ref="N319" si="1902">N310*AD319</f>
        <v>7.601976829421778</v>
      </c>
      <c r="O319" s="124">
        <f t="shared" ref="O319" si="1903">O310*AE319</f>
        <v>7.9705545283892407</v>
      </c>
      <c r="P319" s="124">
        <f t="shared" ref="P319" si="1904">P310*AF319</f>
        <v>8.3626416072856671</v>
      </c>
      <c r="Q319" s="124">
        <f t="shared" ref="Q319" si="1905">Q310*AG319</f>
        <v>8.7799283553865664</v>
      </c>
      <c r="R319" s="68">
        <f>RATE(9,,-H319,Q319)</f>
        <v>4.70647103005606E-2</v>
      </c>
      <c r="S319" s="122" t="s">
        <v>68</v>
      </c>
      <c r="T319" s="116">
        <f>1-SUM(T317:T318)</f>
        <v>9.9999999999999867E-2</v>
      </c>
      <c r="U319" s="116">
        <f t="shared" ref="U319:AG319" si="1906">1-SUM(U317:U318)</f>
        <v>9.9463506189303219E-2</v>
      </c>
      <c r="V319" s="116">
        <f t="shared" si="1906"/>
        <v>9.8926685175978135E-2</v>
      </c>
      <c r="W319" s="116">
        <f t="shared" si="1906"/>
        <v>9.8389536755263296E-2</v>
      </c>
      <c r="X319" s="116">
        <f t="shared" si="1906"/>
        <v>9.7852060722266487E-2</v>
      </c>
      <c r="Y319" s="116">
        <f t="shared" si="1906"/>
        <v>9.7314256871962823E-2</v>
      </c>
      <c r="Z319" s="116">
        <f t="shared" si="1906"/>
        <v>9.6776124999196522E-2</v>
      </c>
      <c r="AA319" s="116">
        <f t="shared" si="1906"/>
        <v>9.6237664898678466E-2</v>
      </c>
      <c r="AB319" s="116">
        <f t="shared" si="1906"/>
        <v>9.5698876364989083E-2</v>
      </c>
      <c r="AC319" s="116">
        <f t="shared" si="1906"/>
        <v>9.5159759192575466E-2</v>
      </c>
      <c r="AD319" s="116">
        <f t="shared" si="1906"/>
        <v>9.4620313175753146E-2</v>
      </c>
      <c r="AE319" s="116">
        <f t="shared" si="1906"/>
        <v>9.4080538108704426E-2</v>
      </c>
      <c r="AF319" s="116">
        <f t="shared" si="1906"/>
        <v>9.3540433785480159E-2</v>
      </c>
      <c r="AG319" s="116">
        <f t="shared" si="1906"/>
        <v>9.2999999999998417E-2</v>
      </c>
    </row>
    <row r="320" spans="1:33" x14ac:dyDescent="0.35">
      <c r="A320" s="1"/>
      <c r="D320" s="81" t="b">
        <f>D310=SUM(D317:D319)</f>
        <v>1</v>
      </c>
      <c r="E320" s="81" t="b">
        <f t="shared" ref="E320:Q320" si="1907">E310=SUM(E317:E319)</f>
        <v>1</v>
      </c>
      <c r="F320" s="81" t="b">
        <f t="shared" si="1907"/>
        <v>1</v>
      </c>
      <c r="G320" s="81" t="b">
        <f t="shared" si="1907"/>
        <v>1</v>
      </c>
      <c r="H320" s="81" t="b">
        <f t="shared" si="1907"/>
        <v>1</v>
      </c>
      <c r="I320" s="81" t="b">
        <f t="shared" si="1907"/>
        <v>1</v>
      </c>
      <c r="J320" s="81" t="b">
        <f t="shared" si="1907"/>
        <v>1</v>
      </c>
      <c r="K320" s="81" t="b">
        <f t="shared" si="1907"/>
        <v>1</v>
      </c>
      <c r="L320" s="81" t="b">
        <f t="shared" si="1907"/>
        <v>1</v>
      </c>
      <c r="M320" s="81" t="b">
        <f t="shared" si="1907"/>
        <v>1</v>
      </c>
      <c r="N320" s="81" t="b">
        <f t="shared" si="1907"/>
        <v>1</v>
      </c>
      <c r="O320" s="81" t="b">
        <f t="shared" si="1907"/>
        <v>1</v>
      </c>
      <c r="P320" s="81" t="b">
        <f t="shared" si="1907"/>
        <v>1</v>
      </c>
      <c r="Q320" s="81" t="b">
        <f t="shared" si="1907"/>
        <v>1</v>
      </c>
      <c r="R320" s="21"/>
    </row>
    <row r="321" spans="1:33" s="117" customFormat="1" x14ac:dyDescent="0.35">
      <c r="A321" s="149" t="s">
        <v>69</v>
      </c>
      <c r="B321" s="125" t="s">
        <v>70</v>
      </c>
      <c r="C321" s="126"/>
      <c r="D321" s="127">
        <f>D310*T321</f>
        <v>20.642239799999999</v>
      </c>
      <c r="E321" s="127">
        <f t="shared" ref="E321" si="1908">E310*U321</f>
        <v>21.616379047035593</v>
      </c>
      <c r="F321" s="127">
        <f t="shared" ref="F321" si="1909">F310*V321</f>
        <v>22.652704683260112</v>
      </c>
      <c r="G321" s="127">
        <f t="shared" ref="G321" si="1910">G310*W321</f>
        <v>23.755706153480723</v>
      </c>
      <c r="H321" s="127">
        <f t="shared" ref="H321" si="1911">H310*X321</f>
        <v>24.930234814426637</v>
      </c>
      <c r="I321" s="127">
        <f t="shared" ref="I321" si="1912">I310*Y321</f>
        <v>26.181535570665726</v>
      </c>
      <c r="J321" s="127">
        <f t="shared" ref="J321" si="1913">J310*Z321</f>
        <v>27.515281479543432</v>
      </c>
      <c r="K321" s="127">
        <f t="shared" ref="K321" si="1914">K310*AA321</f>
        <v>28.937611621007353</v>
      </c>
      <c r="L321" s="127">
        <f t="shared" ref="L321" si="1915">L310*AB321</f>
        <v>30.455172559287156</v>
      </c>
      <c r="M321" s="127">
        <f t="shared" ref="M321" si="1916">M310*AC321</f>
        <v>32.075163757935371</v>
      </c>
      <c r="N321" s="127">
        <f t="shared" ref="N321" si="1917">N310*AD321</f>
        <v>33.805387348096055</v>
      </c>
      <c r="O321" s="127">
        <f t="shared" ref="O321" si="1918">O310*AE321</f>
        <v>35.654302692497232</v>
      </c>
      <c r="P321" s="127">
        <f t="shared" ref="P321" si="1919">P310*AF321</f>
        <v>37.631086235054781</v>
      </c>
      <c r="Q321" s="127">
        <f t="shared" ref="Q321" si="1920">Q310*AG321</f>
        <v>39.745697178686079</v>
      </c>
      <c r="R321" s="68">
        <f>RATE(9,,-H321,Q321)</f>
        <v>5.3190864578459431E-2</v>
      </c>
      <c r="S321" s="125" t="s">
        <v>70</v>
      </c>
      <c r="T321" s="116">
        <v>0.42</v>
      </c>
      <c r="U321" s="116">
        <v>0.42007683867486062</v>
      </c>
      <c r="V321" s="116">
        <v>0.4201536914072973</v>
      </c>
      <c r="W321" s="116">
        <v>0.42023055819988187</v>
      </c>
      <c r="X321" s="116">
        <v>0.42030743905518658</v>
      </c>
      <c r="Y321" s="116">
        <v>0.42038433397578434</v>
      </c>
      <c r="Z321" s="116">
        <v>0.42046124296424836</v>
      </c>
      <c r="AA321" s="116">
        <v>0.42053816602315214</v>
      </c>
      <c r="AB321" s="116">
        <v>0.42061510315507006</v>
      </c>
      <c r="AC321" s="116">
        <v>0.42069205436257667</v>
      </c>
      <c r="AD321" s="116">
        <v>0.4207690196482472</v>
      </c>
      <c r="AE321" s="116">
        <v>0.42084599901465702</v>
      </c>
      <c r="AF321" s="116">
        <v>0.42092299246438242</v>
      </c>
      <c r="AG321" s="137">
        <v>0.42099999999999982</v>
      </c>
    </row>
    <row r="322" spans="1:33" s="117" customFormat="1" x14ac:dyDescent="0.35">
      <c r="A322" s="149"/>
      <c r="B322" s="125" t="s">
        <v>71</v>
      </c>
      <c r="C322" s="126"/>
      <c r="D322" s="127">
        <f>D310*T322</f>
        <v>11.304083700000003</v>
      </c>
      <c r="E322" s="127">
        <f t="shared" ref="E322" si="1921">E310*U322</f>
        <v>11.843260676641162</v>
      </c>
      <c r="F322" s="127">
        <f t="shared" ref="F322" si="1922">F310*V322</f>
        <v>12.417043431550017</v>
      </c>
      <c r="G322" s="127">
        <f t="shared" ref="G322" si="1923">G310*W322</f>
        <v>13.027943822732249</v>
      </c>
      <c r="H322" s="127">
        <f t="shared" ref="H322" si="1924">H310*X322</f>
        <v>13.678677087960825</v>
      </c>
      <c r="I322" s="127">
        <f t="shared" ref="I322" si="1925">I310*Y322</f>
        <v>14.372179696630656</v>
      </c>
      <c r="J322" s="127">
        <f t="shared" ref="J322" si="1926">J310*Z322</f>
        <v>15.111628883274093</v>
      </c>
      <c r="K322" s="127">
        <f t="shared" ref="K322" si="1927">K310*AA322</f>
        <v>15.900464030907713</v>
      </c>
      <c r="L322" s="127">
        <f t="shared" ref="L322" si="1928">L310*AB322</f>
        <v>16.742410090120266</v>
      </c>
      <c r="M322" s="127">
        <f t="shared" ref="M322" si="1929">M310*AC322</f>
        <v>17.64150323951343</v>
      </c>
      <c r="N322" s="127">
        <f t="shared" ref="N322" si="1930">N310*AD322</f>
        <v>18.602119014997601</v>
      </c>
      <c r="O322" s="127">
        <f t="shared" ref="O322" si="1931">O310*AE322</f>
        <v>19.629003159778808</v>
      </c>
      <c r="P322" s="127">
        <f t="shared" ref="P322" si="1932">P310*AF322</f>
        <v>20.727305473933736</v>
      </c>
      <c r="Q322" s="127">
        <f t="shared" ref="Q322" si="1933">Q310*AG322</f>
        <v>21.902616972577629</v>
      </c>
      <c r="R322" s="68">
        <f>RATE(9,,-H322,Q322)</f>
        <v>5.369975485275684E-2</v>
      </c>
      <c r="S322" s="125" t="s">
        <v>71</v>
      </c>
      <c r="T322" s="116">
        <v>0.23000000000000007</v>
      </c>
      <c r="U322" s="116">
        <v>0.230153232131076</v>
      </c>
      <c r="V322" s="116">
        <v>0.23030656634948232</v>
      </c>
      <c r="W322" s="116">
        <v>0.23046000272323239</v>
      </c>
      <c r="X322" s="116">
        <v>0.23061354132038475</v>
      </c>
      <c r="Y322" s="116">
        <v>0.23076718220904338</v>
      </c>
      <c r="Z322" s="116">
        <v>0.23092092545735762</v>
      </c>
      <c r="AA322" s="116">
        <v>0.23107477113352223</v>
      </c>
      <c r="AB322" s="116">
        <v>0.23122871930577729</v>
      </c>
      <c r="AC322" s="116">
        <v>0.23138277004240856</v>
      </c>
      <c r="AD322" s="116">
        <v>0.23153692341174703</v>
      </c>
      <c r="AE322" s="116">
        <v>0.23169117948216938</v>
      </c>
      <c r="AF322" s="116">
        <v>0.23184553832209787</v>
      </c>
      <c r="AG322" s="137">
        <v>0.23200000000000018</v>
      </c>
    </row>
    <row r="323" spans="1:33" s="117" customFormat="1" x14ac:dyDescent="0.35">
      <c r="A323" s="149"/>
      <c r="B323" s="125" t="s">
        <v>72</v>
      </c>
      <c r="C323" s="126"/>
      <c r="D323" s="127">
        <f>D310*T323</f>
        <v>9.8296379999999992</v>
      </c>
      <c r="E323" s="127">
        <f t="shared" ref="E323" si="1934">E310*U323</f>
        <v>10.295580200197238</v>
      </c>
      <c r="F323" s="127">
        <f t="shared" ref="F323" si="1935">F310*V323</f>
        <v>10.791333531728322</v>
      </c>
      <c r="G323" s="127">
        <f t="shared" ref="G323" si="1936">G310*W323</f>
        <v>11.319055010215413</v>
      </c>
      <c r="H323" s="127">
        <f t="shared" ref="H323" si="1937">H310*X323</f>
        <v>11.881075853562182</v>
      </c>
      <c r="I323" s="127">
        <f t="shared" ref="I323" si="1938">I310*Y323</f>
        <v>12.479916735786961</v>
      </c>
      <c r="J323" s="127">
        <f t="shared" ref="J323" si="1939">J310*Z323</f>
        <v>13.118304474647644</v>
      </c>
      <c r="K323" s="127">
        <f t="shared" ref="K323" si="1940">K310*AA323</f>
        <v>13.799190296145566</v>
      </c>
      <c r="L323" s="127">
        <f t="shared" ref="L323" si="1941">L310*AB323</f>
        <v>14.525769834060302</v>
      </c>
      <c r="M323" s="127">
        <f t="shared" ref="M323" si="1942">M310*AC323</f>
        <v>15.301505039394808</v>
      </c>
      <c r="N323" s="127">
        <f t="shared" ref="N323" si="1943">N310*AD323</f>
        <v>16.130148193193296</v>
      </c>
      <c r="O323" s="127">
        <f t="shared" ref="O323" si="1944">O310*AE323</f>
        <v>17.015768236847176</v>
      </c>
      <c r="P323" s="127">
        <f t="shared" ref="P323" si="1945">P310*AF323</f>
        <v>17.962779656967783</v>
      </c>
      <c r="Q323" s="127">
        <f t="shared" ref="Q323" si="1946">Q310*AG323</f>
        <v>18.975974187448681</v>
      </c>
      <c r="R323" s="68">
        <f>RATE(9,,-H323,Q323)</f>
        <v>5.3402287055387743E-2</v>
      </c>
      <c r="S323" s="125" t="s">
        <v>72</v>
      </c>
      <c r="T323" s="116">
        <v>0.19999999999999998</v>
      </c>
      <c r="U323" s="116">
        <v>0.20007674612901705</v>
      </c>
      <c r="V323" s="116">
        <v>0.20015352170787573</v>
      </c>
      <c r="W323" s="116">
        <v>0.2002303267478768</v>
      </c>
      <c r="X323" s="116">
        <v>0.20030716126032544</v>
      </c>
      <c r="Y323" s="116">
        <v>0.20038402525653101</v>
      </c>
      <c r="Z323" s="116">
        <v>0.20046091874780753</v>
      </c>
      <c r="AA323" s="116">
        <v>0.20053784174547304</v>
      </c>
      <c r="AB323" s="116">
        <v>0.20061479426085005</v>
      </c>
      <c r="AC323" s="116">
        <v>0.20069177630526541</v>
      </c>
      <c r="AD323" s="116">
        <v>0.20076878789005037</v>
      </c>
      <c r="AE323" s="116">
        <v>0.20084582902654041</v>
      </c>
      <c r="AF323" s="116">
        <v>0.20092289972607549</v>
      </c>
      <c r="AG323" s="137">
        <v>0.20099999999999973</v>
      </c>
    </row>
    <row r="324" spans="1:33" s="117" customFormat="1" x14ac:dyDescent="0.35">
      <c r="A324" s="149"/>
      <c r="B324" s="125" t="s">
        <v>73</v>
      </c>
      <c r="C324" s="126"/>
      <c r="D324" s="127">
        <f>D310*T324</f>
        <v>4.9148189999999996</v>
      </c>
      <c r="E324" s="127">
        <f t="shared" ref="E324" si="1947">E310*U324</f>
        <v>5.1536599789491948</v>
      </c>
      <c r="F324" s="127">
        <f t="shared" ref="F324" si="1948">F310*V324</f>
        <v>5.407978832559718</v>
      </c>
      <c r="G324" s="127">
        <f t="shared" ref="G324" si="1949">G310*W324</f>
        <v>5.6789097848190631</v>
      </c>
      <c r="H324" s="127">
        <f t="shared" ref="H324" si="1950">H310*X324</f>
        <v>5.9676796127652532</v>
      </c>
      <c r="I324" s="127">
        <f t="shared" ref="I324" si="1951">I310*Y324</f>
        <v>6.2756158301446288</v>
      </c>
      <c r="J324" s="127">
        <f t="shared" ref="J324" si="1952">J310*Z324</f>
        <v>6.6041556471019254</v>
      </c>
      <c r="K324" s="127">
        <f t="shared" ref="K324" si="1953">K310*AA324</f>
        <v>6.954855783994855</v>
      </c>
      <c r="L324" s="127">
        <f t="shared" ref="L324" si="1954">L310*AB324</f>
        <v>7.3294032257113244</v>
      </c>
      <c r="M324" s="127">
        <f t="shared" ref="M324" si="1955">M310*AC324</f>
        <v>7.7296270120751984</v>
      </c>
      <c r="N324" s="127">
        <f t="shared" ref="N324" si="1956">N310*AD324</f>
        <v>8.1575111701628771</v>
      </c>
      <c r="O324" s="127">
        <f t="shared" ref="O324" si="1957">O310*AE324</f>
        <v>8.6152089057381929</v>
      </c>
      <c r="P324" s="127">
        <f t="shared" ref="P324" si="1958">P310*AF324</f>
        <v>9.105058183681555</v>
      </c>
      <c r="Q324" s="127">
        <f t="shared" ref="Q324" si="1959">Q310*AG324</f>
        <v>9.6295988413918678</v>
      </c>
      <c r="R324" s="68">
        <f>RATE(9,,-H324,Q324)</f>
        <v>5.4603451766011162E-2</v>
      </c>
      <c r="S324" s="125" t="s">
        <v>73</v>
      </c>
      <c r="T324" s="116">
        <v>9.9999999999999992E-2</v>
      </c>
      <c r="U324" s="116">
        <v>0.10015244398015953</v>
      </c>
      <c r="V324" s="116">
        <v>0.10030512035198993</v>
      </c>
      <c r="W324" s="116">
        <v>0.10045802946975833</v>
      </c>
      <c r="X324" s="116">
        <v>0.10061117168827188</v>
      </c>
      <c r="Y324" s="116">
        <v>0.10076454736287864</v>
      </c>
      <c r="Z324" s="116">
        <v>0.10091815684946834</v>
      </c>
      <c r="AA324" s="116">
        <v>0.10107200050447333</v>
      </c>
      <c r="AB324" s="116">
        <v>0.10122607868486923</v>
      </c>
      <c r="AC324" s="116">
        <v>0.10138039174817587</v>
      </c>
      <c r="AD324" s="116">
        <v>0.10153494005245813</v>
      </c>
      <c r="AE324" s="116">
        <v>0.10168972395632671</v>
      </c>
      <c r="AF324" s="116">
        <v>0.10184474381893897</v>
      </c>
      <c r="AG324" s="137">
        <v>0.10199999999999985</v>
      </c>
    </row>
    <row r="325" spans="1:33" s="117" customFormat="1" x14ac:dyDescent="0.35">
      <c r="A325" s="149"/>
      <c r="B325" s="125" t="s">
        <v>74</v>
      </c>
      <c r="C325" s="126"/>
      <c r="D325" s="127">
        <f>D310*T325</f>
        <v>2.457409500000002</v>
      </c>
      <c r="E325" s="127">
        <f t="shared" ref="E325" si="1960">E310*U325</f>
        <v>2.5492750271768094</v>
      </c>
      <c r="F325" s="127">
        <f t="shared" ref="F325" si="1961">F310*V325</f>
        <v>2.6462213488093345</v>
      </c>
      <c r="G325" s="127">
        <f t="shared" ref="G325" si="1962">G310*W325</f>
        <v>2.7485582253135639</v>
      </c>
      <c r="H325" s="127">
        <f t="shared" ref="H325" si="1963">H310*X325</f>
        <v>2.8566166479267459</v>
      </c>
      <c r="I325" s="127">
        <f t="shared" ref="I325" si="1964">I310*Y325</f>
        <v>2.9707503842457541</v>
      </c>
      <c r="J325" s="127">
        <f t="shared" ref="J325" si="1965">J310*Z325</f>
        <v>3.0913376424434182</v>
      </c>
      <c r="K325" s="127">
        <f t="shared" ref="K325" si="1966">K310*AA325</f>
        <v>3.2187828634960933</v>
      </c>
      <c r="L325" s="127">
        <f t="shared" ref="L325" si="1967">L310*AB325</f>
        <v>3.3535186514900959</v>
      </c>
      <c r="M325" s="127">
        <f t="shared" ref="M325" si="1968">M310*AC325</f>
        <v>3.4960078528658038</v>
      </c>
      <c r="N325" s="127">
        <f t="shared" ref="N325" si="1969">N310*AD325</f>
        <v>3.6467457963056913</v>
      </c>
      <c r="O325" s="127">
        <f t="shared" ref="O325" si="1970">O310*AE325</f>
        <v>3.8062627058842993</v>
      </c>
      <c r="P325" s="127">
        <f t="shared" ref="P325" si="1971">P310*AF325</f>
        <v>3.9751263010740572</v>
      </c>
      <c r="Q325" s="127">
        <f t="shared" ref="Q325" si="1972">Q310*AG325</f>
        <v>4.1539445982475129</v>
      </c>
      <c r="R325" s="68">
        <f>RATE(9,,-H325,Q325)</f>
        <v>4.2479773596341239E-2</v>
      </c>
      <c r="S325" s="125" t="s">
        <v>74</v>
      </c>
      <c r="T325" s="116">
        <f>1-SUM(T321:T324)</f>
        <v>5.0000000000000044E-2</v>
      </c>
      <c r="U325" s="116">
        <f t="shared" ref="U325:AG325" si="1973">1-SUM(U321:U324)</f>
        <v>4.9540739084886765E-2</v>
      </c>
      <c r="V325" s="116">
        <f t="shared" si="1973"/>
        <v>4.9081100183354764E-2</v>
      </c>
      <c r="W325" s="116">
        <f t="shared" si="1973"/>
        <v>4.8621082859250597E-2</v>
      </c>
      <c r="X325" s="116">
        <f t="shared" si="1973"/>
        <v>4.8160686675831288E-2</v>
      </c>
      <c r="Y325" s="116">
        <f t="shared" si="1973"/>
        <v>4.7699911195762668E-2</v>
      </c>
      <c r="Z325" s="116">
        <f t="shared" si="1973"/>
        <v>4.7238755981118041E-2</v>
      </c>
      <c r="AA325" s="116">
        <f t="shared" si="1973"/>
        <v>4.6777220593379298E-2</v>
      </c>
      <c r="AB325" s="116">
        <f t="shared" si="1973"/>
        <v>4.631530459343336E-2</v>
      </c>
      <c r="AC325" s="116">
        <f t="shared" si="1973"/>
        <v>4.5853007541573509E-2</v>
      </c>
      <c r="AD325" s="116">
        <f t="shared" si="1973"/>
        <v>4.5390328997497287E-2</v>
      </c>
      <c r="AE325" s="116">
        <f t="shared" si="1973"/>
        <v>4.4927268520306485E-2</v>
      </c>
      <c r="AF325" s="116">
        <f t="shared" si="1973"/>
        <v>4.4463825668505264E-2</v>
      </c>
      <c r="AG325" s="116">
        <f t="shared" si="1973"/>
        <v>4.4000000000000372E-2</v>
      </c>
    </row>
    <row r="326" spans="1:33" x14ac:dyDescent="0.35">
      <c r="A326" s="2"/>
      <c r="D326" s="81" t="b">
        <f>D310=SUM(D321:D325)</f>
        <v>1</v>
      </c>
      <c r="E326" s="81" t="b">
        <f t="shared" ref="E326:Q326" si="1974">E310=SUM(E321:E325)</f>
        <v>1</v>
      </c>
      <c r="F326" s="81" t="b">
        <f t="shared" si="1974"/>
        <v>1</v>
      </c>
      <c r="G326" s="81" t="b">
        <f t="shared" si="1974"/>
        <v>1</v>
      </c>
      <c r="H326" s="81" t="b">
        <f t="shared" si="1974"/>
        <v>1</v>
      </c>
      <c r="I326" s="81" t="b">
        <f t="shared" si="1974"/>
        <v>1</v>
      </c>
      <c r="J326" s="81" t="b">
        <f t="shared" si="1974"/>
        <v>1</v>
      </c>
      <c r="K326" s="81" t="b">
        <f t="shared" si="1974"/>
        <v>1</v>
      </c>
      <c r="L326" s="81" t="b">
        <f t="shared" si="1974"/>
        <v>1</v>
      </c>
      <c r="M326" s="81" t="b">
        <f t="shared" si="1974"/>
        <v>1</v>
      </c>
      <c r="N326" s="81" t="b">
        <f t="shared" si="1974"/>
        <v>1</v>
      </c>
      <c r="O326" s="81" t="b">
        <f t="shared" si="1974"/>
        <v>1</v>
      </c>
      <c r="P326" s="81" t="b">
        <f t="shared" si="1974"/>
        <v>1</v>
      </c>
      <c r="Q326" s="81" t="b">
        <f t="shared" si="1974"/>
        <v>1</v>
      </c>
      <c r="R326" s="21"/>
    </row>
    <row r="327" spans="1:33" s="117" customFormat="1" x14ac:dyDescent="0.35">
      <c r="A327" s="149" t="s">
        <v>75</v>
      </c>
      <c r="B327" s="128" t="s">
        <v>76</v>
      </c>
      <c r="C327" s="129"/>
      <c r="D327" s="130">
        <f>D310*T327</f>
        <v>10.812601800000001</v>
      </c>
      <c r="E327" s="130">
        <f t="shared" ref="E327" si="1975">E310*U327</f>
        <v>11.340381053657691</v>
      </c>
      <c r="F327" s="130">
        <f t="shared" ref="F327" si="1976">F310*V327</f>
        <v>11.902442002904102</v>
      </c>
      <c r="G327" s="130">
        <f t="shared" ref="G327" si="1977">G310*W327</f>
        <v>12.501302538656711</v>
      </c>
      <c r="H327" s="130">
        <f t="shared" ref="H327" si="1978">H310*X327</f>
        <v>13.139686396178359</v>
      </c>
      <c r="I327" s="130">
        <f t="shared" ref="I327" si="1979">I310*Y327</f>
        <v>13.82054138799082</v>
      </c>
      <c r="J327" s="130">
        <f t="shared" ref="J327" si="1980">J310*Z327</f>
        <v>14.547059368507696</v>
      </c>
      <c r="K327" s="130">
        <f t="shared" ref="K327" si="1981">K310*AA327</f>
        <v>15.322698104910714</v>
      </c>
      <c r="L327" s="130">
        <f t="shared" ref="L327" si="1982">L310*AB327</f>
        <v>16.151205247337423</v>
      </c>
      <c r="M327" s="130">
        <f t="shared" ref="M327" si="1983">M310*AC327</f>
        <v>17.036644612057763</v>
      </c>
      <c r="N327" s="130">
        <f t="shared" ref="N327" si="1984">N310*AD327</f>
        <v>17.983425014231969</v>
      </c>
      <c r="O327" s="130">
        <f t="shared" ref="O327" si="1985">O310*AE327</f>
        <v>18.996331912332703</v>
      </c>
      <c r="P327" s="130">
        <f t="shared" ref="P327" si="1986">P310*AF327</f>
        <v>20.080562154681083</v>
      </c>
      <c r="Q327" s="130">
        <f>Q310*AG327</f>
        <v>21.241762150129166</v>
      </c>
      <c r="R327" s="68">
        <f t="shared" ref="R327:R332" si="1987">RATE(9,,-H327,Q327)</f>
        <v>5.4820091879968343E-2</v>
      </c>
      <c r="S327" s="134" t="s">
        <v>76</v>
      </c>
      <c r="T327" s="116">
        <v>0.22000000000000003</v>
      </c>
      <c r="U327" s="116">
        <v>0.22038063877502673</v>
      </c>
      <c r="V327" s="116">
        <v>0.22076193612222184</v>
      </c>
      <c r="W327" s="116">
        <v>0.22114389318103134</v>
      </c>
      <c r="X327" s="116">
        <v>0.22152651109287255</v>
      </c>
      <c r="Y327" s="116">
        <v>0.22190979100113767</v>
      </c>
      <c r="Z327" s="116">
        <v>0.22229373405119721</v>
      </c>
      <c r="AA327" s="116">
        <v>0.22267834139040343</v>
      </c>
      <c r="AB327" s="116">
        <v>0.2230636141680935</v>
      </c>
      <c r="AC327" s="116">
        <v>0.22344955353559337</v>
      </c>
      <c r="AD327" s="116">
        <v>0.22383616064622086</v>
      </c>
      <c r="AE327" s="116">
        <v>0.22422343665528938</v>
      </c>
      <c r="AF327" s="116">
        <v>0.22461138272011094</v>
      </c>
      <c r="AG327" s="116">
        <v>0.22500000000000017</v>
      </c>
    </row>
    <row r="328" spans="1:33" s="117" customFormat="1" x14ac:dyDescent="0.35">
      <c r="A328" s="149"/>
      <c r="B328" s="128" t="s">
        <v>77</v>
      </c>
      <c r="C328" s="129"/>
      <c r="D328" s="130">
        <f>D310*T328</f>
        <v>18.676312200000002</v>
      </c>
      <c r="E328" s="130">
        <f t="shared" ref="E328" si="1988">E310*U328</f>
        <v>19.554098873400001</v>
      </c>
      <c r="F328" s="130">
        <f t="shared" ref="F328" si="1989">F310*V328</f>
        <v>20.48780709460485</v>
      </c>
      <c r="G328" s="130">
        <f t="shared" ref="G328" si="1990">G310*W328</f>
        <v>21.481465738693185</v>
      </c>
      <c r="H328" s="130">
        <f t="shared" ref="H328" si="1991">H310*X328</f>
        <v>22.539427926323825</v>
      </c>
      <c r="I328" s="130">
        <f t="shared" ref="I328" si="1992">I310*Y328</f>
        <v>23.666399322640014</v>
      </c>
      <c r="J328" s="130">
        <f t="shared" ref="J328" si="1993">J310*Z328</f>
        <v>24.867469088263999</v>
      </c>
      <c r="K328" s="130">
        <f t="shared" ref="K328" si="1994">K310*AA328</f>
        <v>26.1481437463096</v>
      </c>
      <c r="L328" s="130">
        <f t="shared" ref="L328" si="1995">L310*AB328</f>
        <v>27.514384257054274</v>
      </c>
      <c r="M328" s="130">
        <f t="shared" ref="M328" si="1996">M310*AC328</f>
        <v>28.972646622678152</v>
      </c>
      <c r="N328" s="130">
        <f t="shared" ref="N328" si="1997">N310*AD328</f>
        <v>30.529926378647101</v>
      </c>
      <c r="O328" s="130">
        <f t="shared" ref="O328" si="1998">O310*AE328</f>
        <v>32.193807366283366</v>
      </c>
      <c r="P328" s="130">
        <f t="shared" ref="P328" si="1999">P310*AF328</f>
        <v>33.972515223270527</v>
      </c>
      <c r="Q328" s="130">
        <f t="shared" ref="Q328" si="2000">Q310*AG328</f>
        <v>35.874976075773674</v>
      </c>
      <c r="R328" s="68">
        <f t="shared" si="1987"/>
        <v>5.2998219369395319E-2</v>
      </c>
      <c r="S328" s="134" t="s">
        <v>77</v>
      </c>
      <c r="T328" s="116">
        <v>0.38</v>
      </c>
      <c r="U328" s="116">
        <v>0.38</v>
      </c>
      <c r="V328" s="116">
        <v>0.38</v>
      </c>
      <c r="W328" s="116">
        <v>0.38</v>
      </c>
      <c r="X328" s="116">
        <v>0.38</v>
      </c>
      <c r="Y328" s="116">
        <v>0.38</v>
      </c>
      <c r="Z328" s="116">
        <v>0.38</v>
      </c>
      <c r="AA328" s="116">
        <v>0.38</v>
      </c>
      <c r="AB328" s="116">
        <v>0.38</v>
      </c>
      <c r="AC328" s="116">
        <v>0.38</v>
      </c>
      <c r="AD328" s="116">
        <v>0.38</v>
      </c>
      <c r="AE328" s="116">
        <v>0.38</v>
      </c>
      <c r="AF328" s="116">
        <v>0.38</v>
      </c>
      <c r="AG328" s="116">
        <v>0.38</v>
      </c>
    </row>
    <row r="329" spans="1:33" s="117" customFormat="1" x14ac:dyDescent="0.35">
      <c r="A329" s="149"/>
      <c r="B329" s="128" t="s">
        <v>78</v>
      </c>
      <c r="C329" s="129"/>
      <c r="D329" s="132">
        <f>D310*T329</f>
        <v>8.3551922999999988</v>
      </c>
      <c r="E329" s="132">
        <f t="shared" ref="E329" si="2001">E310*U329</f>
        <v>8.7901790270288576</v>
      </c>
      <c r="F329" s="132">
        <f t="shared" ref="F329" si="2002">F310*V329</f>
        <v>9.2544364727852759</v>
      </c>
      <c r="G329" s="132">
        <f t="shared" ref="G329" si="2003">G310*W329</f>
        <v>9.7501882778224047</v>
      </c>
      <c r="H329" s="132">
        <f t="shared" ref="H329" si="2004">H310*X329</f>
        <v>10.279845054423937</v>
      </c>
      <c r="I329" s="132">
        <f t="shared" ref="I329" si="2005">I310*Y329</f>
        <v>10.846021387497387</v>
      </c>
      <c r="J329" s="132">
        <f t="shared" ref="J329" si="2006">J310*Z329</f>
        <v>11.451554489160582</v>
      </c>
      <c r="K329" s="132">
        <f t="shared" ref="K329" si="2007">K310*AA329</f>
        <v>12.099524677467146</v>
      </c>
      <c r="L329" s="132">
        <f t="shared" ref="L329" si="2008">L310*AB329</f>
        <v>12.793277868213538</v>
      </c>
      <c r="M329" s="132">
        <f t="shared" ref="M329" si="2009">M310*AC329</f>
        <v>13.536450289369087</v>
      </c>
      <c r="N329" s="132">
        <f t="shared" ref="N329" si="2010">N310*AD329</f>
        <v>14.332995650620527</v>
      </c>
      <c r="O329" s="132">
        <f t="shared" ref="O329" si="2011">O310*AE329</f>
        <v>15.187215026103862</v>
      </c>
      <c r="P329" s="132">
        <f t="shared" ref="P329" si="2012">P310*AF329</f>
        <v>16.103789736923151</v>
      </c>
      <c r="Q329" s="132">
        <f t="shared" ref="Q329" si="2013">Q310*AG329</f>
        <v>17.087817551881642</v>
      </c>
      <c r="R329" s="68">
        <f t="shared" si="1987"/>
        <v>5.8089063541181131E-2</v>
      </c>
      <c r="S329" s="134" t="s">
        <v>78</v>
      </c>
      <c r="T329" s="116">
        <v>0.16999999999999998</v>
      </c>
      <c r="U329" s="116">
        <v>0.17082188506343435</v>
      </c>
      <c r="V329" s="116">
        <v>0.17164774362720694</v>
      </c>
      <c r="W329" s="116">
        <v>0.17247759490167405</v>
      </c>
      <c r="X329" s="116">
        <v>0.17331145819006682</v>
      </c>
      <c r="Y329" s="116">
        <v>0.17414935288894001</v>
      </c>
      <c r="Z329" s="116">
        <v>0.17499129848862341</v>
      </c>
      <c r="AA329" s="116">
        <v>0.17583731457367507</v>
      </c>
      <c r="AB329" s="116">
        <v>0.17668742082333691</v>
      </c>
      <c r="AC329" s="116">
        <v>0.17754163701199244</v>
      </c>
      <c r="AD329" s="116">
        <v>0.17839998300962681</v>
      </c>
      <c r="AE329" s="116">
        <v>0.17926247878228888</v>
      </c>
      <c r="AF329" s="116">
        <v>0.18012914439255584</v>
      </c>
      <c r="AG329" s="116">
        <v>0.18099999999999969</v>
      </c>
    </row>
    <row r="330" spans="1:33" s="117" customFormat="1" x14ac:dyDescent="0.35">
      <c r="A330" s="149"/>
      <c r="B330" s="128" t="s">
        <v>79</v>
      </c>
      <c r="C330" s="129"/>
      <c r="D330" s="132">
        <f>D310*T330</f>
        <v>6.8807466000000002</v>
      </c>
      <c r="E330" s="132">
        <f t="shared" ref="E330" si="2014">E310*U330</f>
        <v>7.2080870198445748</v>
      </c>
      <c r="F330" s="132">
        <f t="shared" ref="F330" si="2015">F310*V330</f>
        <v>7.5564091579978925</v>
      </c>
      <c r="G330" s="132">
        <f t="shared" ref="G330" si="2016">G310*W330</f>
        <v>7.9272339552057316</v>
      </c>
      <c r="H330" s="132">
        <f t="shared" ref="H330" si="2017">H310*X330</f>
        <v>8.3222053672271379</v>
      </c>
      <c r="I330" s="132">
        <f t="shared" ref="I330" si="2018">I310*Y330</f>
        <v>8.7431011516434634</v>
      </c>
      <c r="J330" s="132">
        <f t="shared" ref="J330" si="2019">J310*Z330</f>
        <v>9.1918446698640288</v>
      </c>
      <c r="K330" s="132">
        <f t="shared" ref="K330" si="2020">K310*AA330</f>
        <v>9.6705178057629233</v>
      </c>
      <c r="L330" s="132">
        <f t="shared" ref="L330" si="2021">L310*AB330</f>
        <v>10.181375113072432</v>
      </c>
      <c r="M330" s="132">
        <f t="shared" ref="M330" si="2022">M310*AC330</f>
        <v>10.726859315531593</v>
      </c>
      <c r="N330" s="132">
        <f t="shared" ref="N330" si="2023">N310*AD330</f>
        <v>11.309618296979139</v>
      </c>
      <c r="O330" s="132">
        <f t="shared" ref="O330" si="2024">O310*AE330</f>
        <v>11.932523733242185</v>
      </c>
      <c r="P330" s="132">
        <f t="shared" ref="P330" si="2025">P310*AF330</f>
        <v>12.5986915339759</v>
      </c>
      <c r="Q330" s="132">
        <f t="shared" ref="Q330" si="2026">Q310*AG330</f>
        <v>13.311504280747625</v>
      </c>
      <c r="R330" s="68">
        <f t="shared" si="1987"/>
        <v>5.357489113255811E-2</v>
      </c>
      <c r="S330" s="134" t="s">
        <v>79</v>
      </c>
      <c r="T330" s="116">
        <v>0.14000000000000001</v>
      </c>
      <c r="U330" s="116">
        <v>0.14007667063947282</v>
      </c>
      <c r="V330" s="116">
        <v>0.14015338326742385</v>
      </c>
      <c r="W330" s="116">
        <v>0.1402301379068481</v>
      </c>
      <c r="X330" s="116">
        <v>0.14030693458075291</v>
      </c>
      <c r="Y330" s="116">
        <v>0.14038377331215846</v>
      </c>
      <c r="Z330" s="116">
        <v>0.14046065412409731</v>
      </c>
      <c r="AA330" s="116">
        <v>0.14053757703961495</v>
      </c>
      <c r="AB330" s="116">
        <v>0.14061454208176913</v>
      </c>
      <c r="AC330" s="116">
        <v>0.14069154927363042</v>
      </c>
      <c r="AD330" s="116">
        <v>0.14076859863828203</v>
      </c>
      <c r="AE330" s="116">
        <v>0.14084569019881982</v>
      </c>
      <c r="AF330" s="116">
        <v>0.14092282397835218</v>
      </c>
      <c r="AG330" s="116">
        <v>0.14100000000000026</v>
      </c>
    </row>
    <row r="331" spans="1:33" s="117" customFormat="1" x14ac:dyDescent="0.35">
      <c r="A331" s="149"/>
      <c r="B331" s="128" t="s">
        <v>80</v>
      </c>
      <c r="C331" s="129"/>
      <c r="D331" s="132">
        <f>D310*T331</f>
        <v>1.9659276000000014</v>
      </c>
      <c r="E331" s="132">
        <f t="shared" ref="E331" si="2027">E310*U331</f>
        <v>1.9087426422868854</v>
      </c>
      <c r="F331" s="132">
        <f t="shared" ref="F331" si="2028">F310*V331</f>
        <v>1.8545486045086932</v>
      </c>
      <c r="G331" s="132">
        <f t="shared" ref="G331" si="2029">G310*W331</f>
        <v>1.8031831032631414</v>
      </c>
      <c r="H331" s="132">
        <f t="shared" ref="H331" si="2030">H310*X331</f>
        <v>1.7544943802657846</v>
      </c>
      <c r="I331" s="132">
        <f t="shared" ref="I331" si="2031">I310*Y331</f>
        <v>1.7083405710973589</v>
      </c>
      <c r="J331" s="132">
        <f t="shared" ref="J331" si="2032">J310*Z331</f>
        <v>1.6645890296275303</v>
      </c>
      <c r="K331" s="132">
        <f t="shared" ref="K331" si="2033">K310*AA331</f>
        <v>1.6231157036763597</v>
      </c>
      <c r="L331" s="132">
        <f t="shared" ref="L331" si="2034">L310*AB331</f>
        <v>1.5838045578533755</v>
      </c>
      <c r="M331" s="132">
        <f t="shared" ref="M331" si="2035">M310*AC331</f>
        <v>1.5465470398590935</v>
      </c>
      <c r="N331" s="132">
        <f t="shared" ref="N331" si="2036">N310*AD331</f>
        <v>1.5112415868483178</v>
      </c>
      <c r="O331" s="132">
        <f t="shared" ref="O331" si="2037">O310*AE331</f>
        <v>1.4777931687414283</v>
      </c>
      <c r="P331" s="132">
        <f t="shared" ref="P331" si="2038">P310*AF331</f>
        <v>1.446112865631642</v>
      </c>
      <c r="Q331" s="132">
        <f t="shared" ref="Q331" si="2039">Q310*AG331</f>
        <v>1.4161174766752771</v>
      </c>
      <c r="R331" s="68">
        <f t="shared" si="1987"/>
        <v>-2.3525714098825739E-2</v>
      </c>
      <c r="S331" s="134" t="s">
        <v>80</v>
      </c>
      <c r="T331" s="116">
        <v>4.0000000000000029E-2</v>
      </c>
      <c r="U331" s="116">
        <v>3.7093103024844219E-2</v>
      </c>
      <c r="V331" s="116">
        <v>3.4397457300292665E-2</v>
      </c>
      <c r="W331" s="116">
        <v>3.1897710685810869E-2</v>
      </c>
      <c r="X331" s="116">
        <v>2.9579626718136409E-2</v>
      </c>
      <c r="Y331" s="116">
        <v>2.7430003532306693E-2</v>
      </c>
      <c r="Z331" s="116">
        <v>2.543659867489231E-2</v>
      </c>
      <c r="AA331" s="116">
        <v>2.3588059381234896E-2</v>
      </c>
      <c r="AB331" s="116">
        <v>2.1873857919607213E-2</v>
      </c>
      <c r="AC331" s="116">
        <v>2.0284231634069862E-2</v>
      </c>
      <c r="AD331" s="116">
        <v>1.8810127344558929E-2</v>
      </c>
      <c r="AE331" s="116">
        <v>1.7443149787554083E-2</v>
      </c>
      <c r="AF331" s="116">
        <v>1.617551380368832E-2</v>
      </c>
      <c r="AG331" s="116">
        <v>1.5000000000000005E-2</v>
      </c>
    </row>
    <row r="332" spans="1:33" s="117" customFormat="1" x14ac:dyDescent="0.35">
      <c r="A332" s="149"/>
      <c r="B332" s="128" t="s">
        <v>81</v>
      </c>
      <c r="C332" s="129"/>
      <c r="D332" s="132">
        <f>D310*T332</f>
        <v>0.98296380000000017</v>
      </c>
      <c r="E332" s="132">
        <f t="shared" ref="E332" si="2040">E310*U332</f>
        <v>1.0367361890070592</v>
      </c>
      <c r="F332" s="132">
        <f t="shared" ref="F332" si="2041">F310*V332</f>
        <v>1.0942334349881557</v>
      </c>
      <c r="G332" s="132">
        <f t="shared" ref="G332" si="2042">G310*W332</f>
        <v>1.1557461843060097</v>
      </c>
      <c r="H332" s="132">
        <f t="shared" ref="H332" si="2043">H310*X332</f>
        <v>1.221590084307336</v>
      </c>
      <c r="I332" s="132">
        <f t="shared" ref="I332" si="2044">I310*Y332</f>
        <v>1.2921081048953571</v>
      </c>
      <c r="J332" s="132">
        <f t="shared" ref="J332" si="2045">J310*Z332</f>
        <v>1.3676730903159531</v>
      </c>
      <c r="K332" s="132">
        <f t="shared" ref="K332" si="2046">K310*AA332</f>
        <v>1.4486905653186668</v>
      </c>
      <c r="L332" s="132">
        <f t="shared" ref="L332" si="2047">L310*AB332</f>
        <v>1.5356018225208032</v>
      </c>
      <c r="M332" s="132">
        <f t="shared" ref="M332" si="2048">M310*AC332</f>
        <v>1.628887320777938</v>
      </c>
      <c r="N332" s="132">
        <f t="shared" ref="N332" si="2049">N310*AD332</f>
        <v>1.7290704276843425</v>
      </c>
      <c r="O332" s="132">
        <f t="shared" ref="O332" si="2050">O310*AE332</f>
        <v>1.836721543033893</v>
      </c>
      <c r="P332" s="132">
        <f t="shared" ref="P332" si="2051">P310*AF332</f>
        <v>1.9524626442128912</v>
      </c>
      <c r="Q332" s="132">
        <f t="shared" ref="Q332" si="2052">Q310*AG332</f>
        <v>2.0769722991237396</v>
      </c>
      <c r="R332" s="68">
        <f t="shared" si="1987"/>
        <v>6.0746700370100569E-2</v>
      </c>
      <c r="S332" s="134" t="s">
        <v>81</v>
      </c>
      <c r="T332" s="116">
        <v>2.0000000000000004E-2</v>
      </c>
      <c r="U332" s="116">
        <v>2.0147169878464571E-2</v>
      </c>
      <c r="V332" s="116">
        <v>2.0295422705585511E-2</v>
      </c>
      <c r="W332" s="116">
        <v>2.0444766450233912E-2</v>
      </c>
      <c r="X332" s="116">
        <v>2.0595209139919784E-2</v>
      </c>
      <c r="Y332" s="116">
        <v>2.0746758861223506E-2</v>
      </c>
      <c r="Z332" s="116">
        <v>2.0899423760230504E-2</v>
      </c>
      <c r="AA332" s="116">
        <v>2.1053212042969137E-2</v>
      </c>
      <c r="AB332" s="116">
        <v>2.1208131975851766E-2</v>
      </c>
      <c r="AC332" s="116">
        <v>2.1364191886119096E-2</v>
      </c>
      <c r="AD332" s="116">
        <v>2.1521400162287797E-2</v>
      </c>
      <c r="AE332" s="116">
        <v>2.1679765254601358E-2</v>
      </c>
      <c r="AF332" s="116">
        <v>2.1839295675484361E-2</v>
      </c>
      <c r="AG332" s="116">
        <v>2.2000000000000006E-2</v>
      </c>
    </row>
    <row r="333" spans="1:33" s="117" customFormat="1" x14ac:dyDescent="0.35">
      <c r="A333" s="149"/>
      <c r="B333" s="128" t="s">
        <v>82</v>
      </c>
      <c r="C333" s="129"/>
      <c r="D333" s="132">
        <f>D310*T333</f>
        <v>1.4744456999999958</v>
      </c>
      <c r="E333" s="132">
        <f t="shared" ref="E333" si="2053">E310*U333</f>
        <v>1.6199301247749303</v>
      </c>
      <c r="F333" s="132">
        <f t="shared" ref="F333" si="2054">F310*V333</f>
        <v>1.7654050601185316</v>
      </c>
      <c r="G333" s="132">
        <f t="shared" ref="G333" si="2055">G310*W333</f>
        <v>1.9110531986138304</v>
      </c>
      <c r="H333" s="132">
        <f t="shared" ref="H333" si="2056">H310*X333</f>
        <v>2.0570348079152616</v>
      </c>
      <c r="I333" s="132">
        <f t="shared" ref="I333" si="2057">I310*Y333</f>
        <v>2.2034862917093219</v>
      </c>
      <c r="J333" s="132">
        <f t="shared" ref="J333" si="2058">J310*Z333</f>
        <v>2.3505183912707297</v>
      </c>
      <c r="K333" s="132">
        <f t="shared" ref="K333" si="2059">K310*AA333</f>
        <v>2.498213992106173</v>
      </c>
      <c r="L333" s="132">
        <f t="shared" ref="L333" si="2060">L310*AB333</f>
        <v>2.6466254946172967</v>
      </c>
      <c r="M333" s="132">
        <f t="shared" ref="M333" si="2061">M310*AC333</f>
        <v>2.7957717015109891</v>
      </c>
      <c r="N333" s="132">
        <f t="shared" ref="N333" si="2062">N310*AD333</f>
        <v>2.9456341677441413</v>
      </c>
      <c r="O333" s="132">
        <f t="shared" ref="O333" si="2063">O310*AE333</f>
        <v>3.0961529510082535</v>
      </c>
      <c r="P333" s="132">
        <f t="shared" ref="P333" si="2064">P310*AF333</f>
        <v>3.2472216920167076</v>
      </c>
      <c r="Q333" s="132">
        <f t="shared" ref="Q333" si="2065">Q310*AG333</f>
        <v>3.3986819440206459</v>
      </c>
      <c r="R333" s="68">
        <f>RATE(9,,-H333,Q333)</f>
        <v>5.7377040265380333E-2</v>
      </c>
      <c r="S333" s="134" t="s">
        <v>82</v>
      </c>
      <c r="T333" s="116">
        <f>1-SUM(T327:T332)</f>
        <v>2.9999999999999916E-2</v>
      </c>
      <c r="U333" s="116">
        <f t="shared" ref="U333:AG333" si="2066">1-SUM(U327:U332)</f>
        <v>3.1480532618757273E-2</v>
      </c>
      <c r="V333" s="116">
        <f t="shared" si="2066"/>
        <v>3.2744056977269231E-2</v>
      </c>
      <c r="W333" s="116">
        <f t="shared" si="2066"/>
        <v>3.380589687440172E-2</v>
      </c>
      <c r="X333" s="116">
        <f t="shared" si="2066"/>
        <v>3.468026027825144E-2</v>
      </c>
      <c r="Y333" s="116">
        <f t="shared" si="2066"/>
        <v>3.5380320404233667E-2</v>
      </c>
      <c r="Z333" s="116">
        <f t="shared" si="2066"/>
        <v>3.5918290900959216E-2</v>
      </c>
      <c r="AA333" s="116">
        <f t="shared" si="2066"/>
        <v>3.6305495572102608E-2</v>
      </c>
      <c r="AB333" s="116">
        <f t="shared" si="2066"/>
        <v>3.655243303134148E-2</v>
      </c>
      <c r="AC333" s="116">
        <f t="shared" si="2066"/>
        <v>3.6668836658594883E-2</v>
      </c>
      <c r="AD333" s="116">
        <f t="shared" si="2066"/>
        <v>3.6663730199023692E-2</v>
      </c>
      <c r="AE333" s="116">
        <f t="shared" si="2066"/>
        <v>3.6545479321446361E-2</v>
      </c>
      <c r="AF333" s="116">
        <f t="shared" si="2066"/>
        <v>3.6321839429808267E-2</v>
      </c>
      <c r="AG333" s="116">
        <f t="shared" si="2066"/>
        <v>3.599999999999981E-2</v>
      </c>
    </row>
    <row r="335" spans="1:33" ht="25" x14ac:dyDescent="0.5">
      <c r="A335" s="146" t="s">
        <v>90</v>
      </c>
      <c r="B335" s="146"/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63"/>
    </row>
    <row r="336" spans="1:33" ht="23.5" thickBot="1" x14ac:dyDescent="0.55000000000000004">
      <c r="A336" s="63"/>
      <c r="B336" s="63"/>
      <c r="C336" s="63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</row>
    <row r="337" spans="1:33" ht="16" hidden="1" thickBot="1" x14ac:dyDescent="0.4">
      <c r="A337" s="42"/>
      <c r="B337" s="43"/>
      <c r="C337" s="93"/>
      <c r="D337" s="91">
        <v>2023</v>
      </c>
      <c r="E337" s="65">
        <v>2024</v>
      </c>
      <c r="F337" s="65">
        <v>2025</v>
      </c>
      <c r="G337" s="65">
        <v>2026</v>
      </c>
      <c r="H337" s="65">
        <v>2027</v>
      </c>
      <c r="I337" s="65">
        <v>2028</v>
      </c>
      <c r="J337" s="65">
        <v>2029</v>
      </c>
      <c r="K337" s="65">
        <v>2030</v>
      </c>
      <c r="L337" s="65">
        <v>2031</v>
      </c>
      <c r="M337" s="65">
        <v>2032</v>
      </c>
      <c r="N337" s="65">
        <v>2033</v>
      </c>
      <c r="O337" s="65">
        <v>2034</v>
      </c>
      <c r="P337" s="65">
        <v>2035</v>
      </c>
      <c r="Q337" s="65">
        <v>2036</v>
      </c>
      <c r="R337" s="66" t="s">
        <v>13</v>
      </c>
    </row>
    <row r="338" spans="1:33" ht="16" hidden="1" thickBot="1" x14ac:dyDescent="0.4">
      <c r="A338" s="25"/>
      <c r="B338" s="94"/>
      <c r="C338" s="95"/>
      <c r="D338" s="92" t="e">
        <f>#REF!</f>
        <v>#REF!</v>
      </c>
      <c r="E338" s="92" t="e">
        <f>#REF!</f>
        <v>#REF!</v>
      </c>
      <c r="F338" s="92" t="e">
        <f>#REF!</f>
        <v>#REF!</v>
      </c>
      <c r="G338" s="92" t="e">
        <f>#REF!</f>
        <v>#REF!</v>
      </c>
      <c r="H338" s="92" t="e">
        <f>#REF!</f>
        <v>#REF!</v>
      </c>
      <c r="I338" s="92" t="e">
        <f>#REF!</f>
        <v>#REF!</v>
      </c>
      <c r="J338" s="92" t="e">
        <f>#REF!</f>
        <v>#REF!</v>
      </c>
      <c r="K338" s="92" t="e">
        <f>#REF!</f>
        <v>#REF!</v>
      </c>
      <c r="L338" s="92" t="e">
        <f>#REF!</f>
        <v>#REF!</v>
      </c>
      <c r="M338" s="92" t="e">
        <f>#REF!</f>
        <v>#REF!</v>
      </c>
      <c r="N338" s="92" t="e">
        <f>#REF!</f>
        <v>#REF!</v>
      </c>
      <c r="O338" s="92" t="e">
        <f>#REF!</f>
        <v>#REF!</v>
      </c>
      <c r="P338" s="92" t="e">
        <f>#REF!</f>
        <v>#REF!</v>
      </c>
      <c r="Q338" s="92" t="e">
        <f>#REF!</f>
        <v>#REF!</v>
      </c>
      <c r="R338" s="68" t="e">
        <f>RATE(12,,-E338,Q338)</f>
        <v>#REF!</v>
      </c>
      <c r="T338" s="65">
        <v>2023</v>
      </c>
      <c r="U338" s="65">
        <v>2024</v>
      </c>
      <c r="V338" s="65">
        <v>2025</v>
      </c>
      <c r="W338" s="65">
        <v>2026</v>
      </c>
      <c r="X338" s="65">
        <v>2027</v>
      </c>
      <c r="Y338" s="65">
        <v>2028</v>
      </c>
      <c r="Z338" s="65">
        <v>2029</v>
      </c>
      <c r="AA338" s="65">
        <v>2030</v>
      </c>
      <c r="AB338" s="65">
        <v>2031</v>
      </c>
      <c r="AC338" s="65">
        <v>2032</v>
      </c>
      <c r="AD338" s="65">
        <v>2033</v>
      </c>
      <c r="AE338" s="65">
        <v>2034</v>
      </c>
      <c r="AF338" s="65">
        <v>2035</v>
      </c>
      <c r="AG338" s="65">
        <v>2036</v>
      </c>
    </row>
    <row r="339" spans="1:33" ht="15" hidden="1" thickBot="1" x14ac:dyDescent="0.4">
      <c r="A339" s="150" t="s">
        <v>49</v>
      </c>
      <c r="B339" s="52" t="s">
        <v>34</v>
      </c>
      <c r="C339" s="45"/>
      <c r="D339" s="79" t="e">
        <f t="shared" ref="D339" si="2067">D338*T339</f>
        <v>#REF!</v>
      </c>
      <c r="E339" s="79" t="e">
        <f t="shared" ref="E339" si="2068">E338*U339</f>
        <v>#REF!</v>
      </c>
      <c r="F339" s="79" t="e">
        <f t="shared" ref="F339" si="2069">F338*V339</f>
        <v>#REF!</v>
      </c>
      <c r="G339" s="79" t="e">
        <f t="shared" ref="G339" si="2070">G338*W339</f>
        <v>#REF!</v>
      </c>
      <c r="H339" s="79" t="e">
        <f t="shared" ref="H339" si="2071">H338*X339</f>
        <v>#REF!</v>
      </c>
      <c r="I339" s="79" t="e">
        <f t="shared" ref="I339" si="2072">I338*Y339</f>
        <v>#REF!</v>
      </c>
      <c r="J339" s="79" t="e">
        <f t="shared" ref="J339" si="2073">J338*Z339</f>
        <v>#REF!</v>
      </c>
      <c r="K339" s="79" t="e">
        <f t="shared" ref="K339" si="2074">K338*AA339</f>
        <v>#REF!</v>
      </c>
      <c r="L339" s="79" t="e">
        <f t="shared" ref="L339" si="2075">L338*AB339</f>
        <v>#REF!</v>
      </c>
      <c r="M339" s="79" t="e">
        <f t="shared" ref="M339" si="2076">M338*AC339</f>
        <v>#REF!</v>
      </c>
      <c r="N339" s="79" t="e">
        <f t="shared" ref="N339" si="2077">N338*AD339</f>
        <v>#REF!</v>
      </c>
      <c r="O339" s="79" t="e">
        <f t="shared" ref="O339" si="2078">O338*AE339</f>
        <v>#REF!</v>
      </c>
      <c r="P339" s="79" t="e">
        <f t="shared" ref="P339" si="2079">P338*AF339</f>
        <v>#REF!</v>
      </c>
      <c r="Q339" s="79" t="e">
        <f t="shared" ref="Q339" si="2080">Q338*AG339</f>
        <v>#REF!</v>
      </c>
      <c r="R339" s="77" t="e">
        <f>RATE(12,,-E339,Q339)</f>
        <v>#REF!</v>
      </c>
      <c r="S339" s="52"/>
      <c r="T339" s="12">
        <v>0.56000000000000005</v>
      </c>
      <c r="U339" s="12">
        <v>0.56092161367703952</v>
      </c>
      <c r="V339" s="12">
        <v>0.56184474408938223</v>
      </c>
      <c r="W339" s="12">
        <v>0.56276939373317769</v>
      </c>
      <c r="X339" s="12">
        <v>0.56369556510868446</v>
      </c>
      <c r="Y339" s="12">
        <v>0.56462326072027491</v>
      </c>
      <c r="Z339" s="12">
        <v>0.56555248307644368</v>
      </c>
      <c r="AA339" s="12">
        <v>0.56648323468981299</v>
      </c>
      <c r="AB339" s="12">
        <v>0.56741551807714108</v>
      </c>
      <c r="AC339" s="12">
        <v>0.56834933575932756</v>
      </c>
      <c r="AD339" s="12">
        <v>0.56928469026142059</v>
      </c>
      <c r="AE339" s="12">
        <v>0.57022158411262425</v>
      </c>
      <c r="AF339" s="12">
        <v>0.57116001984630527</v>
      </c>
      <c r="AG339" s="12">
        <v>0.57209999999999905</v>
      </c>
    </row>
    <row r="340" spans="1:33" ht="15" hidden="1" thickBot="1" x14ac:dyDescent="0.4">
      <c r="A340" s="151"/>
      <c r="B340" s="53" t="s">
        <v>35</v>
      </c>
      <c r="C340" s="46"/>
      <c r="D340" s="80" t="e">
        <f t="shared" ref="D340" si="2081">D338*T340</f>
        <v>#REF!</v>
      </c>
      <c r="E340" s="80" t="e">
        <f t="shared" ref="E340" si="2082">E338*U340</f>
        <v>#REF!</v>
      </c>
      <c r="F340" s="80" t="e">
        <f t="shared" ref="F340" si="2083">F338*V340</f>
        <v>#REF!</v>
      </c>
      <c r="G340" s="80" t="e">
        <f t="shared" ref="G340" si="2084">G338*W340</f>
        <v>#REF!</v>
      </c>
      <c r="H340" s="80" t="e">
        <f t="shared" ref="H340" si="2085">H338*X340</f>
        <v>#REF!</v>
      </c>
      <c r="I340" s="80" t="e">
        <f t="shared" ref="I340" si="2086">I338*Y340</f>
        <v>#REF!</v>
      </c>
      <c r="J340" s="80" t="e">
        <f t="shared" ref="J340" si="2087">J338*Z340</f>
        <v>#REF!</v>
      </c>
      <c r="K340" s="80" t="e">
        <f t="shared" ref="K340" si="2088">K338*AA340</f>
        <v>#REF!</v>
      </c>
      <c r="L340" s="80" t="e">
        <f t="shared" ref="L340" si="2089">L338*AB340</f>
        <v>#REF!</v>
      </c>
      <c r="M340" s="80" t="e">
        <f t="shared" ref="M340" si="2090">M338*AC340</f>
        <v>#REF!</v>
      </c>
      <c r="N340" s="80" t="e">
        <f t="shared" ref="N340" si="2091">N338*AD340</f>
        <v>#REF!</v>
      </c>
      <c r="O340" s="80" t="e">
        <f t="shared" ref="O340" si="2092">O338*AE340</f>
        <v>#REF!</v>
      </c>
      <c r="P340" s="80" t="e">
        <f t="shared" ref="P340" si="2093">P338*AF340</f>
        <v>#REF!</v>
      </c>
      <c r="Q340" s="80" t="e">
        <f t="shared" ref="Q340" si="2094">Q338*AG340</f>
        <v>#REF!</v>
      </c>
      <c r="R340" s="78" t="e">
        <f>RATE(12,,-E340,Q340)</f>
        <v>#REF!</v>
      </c>
      <c r="S340" s="53"/>
      <c r="T340" s="12">
        <f>1-T339</f>
        <v>0.43999999999999995</v>
      </c>
      <c r="U340" s="12">
        <f t="shared" ref="U340:AG340" si="2095">1-U339</f>
        <v>0.43907838632296048</v>
      </c>
      <c r="V340" s="12">
        <f t="shared" si="2095"/>
        <v>0.43815525591061777</v>
      </c>
      <c r="W340" s="12">
        <f t="shared" si="2095"/>
        <v>0.43723060626682231</v>
      </c>
      <c r="X340" s="12">
        <f t="shared" si="2095"/>
        <v>0.43630443489131554</v>
      </c>
      <c r="Y340" s="12">
        <f t="shared" si="2095"/>
        <v>0.43537673927972509</v>
      </c>
      <c r="Z340" s="12">
        <f t="shared" si="2095"/>
        <v>0.43444751692355632</v>
      </c>
      <c r="AA340" s="12">
        <f t="shared" si="2095"/>
        <v>0.43351676531018701</v>
      </c>
      <c r="AB340" s="12">
        <f t="shared" si="2095"/>
        <v>0.43258448192285892</v>
      </c>
      <c r="AC340" s="12">
        <f t="shared" si="2095"/>
        <v>0.43165066424067244</v>
      </c>
      <c r="AD340" s="12">
        <f t="shared" si="2095"/>
        <v>0.43071530973857941</v>
      </c>
      <c r="AE340" s="12">
        <f t="shared" si="2095"/>
        <v>0.42977841588737575</v>
      </c>
      <c r="AF340" s="12">
        <f t="shared" si="2095"/>
        <v>0.42883998015369473</v>
      </c>
      <c r="AG340" s="12">
        <f t="shared" si="2095"/>
        <v>0.42790000000000095</v>
      </c>
    </row>
    <row r="341" spans="1:33" ht="15" hidden="1" thickBot="1" x14ac:dyDescent="0.4">
      <c r="A341" s="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21"/>
    </row>
    <row r="342" spans="1:33" ht="15" hidden="1" thickBot="1" x14ac:dyDescent="0.4">
      <c r="A342" s="150" t="s">
        <v>15</v>
      </c>
      <c r="B342" s="57" t="s">
        <v>16</v>
      </c>
      <c r="C342" s="47"/>
      <c r="D342" s="82" t="e">
        <f t="shared" ref="D342" si="2096">D338*T342</f>
        <v>#REF!</v>
      </c>
      <c r="E342" s="82" t="e">
        <f t="shared" ref="E342" si="2097">E338*U342</f>
        <v>#REF!</v>
      </c>
      <c r="F342" s="82" t="e">
        <f t="shared" ref="F342" si="2098">F338*V342</f>
        <v>#REF!</v>
      </c>
      <c r="G342" s="82" t="e">
        <f t="shared" ref="G342" si="2099">G338*W342</f>
        <v>#REF!</v>
      </c>
      <c r="H342" s="82" t="e">
        <f t="shared" ref="H342" si="2100">H338*X342</f>
        <v>#REF!</v>
      </c>
      <c r="I342" s="82" t="e">
        <f t="shared" ref="I342" si="2101">I338*Y342</f>
        <v>#REF!</v>
      </c>
      <c r="J342" s="82" t="e">
        <f t="shared" ref="J342" si="2102">J338*Z342</f>
        <v>#REF!</v>
      </c>
      <c r="K342" s="82" t="e">
        <f t="shared" ref="K342" si="2103">K338*AA342</f>
        <v>#REF!</v>
      </c>
      <c r="L342" s="82" t="e">
        <f t="shared" ref="L342" si="2104">L338*AB342</f>
        <v>#REF!</v>
      </c>
      <c r="M342" s="82" t="e">
        <f t="shared" ref="M342" si="2105">M338*AC342</f>
        <v>#REF!</v>
      </c>
      <c r="N342" s="82" t="e">
        <f t="shared" ref="N342" si="2106">N338*AD342</f>
        <v>#REF!</v>
      </c>
      <c r="O342" s="82" t="e">
        <f t="shared" ref="O342" si="2107">O338*AE342</f>
        <v>#REF!</v>
      </c>
      <c r="P342" s="82" t="e">
        <f t="shared" ref="P342" si="2108">P338*AF342</f>
        <v>#REF!</v>
      </c>
      <c r="Q342" s="82" t="e">
        <f t="shared" ref="Q342" si="2109">Q338*AG342</f>
        <v>#REF!</v>
      </c>
      <c r="R342" s="69" t="e">
        <f>RATE(12,,-E342,Q342)</f>
        <v>#REF!</v>
      </c>
      <c r="S342" s="57"/>
      <c r="T342" s="12">
        <v>0.47099999999999992</v>
      </c>
      <c r="U342" s="12">
        <v>0.47038461538461535</v>
      </c>
      <c r="V342" s="12">
        <v>0.46976923076923072</v>
      </c>
      <c r="W342" s="12">
        <v>0.46915384615384609</v>
      </c>
      <c r="X342" s="12">
        <v>0.46853846153846151</v>
      </c>
      <c r="Y342" s="12">
        <v>0.46792307692307689</v>
      </c>
      <c r="Z342" s="12">
        <v>0.46730769230769226</v>
      </c>
      <c r="AA342" s="12">
        <v>0.46669230769230763</v>
      </c>
      <c r="AB342" s="12">
        <v>0.46607692307692306</v>
      </c>
      <c r="AC342" s="12">
        <v>0.46546153846153843</v>
      </c>
      <c r="AD342" s="12">
        <v>0.4648461538461538</v>
      </c>
      <c r="AE342" s="12">
        <v>0.46423076923076922</v>
      </c>
      <c r="AF342" s="12">
        <v>0.4636153846153846</v>
      </c>
      <c r="AG342" s="12">
        <v>0.46299999999999997</v>
      </c>
    </row>
    <row r="343" spans="1:33" ht="15" hidden="1" thickBot="1" x14ac:dyDescent="0.4">
      <c r="A343" s="151"/>
      <c r="B343" s="58" t="s">
        <v>17</v>
      </c>
      <c r="C343" s="48"/>
      <c r="D343" s="83" t="e">
        <f t="shared" ref="D343" si="2110">D338*T343</f>
        <v>#REF!</v>
      </c>
      <c r="E343" s="83" t="e">
        <f t="shared" ref="E343" si="2111">E338*U343</f>
        <v>#REF!</v>
      </c>
      <c r="F343" s="83" t="e">
        <f t="shared" ref="F343" si="2112">F338*V343</f>
        <v>#REF!</v>
      </c>
      <c r="G343" s="83" t="e">
        <f t="shared" ref="G343" si="2113">G338*W343</f>
        <v>#REF!</v>
      </c>
      <c r="H343" s="83" t="e">
        <f t="shared" ref="H343" si="2114">H338*X343</f>
        <v>#REF!</v>
      </c>
      <c r="I343" s="83" t="e">
        <f t="shared" ref="I343" si="2115">I338*Y343</f>
        <v>#REF!</v>
      </c>
      <c r="J343" s="83" t="e">
        <f t="shared" ref="J343" si="2116">J338*Z343</f>
        <v>#REF!</v>
      </c>
      <c r="K343" s="83" t="e">
        <f t="shared" ref="K343" si="2117">K338*AA343</f>
        <v>#REF!</v>
      </c>
      <c r="L343" s="83" t="e">
        <f t="shared" ref="L343" si="2118">L338*AB343</f>
        <v>#REF!</v>
      </c>
      <c r="M343" s="83" t="e">
        <f t="shared" ref="M343" si="2119">M338*AC343</f>
        <v>#REF!</v>
      </c>
      <c r="N343" s="83" t="e">
        <f t="shared" ref="N343" si="2120">N338*AD343</f>
        <v>#REF!</v>
      </c>
      <c r="O343" s="83" t="e">
        <f t="shared" ref="O343" si="2121">O338*AE343</f>
        <v>#REF!</v>
      </c>
      <c r="P343" s="83" t="e">
        <f t="shared" ref="P343" si="2122">P338*AF343</f>
        <v>#REF!</v>
      </c>
      <c r="Q343" s="83" t="e">
        <f t="shared" ref="Q343" si="2123">Q338*AG343</f>
        <v>#REF!</v>
      </c>
      <c r="R343" s="70" t="e">
        <f>RATE(12,,-E343,Q343)</f>
        <v>#REF!</v>
      </c>
      <c r="S343" s="58"/>
      <c r="T343" s="12">
        <f>1-T342</f>
        <v>0.52900000000000014</v>
      </c>
      <c r="U343" s="12">
        <f t="shared" ref="U343:AG343" si="2124">1-U342</f>
        <v>0.5296153846153846</v>
      </c>
      <c r="V343" s="12">
        <f t="shared" si="2124"/>
        <v>0.53023076923076928</v>
      </c>
      <c r="W343" s="12">
        <f t="shared" si="2124"/>
        <v>0.53084615384615397</v>
      </c>
      <c r="X343" s="12">
        <f t="shared" si="2124"/>
        <v>0.53146153846153843</v>
      </c>
      <c r="Y343" s="12">
        <f t="shared" si="2124"/>
        <v>0.53207692307692311</v>
      </c>
      <c r="Z343" s="12">
        <f t="shared" si="2124"/>
        <v>0.5326923076923078</v>
      </c>
      <c r="AA343" s="12">
        <f t="shared" si="2124"/>
        <v>0.53330769230769237</v>
      </c>
      <c r="AB343" s="12">
        <f t="shared" si="2124"/>
        <v>0.53392307692307694</v>
      </c>
      <c r="AC343" s="12">
        <f t="shared" si="2124"/>
        <v>0.53453846153846163</v>
      </c>
      <c r="AD343" s="12">
        <f t="shared" si="2124"/>
        <v>0.5351538461538462</v>
      </c>
      <c r="AE343" s="12">
        <f t="shared" si="2124"/>
        <v>0.53576923076923078</v>
      </c>
      <c r="AF343" s="12">
        <f t="shared" si="2124"/>
        <v>0.53638461538461546</v>
      </c>
      <c r="AG343" s="12">
        <f t="shared" si="2124"/>
        <v>0.53700000000000003</v>
      </c>
    </row>
    <row r="344" spans="1:33" ht="15" hidden="1" thickBot="1" x14ac:dyDescent="0.4">
      <c r="A344" s="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21"/>
    </row>
    <row r="345" spans="1:33" ht="15" hidden="1" thickBot="1" x14ac:dyDescent="0.4">
      <c r="A345" s="150" t="s">
        <v>18</v>
      </c>
      <c r="B345" s="54" t="s">
        <v>19</v>
      </c>
      <c r="C345" s="49"/>
      <c r="D345" s="84" t="e">
        <f t="shared" ref="D345" si="2125">D338*T345</f>
        <v>#REF!</v>
      </c>
      <c r="E345" s="84" t="e">
        <f t="shared" ref="E345" si="2126">E338*U345</f>
        <v>#REF!</v>
      </c>
      <c r="F345" s="84" t="e">
        <f t="shared" ref="F345" si="2127">F338*V345</f>
        <v>#REF!</v>
      </c>
      <c r="G345" s="84" t="e">
        <f t="shared" ref="G345" si="2128">G338*W345</f>
        <v>#REF!</v>
      </c>
      <c r="H345" s="84" t="e">
        <f t="shared" ref="H345" si="2129">H338*X345</f>
        <v>#REF!</v>
      </c>
      <c r="I345" s="84" t="e">
        <f t="shared" ref="I345" si="2130">I338*Y345</f>
        <v>#REF!</v>
      </c>
      <c r="J345" s="84" t="e">
        <f t="shared" ref="J345" si="2131">J338*Z345</f>
        <v>#REF!</v>
      </c>
      <c r="K345" s="84" t="e">
        <f t="shared" ref="K345" si="2132">K338*AA345</f>
        <v>#REF!</v>
      </c>
      <c r="L345" s="84" t="e">
        <f t="shared" ref="L345" si="2133">L338*AB345</f>
        <v>#REF!</v>
      </c>
      <c r="M345" s="84" t="e">
        <f t="shared" ref="M345" si="2134">M338*AC345</f>
        <v>#REF!</v>
      </c>
      <c r="N345" s="84" t="e">
        <f t="shared" ref="N345" si="2135">N338*AD345</f>
        <v>#REF!</v>
      </c>
      <c r="O345" s="84" t="e">
        <f t="shared" ref="O345" si="2136">O338*AE345</f>
        <v>#REF!</v>
      </c>
      <c r="P345" s="84" t="e">
        <f t="shared" ref="P345" si="2137">P338*AF345</f>
        <v>#REF!</v>
      </c>
      <c r="Q345" s="84" t="e">
        <f t="shared" ref="Q345" si="2138">Q338*AG345</f>
        <v>#REF!</v>
      </c>
      <c r="R345" s="71" t="e">
        <f>RATE(12,,-E345,Q345)</f>
        <v>#REF!</v>
      </c>
      <c r="S345" s="54"/>
      <c r="T345" s="12">
        <v>0.40099999999999997</v>
      </c>
      <c r="U345" s="12">
        <v>0.40265090533119946</v>
      </c>
      <c r="V345" s="12">
        <v>0.40430860739160734</v>
      </c>
      <c r="W345" s="12">
        <v>0.40597313416316017</v>
      </c>
      <c r="X345" s="12">
        <v>0.40764451374299493</v>
      </c>
      <c r="Y345" s="12">
        <v>0.40932277434392395</v>
      </c>
      <c r="Z345" s="12">
        <v>0.41100794429491083</v>
      </c>
      <c r="AA345" s="12">
        <v>0.4127000520415488</v>
      </c>
      <c r="AB345" s="12">
        <v>0.41439912614654062</v>
      </c>
      <c r="AC345" s="12">
        <v>0.41610519529018092</v>
      </c>
      <c r="AD345" s="12">
        <v>0.41781828827084017</v>
      </c>
      <c r="AE345" s="12">
        <v>0.4195384340054511</v>
      </c>
      <c r="AF345" s="12">
        <v>0.4212656615299965</v>
      </c>
      <c r="AG345" s="12">
        <v>0.42299999999999938</v>
      </c>
    </row>
    <row r="346" spans="1:33" ht="15" hidden="1" thickBot="1" x14ac:dyDescent="0.4">
      <c r="A346" s="151"/>
      <c r="B346" s="56" t="s">
        <v>20</v>
      </c>
      <c r="C346" s="44"/>
      <c r="D346" s="85" t="e">
        <f t="shared" ref="D346" si="2139">D338*T346</f>
        <v>#REF!</v>
      </c>
      <c r="E346" s="85" t="e">
        <f t="shared" ref="E346" si="2140">E338*U346</f>
        <v>#REF!</v>
      </c>
      <c r="F346" s="85" t="e">
        <f t="shared" ref="F346" si="2141">F338*V346</f>
        <v>#REF!</v>
      </c>
      <c r="G346" s="85" t="e">
        <f t="shared" ref="G346" si="2142">G338*W346</f>
        <v>#REF!</v>
      </c>
      <c r="H346" s="85" t="e">
        <f t="shared" ref="H346" si="2143">H338*X346</f>
        <v>#REF!</v>
      </c>
      <c r="I346" s="85" t="e">
        <f t="shared" ref="I346" si="2144">I338*Y346</f>
        <v>#REF!</v>
      </c>
      <c r="J346" s="85" t="e">
        <f t="shared" ref="J346" si="2145">J338*Z346</f>
        <v>#REF!</v>
      </c>
      <c r="K346" s="85" t="e">
        <f t="shared" ref="K346" si="2146">K338*AA346</f>
        <v>#REF!</v>
      </c>
      <c r="L346" s="85" t="e">
        <f t="shared" ref="L346" si="2147">L338*AB346</f>
        <v>#REF!</v>
      </c>
      <c r="M346" s="85" t="e">
        <f t="shared" ref="M346" si="2148">M338*AC346</f>
        <v>#REF!</v>
      </c>
      <c r="N346" s="85" t="e">
        <f t="shared" ref="N346" si="2149">N338*AD346</f>
        <v>#REF!</v>
      </c>
      <c r="O346" s="85" t="e">
        <f t="shared" ref="O346" si="2150">O338*AE346</f>
        <v>#REF!</v>
      </c>
      <c r="P346" s="85" t="e">
        <f t="shared" ref="P346" si="2151">P338*AF346</f>
        <v>#REF!</v>
      </c>
      <c r="Q346" s="85" t="e">
        <f t="shared" ref="Q346" si="2152">Q338*AG346</f>
        <v>#REF!</v>
      </c>
      <c r="R346" s="72" t="e">
        <f>RATE(12,,-E346,Q346)</f>
        <v>#REF!</v>
      </c>
      <c r="S346" s="56"/>
      <c r="T346" s="12">
        <f>1-T345</f>
        <v>0.59899999999999998</v>
      </c>
      <c r="U346" s="12">
        <f t="shared" ref="U346:AG346" si="2153">1-U345</f>
        <v>0.59734909466880048</v>
      </c>
      <c r="V346" s="12">
        <f t="shared" si="2153"/>
        <v>0.59569139260839266</v>
      </c>
      <c r="W346" s="12">
        <f t="shared" si="2153"/>
        <v>0.59402686583683983</v>
      </c>
      <c r="X346" s="12">
        <f t="shared" si="2153"/>
        <v>0.59235548625700507</v>
      </c>
      <c r="Y346" s="12">
        <f t="shared" si="2153"/>
        <v>0.59067722565607605</v>
      </c>
      <c r="Z346" s="12">
        <f t="shared" si="2153"/>
        <v>0.58899205570508917</v>
      </c>
      <c r="AA346" s="12">
        <f t="shared" si="2153"/>
        <v>0.5872999479584512</v>
      </c>
      <c r="AB346" s="12">
        <f t="shared" si="2153"/>
        <v>0.58560087385345938</v>
      </c>
      <c r="AC346" s="12">
        <f t="shared" si="2153"/>
        <v>0.58389480470981914</v>
      </c>
      <c r="AD346" s="12">
        <f t="shared" si="2153"/>
        <v>0.58218171172915989</v>
      </c>
      <c r="AE346" s="12">
        <f t="shared" si="2153"/>
        <v>0.5804615659945489</v>
      </c>
      <c r="AF346" s="12">
        <f t="shared" si="2153"/>
        <v>0.57873433847000344</v>
      </c>
      <c r="AG346" s="12">
        <f t="shared" si="2153"/>
        <v>0.57700000000000062</v>
      </c>
    </row>
    <row r="347" spans="1:33" ht="15" hidden="1" thickBot="1" x14ac:dyDescent="0.4">
      <c r="A347" s="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21"/>
    </row>
    <row r="348" spans="1:33" ht="15" hidden="1" thickBot="1" x14ac:dyDescent="0.4">
      <c r="A348" s="150" t="s">
        <v>14</v>
      </c>
      <c r="B348" s="59" t="s">
        <v>21</v>
      </c>
      <c r="C348" s="50"/>
      <c r="D348" s="86" t="e">
        <f t="shared" ref="D348" si="2154">D338*T348</f>
        <v>#REF!</v>
      </c>
      <c r="E348" s="86" t="e">
        <f t="shared" ref="E348" si="2155">E338*U348</f>
        <v>#REF!</v>
      </c>
      <c r="F348" s="86" t="e">
        <f t="shared" ref="F348" si="2156">F338*V348</f>
        <v>#REF!</v>
      </c>
      <c r="G348" s="86" t="e">
        <f t="shared" ref="G348" si="2157">G338*W348</f>
        <v>#REF!</v>
      </c>
      <c r="H348" s="86" t="e">
        <f t="shared" ref="H348" si="2158">H338*X348</f>
        <v>#REF!</v>
      </c>
      <c r="I348" s="86" t="e">
        <f t="shared" ref="I348" si="2159">I338*Y348</f>
        <v>#REF!</v>
      </c>
      <c r="J348" s="86" t="e">
        <f t="shared" ref="J348" si="2160">J338*Z348</f>
        <v>#REF!</v>
      </c>
      <c r="K348" s="86" t="e">
        <f t="shared" ref="K348" si="2161">K338*AA348</f>
        <v>#REF!</v>
      </c>
      <c r="L348" s="86" t="e">
        <f t="shared" ref="L348" si="2162">L338*AB348</f>
        <v>#REF!</v>
      </c>
      <c r="M348" s="86" t="e">
        <f t="shared" ref="M348" si="2163">M338*AC348</f>
        <v>#REF!</v>
      </c>
      <c r="N348" s="86" t="e">
        <f t="shared" ref="N348" si="2164">N338*AD348</f>
        <v>#REF!</v>
      </c>
      <c r="O348" s="86" t="e">
        <f t="shared" ref="O348" si="2165">O338*AE348</f>
        <v>#REF!</v>
      </c>
      <c r="P348" s="86" t="e">
        <f t="shared" ref="P348" si="2166">P338*AF348</f>
        <v>#REF!</v>
      </c>
      <c r="Q348" s="86" t="e">
        <f t="shared" ref="Q348" si="2167">Q338*AG348</f>
        <v>#REF!</v>
      </c>
      <c r="R348" s="73" t="e">
        <f t="shared" ref="R348:R353" si="2168">RATE(12,,-E348,Q348)</f>
        <v>#REF!</v>
      </c>
      <c r="S348" s="59"/>
      <c r="T348" s="12">
        <v>0.25</v>
      </c>
      <c r="U348" s="12">
        <v>0.25155593539307364</v>
      </c>
      <c r="V348" s="12">
        <v>0.25312155452593693</v>
      </c>
      <c r="W348" s="12">
        <v>0.25469691766768382</v>
      </c>
      <c r="X348" s="12">
        <v>0.25628208546250747</v>
      </c>
      <c r="Y348" s="12">
        <v>0.2578771189320348</v>
      </c>
      <c r="Z348" s="12">
        <v>0.25948207947767565</v>
      </c>
      <c r="AA348" s="12">
        <v>0.2610970288829863</v>
      </c>
      <c r="AB348" s="12">
        <v>0.26272202931604799</v>
      </c>
      <c r="AC348" s="12">
        <v>0.26435714333185978</v>
      </c>
      <c r="AD348" s="12">
        <v>0.26600243387474731</v>
      </c>
      <c r="AE348" s="12">
        <v>0.26765796428078514</v>
      </c>
      <c r="AF348" s="12">
        <v>0.26932379828023517</v>
      </c>
      <c r="AG348" s="12">
        <v>0.27100000000000013</v>
      </c>
    </row>
    <row r="349" spans="1:33" ht="15" hidden="1" thickBot="1" x14ac:dyDescent="0.4">
      <c r="A349" s="155"/>
      <c r="B349" s="60" t="s">
        <v>22</v>
      </c>
      <c r="C349" s="41"/>
      <c r="D349" s="87" t="e">
        <f t="shared" ref="D349" si="2169">D338*T349</f>
        <v>#REF!</v>
      </c>
      <c r="E349" s="87" t="e">
        <f t="shared" ref="E349" si="2170">E338*U349</f>
        <v>#REF!</v>
      </c>
      <c r="F349" s="87" t="e">
        <f t="shared" ref="F349" si="2171">F338*V349</f>
        <v>#REF!</v>
      </c>
      <c r="G349" s="87" t="e">
        <f t="shared" ref="G349" si="2172">G338*W349</f>
        <v>#REF!</v>
      </c>
      <c r="H349" s="87" t="e">
        <f t="shared" ref="H349" si="2173">H338*X349</f>
        <v>#REF!</v>
      </c>
      <c r="I349" s="87" t="e">
        <f t="shared" ref="I349" si="2174">I338*Y349</f>
        <v>#REF!</v>
      </c>
      <c r="J349" s="87" t="e">
        <f t="shared" ref="J349" si="2175">J338*Z349</f>
        <v>#REF!</v>
      </c>
      <c r="K349" s="87" t="e">
        <f t="shared" ref="K349" si="2176">K338*AA349</f>
        <v>#REF!</v>
      </c>
      <c r="L349" s="87" t="e">
        <f t="shared" ref="L349" si="2177">L338*AB349</f>
        <v>#REF!</v>
      </c>
      <c r="M349" s="87" t="e">
        <f t="shared" ref="M349" si="2178">M338*AC349</f>
        <v>#REF!</v>
      </c>
      <c r="N349" s="87" t="e">
        <f t="shared" ref="N349" si="2179">N338*AD349</f>
        <v>#REF!</v>
      </c>
      <c r="O349" s="87" t="e">
        <f t="shared" ref="O349" si="2180">O338*AE349</f>
        <v>#REF!</v>
      </c>
      <c r="P349" s="87" t="e">
        <f t="shared" ref="P349" si="2181">P338*AF349</f>
        <v>#REF!</v>
      </c>
      <c r="Q349" s="87" t="e">
        <f t="shared" ref="Q349" si="2182">Q338*AG349</f>
        <v>#REF!</v>
      </c>
      <c r="R349" s="74" t="e">
        <f t="shared" si="2168"/>
        <v>#REF!</v>
      </c>
      <c r="S349" s="60"/>
      <c r="T349" s="12">
        <v>0.38</v>
      </c>
      <c r="U349" s="12">
        <v>0.38090988938047371</v>
      </c>
      <c r="V349" s="12">
        <v>0.38182195744169661</v>
      </c>
      <c r="W349" s="12">
        <v>0.38273620940040159</v>
      </c>
      <c r="X349" s="12">
        <v>0.38365265048581265</v>
      </c>
      <c r="Y349" s="12">
        <v>0.38457128593967477</v>
      </c>
      <c r="Z349" s="12">
        <v>0.38549212101628438</v>
      </c>
      <c r="AA349" s="12">
        <v>0.38641516098251855</v>
      </c>
      <c r="AB349" s="12">
        <v>0.38734041111786593</v>
      </c>
      <c r="AC349" s="12">
        <v>0.38826787671445667</v>
      </c>
      <c r="AD349" s="12">
        <v>0.38919756307709236</v>
      </c>
      <c r="AE349" s="12">
        <v>0.39012947552327681</v>
      </c>
      <c r="AF349" s="12">
        <v>0.3910636193832463</v>
      </c>
      <c r="AG349" s="12">
        <v>0.39200000000000002</v>
      </c>
    </row>
    <row r="350" spans="1:33" ht="15" hidden="1" thickBot="1" x14ac:dyDescent="0.4">
      <c r="A350" s="155"/>
      <c r="B350" s="61" t="s">
        <v>23</v>
      </c>
      <c r="C350" s="41"/>
      <c r="D350" s="88" t="e">
        <f t="shared" ref="D350" si="2183">D349*T350</f>
        <v>#REF!</v>
      </c>
      <c r="E350" s="88" t="e">
        <f t="shared" ref="E350" si="2184">E349*U350</f>
        <v>#REF!</v>
      </c>
      <c r="F350" s="88" t="e">
        <f t="shared" ref="F350" si="2185">F349*V350</f>
        <v>#REF!</v>
      </c>
      <c r="G350" s="88" t="e">
        <f t="shared" ref="G350" si="2186">G349*W350</f>
        <v>#REF!</v>
      </c>
      <c r="H350" s="88" t="e">
        <f t="shared" ref="H350" si="2187">H349*X350</f>
        <v>#REF!</v>
      </c>
      <c r="I350" s="88" t="e">
        <f t="shared" ref="I350" si="2188">I349*Y350</f>
        <v>#REF!</v>
      </c>
      <c r="J350" s="88" t="e">
        <f t="shared" ref="J350" si="2189">J349*Z350</f>
        <v>#REF!</v>
      </c>
      <c r="K350" s="88" t="e">
        <f t="shared" ref="K350" si="2190">K349*AA350</f>
        <v>#REF!</v>
      </c>
      <c r="L350" s="88" t="e">
        <f t="shared" ref="L350" si="2191">L349*AB350</f>
        <v>#REF!</v>
      </c>
      <c r="M350" s="88" t="e">
        <f t="shared" ref="M350" si="2192">M349*AC350</f>
        <v>#REF!</v>
      </c>
      <c r="N350" s="88" t="e">
        <f t="shared" ref="N350" si="2193">N349*AD350</f>
        <v>#REF!</v>
      </c>
      <c r="O350" s="88" t="e">
        <f t="shared" ref="O350" si="2194">O349*AE350</f>
        <v>#REF!</v>
      </c>
      <c r="P350" s="88" t="e">
        <f t="shared" ref="P350" si="2195">P349*AF350</f>
        <v>#REF!</v>
      </c>
      <c r="Q350" s="88" t="e">
        <f t="shared" ref="Q350" si="2196">Q349*AG350</f>
        <v>#REF!</v>
      </c>
      <c r="R350" s="74" t="e">
        <f t="shared" si="2168"/>
        <v>#REF!</v>
      </c>
      <c r="S350" s="61"/>
      <c r="T350" s="67">
        <v>0.34999999999999987</v>
      </c>
      <c r="U350" s="67">
        <v>0.34938588387166564</v>
      </c>
      <c r="V350" s="67">
        <v>0.34877284528224306</v>
      </c>
      <c r="W350" s="67">
        <v>0.34816088234106346</v>
      </c>
      <c r="X350" s="67">
        <v>0.34754999316077562</v>
      </c>
      <c r="Y350" s="67">
        <v>0.34694017585733994</v>
      </c>
      <c r="Z350" s="67">
        <v>0.34633142855002247</v>
      </c>
      <c r="AA350" s="67">
        <v>0.34572374936138933</v>
      </c>
      <c r="AB350" s="67">
        <v>0.34511713641730069</v>
      </c>
      <c r="AC350" s="67">
        <v>0.34451158784690528</v>
      </c>
      <c r="AD350" s="67">
        <v>0.34390710178263434</v>
      </c>
      <c r="AE350" s="67">
        <v>0.34330367636019604</v>
      </c>
      <c r="AF350" s="67">
        <v>0.34270130971856966</v>
      </c>
      <c r="AG350" s="67">
        <v>0.34209999999999979</v>
      </c>
    </row>
    <row r="351" spans="1:33" ht="15" hidden="1" thickBot="1" x14ac:dyDescent="0.4">
      <c r="A351" s="155"/>
      <c r="B351" s="61" t="s">
        <v>24</v>
      </c>
      <c r="C351" s="41"/>
      <c r="D351" s="88" t="e">
        <f t="shared" ref="D351" si="2197">D349*T351</f>
        <v>#REF!</v>
      </c>
      <c r="E351" s="88" t="e">
        <f t="shared" ref="E351" si="2198">E349*U351</f>
        <v>#REF!</v>
      </c>
      <c r="F351" s="88" t="e">
        <f t="shared" ref="F351" si="2199">F349*V351</f>
        <v>#REF!</v>
      </c>
      <c r="G351" s="88" t="e">
        <f t="shared" ref="G351" si="2200">G349*W351</f>
        <v>#REF!</v>
      </c>
      <c r="H351" s="88" t="e">
        <f t="shared" ref="H351" si="2201">H349*X351</f>
        <v>#REF!</v>
      </c>
      <c r="I351" s="88" t="e">
        <f t="shared" ref="I351" si="2202">I349*Y351</f>
        <v>#REF!</v>
      </c>
      <c r="J351" s="88" t="e">
        <f t="shared" ref="J351" si="2203">J349*Z351</f>
        <v>#REF!</v>
      </c>
      <c r="K351" s="88" t="e">
        <f t="shared" ref="K351" si="2204">K349*AA351</f>
        <v>#REF!</v>
      </c>
      <c r="L351" s="88" t="e">
        <f t="shared" ref="L351" si="2205">L349*AB351</f>
        <v>#REF!</v>
      </c>
      <c r="M351" s="88" t="e">
        <f t="shared" ref="M351" si="2206">M349*AC351</f>
        <v>#REF!</v>
      </c>
      <c r="N351" s="88" t="e">
        <f t="shared" ref="N351" si="2207">N349*AD351</f>
        <v>#REF!</v>
      </c>
      <c r="O351" s="88" t="e">
        <f t="shared" ref="O351" si="2208">O349*AE351</f>
        <v>#REF!</v>
      </c>
      <c r="P351" s="88" t="e">
        <f t="shared" ref="P351" si="2209">P349*AF351</f>
        <v>#REF!</v>
      </c>
      <c r="Q351" s="88" t="e">
        <f t="shared" ref="Q351" si="2210">Q349*AG351</f>
        <v>#REF!</v>
      </c>
      <c r="R351" s="74" t="e">
        <f t="shared" si="2168"/>
        <v>#REF!</v>
      </c>
      <c r="S351" s="61"/>
      <c r="T351" s="67">
        <v>0.28000000000000003</v>
      </c>
      <c r="U351" s="67">
        <v>0.28097918830490543</v>
      </c>
      <c r="V351" s="67">
        <v>0.28196180093029821</v>
      </c>
      <c r="W351" s="67">
        <v>0.28294784985137333</v>
      </c>
      <c r="X351" s="67">
        <v>0.28393734708520407</v>
      </c>
      <c r="Y351" s="67">
        <v>0.28493030469088876</v>
      </c>
      <c r="Z351" s="67">
        <v>0.28592673476969749</v>
      </c>
      <c r="AA351" s="67">
        <v>0.28692664946521995</v>
      </c>
      <c r="AB351" s="67">
        <v>0.28793006096351298</v>
      </c>
      <c r="AC351" s="67">
        <v>0.28893698149324931</v>
      </c>
      <c r="AD351" s="67">
        <v>0.28994742332586665</v>
      </c>
      <c r="AE351" s="67">
        <v>0.29096139877571725</v>
      </c>
      <c r="AF351" s="67">
        <v>0.29197892020021765</v>
      </c>
      <c r="AG351" s="67">
        <v>0.29299999999999965</v>
      </c>
    </row>
    <row r="352" spans="1:33" ht="15" hidden="1" thickBot="1" x14ac:dyDescent="0.4">
      <c r="A352" s="155"/>
      <c r="B352" s="61" t="s">
        <v>25</v>
      </c>
      <c r="C352" s="41"/>
      <c r="D352" s="88" t="e">
        <f t="shared" ref="D352" si="2211">D349*T352</f>
        <v>#REF!</v>
      </c>
      <c r="E352" s="88" t="e">
        <f t="shared" ref="E352" si="2212">E349*U352</f>
        <v>#REF!</v>
      </c>
      <c r="F352" s="88" t="e">
        <f t="shared" ref="F352" si="2213">F349*V352</f>
        <v>#REF!</v>
      </c>
      <c r="G352" s="88" t="e">
        <f t="shared" ref="G352" si="2214">G349*W352</f>
        <v>#REF!</v>
      </c>
      <c r="H352" s="88" t="e">
        <f t="shared" ref="H352" si="2215">H349*X352</f>
        <v>#REF!</v>
      </c>
      <c r="I352" s="88" t="e">
        <f t="shared" ref="I352" si="2216">I349*Y352</f>
        <v>#REF!</v>
      </c>
      <c r="J352" s="88" t="e">
        <f t="shared" ref="J352" si="2217">J349*Z352</f>
        <v>#REF!</v>
      </c>
      <c r="K352" s="88" t="e">
        <f t="shared" ref="K352" si="2218">K349*AA352</f>
        <v>#REF!</v>
      </c>
      <c r="L352" s="88" t="e">
        <f t="shared" ref="L352" si="2219">L349*AB352</f>
        <v>#REF!</v>
      </c>
      <c r="M352" s="88" t="e">
        <f t="shared" ref="M352" si="2220">M349*AC352</f>
        <v>#REF!</v>
      </c>
      <c r="N352" s="88" t="e">
        <f t="shared" ref="N352" si="2221">N349*AD352</f>
        <v>#REF!</v>
      </c>
      <c r="O352" s="88" t="e">
        <f t="shared" ref="O352" si="2222">O349*AE352</f>
        <v>#REF!</v>
      </c>
      <c r="P352" s="88" t="e">
        <f t="shared" ref="P352" si="2223">P349*AF352</f>
        <v>#REF!</v>
      </c>
      <c r="Q352" s="88" t="e">
        <f t="shared" ref="Q352" si="2224">Q349*AG352</f>
        <v>#REF!</v>
      </c>
      <c r="R352" s="74" t="e">
        <f t="shared" si="2168"/>
        <v>#REF!</v>
      </c>
      <c r="S352" s="61"/>
      <c r="T352" s="67">
        <f>1-SUM(T350:T351)</f>
        <v>0.37000000000000011</v>
      </c>
      <c r="U352" s="67">
        <f t="shared" ref="U352:AG352" si="2225">1-SUM(U350:U351)</f>
        <v>0.36963492782342899</v>
      </c>
      <c r="V352" s="67">
        <f t="shared" si="2225"/>
        <v>0.36926535378745873</v>
      </c>
      <c r="W352" s="67">
        <f t="shared" si="2225"/>
        <v>0.36889126780756321</v>
      </c>
      <c r="X352" s="67">
        <f t="shared" si="2225"/>
        <v>0.36851265975402026</v>
      </c>
      <c r="Y352" s="67">
        <f t="shared" si="2225"/>
        <v>0.3681295194517713</v>
      </c>
      <c r="Z352" s="67">
        <f t="shared" si="2225"/>
        <v>0.36774183668028004</v>
      </c>
      <c r="AA352" s="67">
        <f t="shared" si="2225"/>
        <v>0.36734960117339077</v>
      </c>
      <c r="AB352" s="67">
        <f t="shared" si="2225"/>
        <v>0.36695280261918639</v>
      </c>
      <c r="AC352" s="67">
        <f t="shared" si="2225"/>
        <v>0.36655143065984541</v>
      </c>
      <c r="AD352" s="67">
        <f t="shared" si="2225"/>
        <v>0.36614547489149896</v>
      </c>
      <c r="AE352" s="67">
        <f t="shared" si="2225"/>
        <v>0.36573492486408665</v>
      </c>
      <c r="AF352" s="67">
        <f t="shared" si="2225"/>
        <v>0.36531977008121275</v>
      </c>
      <c r="AG352" s="67">
        <f t="shared" si="2225"/>
        <v>0.36490000000000056</v>
      </c>
    </row>
    <row r="353" spans="1:33" ht="15" hidden="1" thickBot="1" x14ac:dyDescent="0.4">
      <c r="A353" s="151"/>
      <c r="B353" s="62" t="s">
        <v>26</v>
      </c>
      <c r="C353" s="51"/>
      <c r="D353" s="89" t="e">
        <f t="shared" ref="D353" si="2226">D338*T353</f>
        <v>#REF!</v>
      </c>
      <c r="E353" s="89" t="e">
        <f t="shared" ref="E353" si="2227">E338*U353</f>
        <v>#REF!</v>
      </c>
      <c r="F353" s="89" t="e">
        <f t="shared" ref="F353" si="2228">F338*V353</f>
        <v>#REF!</v>
      </c>
      <c r="G353" s="89" t="e">
        <f t="shared" ref="G353" si="2229">G338*W353</f>
        <v>#REF!</v>
      </c>
      <c r="H353" s="89" t="e">
        <f t="shared" ref="H353" si="2230">H338*X353</f>
        <v>#REF!</v>
      </c>
      <c r="I353" s="89" t="e">
        <f t="shared" ref="I353" si="2231">I338*Y353</f>
        <v>#REF!</v>
      </c>
      <c r="J353" s="89" t="e">
        <f t="shared" ref="J353" si="2232">J338*Z353</f>
        <v>#REF!</v>
      </c>
      <c r="K353" s="89" t="e">
        <f t="shared" ref="K353" si="2233">K338*AA353</f>
        <v>#REF!</v>
      </c>
      <c r="L353" s="89" t="e">
        <f t="shared" ref="L353" si="2234">L338*AB353</f>
        <v>#REF!</v>
      </c>
      <c r="M353" s="89" t="e">
        <f t="shared" ref="M353" si="2235">M338*AC353</f>
        <v>#REF!</v>
      </c>
      <c r="N353" s="89" t="e">
        <f t="shared" ref="N353" si="2236">N338*AD353</f>
        <v>#REF!</v>
      </c>
      <c r="O353" s="89" t="e">
        <f t="shared" ref="O353" si="2237">O338*AE353</f>
        <v>#REF!</v>
      </c>
      <c r="P353" s="89" t="e">
        <f t="shared" ref="P353" si="2238">P338*AF353</f>
        <v>#REF!</v>
      </c>
      <c r="Q353" s="89" t="e">
        <f t="shared" ref="Q353" si="2239">Q338*AG353</f>
        <v>#REF!</v>
      </c>
      <c r="R353" s="75" t="e">
        <f t="shared" si="2168"/>
        <v>#REF!</v>
      </c>
      <c r="S353" s="62"/>
      <c r="T353" s="12">
        <f>1-SUM(T348+T349)</f>
        <v>0.37</v>
      </c>
      <c r="U353" s="12">
        <f t="shared" ref="U353:AG353" si="2240">1-SUM(U348+U349)</f>
        <v>0.36753417522645271</v>
      </c>
      <c r="V353" s="12">
        <f t="shared" si="2240"/>
        <v>0.36505648803236646</v>
      </c>
      <c r="W353" s="12">
        <f t="shared" si="2240"/>
        <v>0.36256687293191459</v>
      </c>
      <c r="X353" s="12">
        <f t="shared" si="2240"/>
        <v>0.36006526405167993</v>
      </c>
      <c r="Y353" s="12">
        <f t="shared" si="2240"/>
        <v>0.35755159512829038</v>
      </c>
      <c r="Z353" s="12">
        <f t="shared" si="2240"/>
        <v>0.35502579950603996</v>
      </c>
      <c r="AA353" s="12">
        <f t="shared" si="2240"/>
        <v>0.35248781013449515</v>
      </c>
      <c r="AB353" s="12">
        <f t="shared" si="2240"/>
        <v>0.34993755956608608</v>
      </c>
      <c r="AC353" s="12">
        <f t="shared" si="2240"/>
        <v>0.3473749799536836</v>
      </c>
      <c r="AD353" s="12">
        <f t="shared" si="2240"/>
        <v>0.34480000304816039</v>
      </c>
      <c r="AE353" s="12">
        <f t="shared" si="2240"/>
        <v>0.34221256019593804</v>
      </c>
      <c r="AF353" s="12">
        <f t="shared" si="2240"/>
        <v>0.33961258233651859</v>
      </c>
      <c r="AG353" s="12">
        <f t="shared" si="2240"/>
        <v>0.33699999999999986</v>
      </c>
    </row>
    <row r="354" spans="1:33" ht="15" hidden="1" thickBot="1" x14ac:dyDescent="0.4">
      <c r="A354" s="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21"/>
    </row>
    <row r="355" spans="1:33" ht="15" hidden="1" thickBot="1" x14ac:dyDescent="0.4">
      <c r="A355" s="152" t="s">
        <v>27</v>
      </c>
      <c r="B355" s="54" t="s">
        <v>28</v>
      </c>
      <c r="C355" s="49"/>
      <c r="D355" s="84" t="e">
        <f t="shared" ref="D355" si="2241">D338*T355</f>
        <v>#REF!</v>
      </c>
      <c r="E355" s="84" t="e">
        <f t="shared" ref="E355" si="2242">E338*U355</f>
        <v>#REF!</v>
      </c>
      <c r="F355" s="84" t="e">
        <f t="shared" ref="F355" si="2243">F338*V355</f>
        <v>#REF!</v>
      </c>
      <c r="G355" s="84" t="e">
        <f t="shared" ref="G355" si="2244">G338*W355</f>
        <v>#REF!</v>
      </c>
      <c r="H355" s="84" t="e">
        <f t="shared" ref="H355" si="2245">H338*X355</f>
        <v>#REF!</v>
      </c>
      <c r="I355" s="84" t="e">
        <f t="shared" ref="I355" si="2246">I338*Y355</f>
        <v>#REF!</v>
      </c>
      <c r="J355" s="84" t="e">
        <f t="shared" ref="J355" si="2247">J338*Z355</f>
        <v>#REF!</v>
      </c>
      <c r="K355" s="84" t="e">
        <f t="shared" ref="K355" si="2248">K338*AA355</f>
        <v>#REF!</v>
      </c>
      <c r="L355" s="84" t="e">
        <f t="shared" ref="L355" si="2249">L338*AB355</f>
        <v>#REF!</v>
      </c>
      <c r="M355" s="84" t="e">
        <f t="shared" ref="M355" si="2250">M338*AC355</f>
        <v>#REF!</v>
      </c>
      <c r="N355" s="84" t="e">
        <f t="shared" ref="N355" si="2251">N338*AD355</f>
        <v>#REF!</v>
      </c>
      <c r="O355" s="84" t="e">
        <f t="shared" ref="O355" si="2252">O338*AE355</f>
        <v>#REF!</v>
      </c>
      <c r="P355" s="84" t="e">
        <f t="shared" ref="P355" si="2253">P338*AF355</f>
        <v>#REF!</v>
      </c>
      <c r="Q355" s="84" t="e">
        <f t="shared" ref="Q355" si="2254">Q338*AG355</f>
        <v>#REF!</v>
      </c>
      <c r="R355" s="71" t="e">
        <f>RATE(12,,-E355,Q355)</f>
        <v>#REF!</v>
      </c>
      <c r="S355" s="54"/>
      <c r="T355" s="12">
        <v>0.40099999999999997</v>
      </c>
      <c r="U355" s="12">
        <v>0.40265090533119946</v>
      </c>
      <c r="V355" s="12">
        <v>0.40430860739160734</v>
      </c>
      <c r="W355" s="12">
        <v>0.40597313416316017</v>
      </c>
      <c r="X355" s="12">
        <v>0.40764451374299493</v>
      </c>
      <c r="Y355" s="12">
        <v>0.40932277434392395</v>
      </c>
      <c r="Z355" s="12">
        <v>0.41100794429491083</v>
      </c>
      <c r="AA355" s="12">
        <v>0.4127000520415488</v>
      </c>
      <c r="AB355" s="12">
        <v>0.41439912614654062</v>
      </c>
      <c r="AC355" s="12">
        <v>0.41610519529018092</v>
      </c>
      <c r="AD355" s="12">
        <v>0.41781828827084017</v>
      </c>
      <c r="AE355" s="12">
        <v>0.4195384340054511</v>
      </c>
      <c r="AF355" s="12">
        <v>0.4212656615299965</v>
      </c>
      <c r="AG355" s="12">
        <v>0.42299999999999938</v>
      </c>
    </row>
    <row r="356" spans="1:33" ht="15" hidden="1" thickBot="1" x14ac:dyDescent="0.4">
      <c r="A356" s="154"/>
      <c r="B356" s="55" t="s">
        <v>29</v>
      </c>
      <c r="C356" s="40"/>
      <c r="D356" s="90" t="e">
        <f t="shared" ref="D356" si="2255">D338*T356</f>
        <v>#REF!</v>
      </c>
      <c r="E356" s="90" t="e">
        <f t="shared" ref="E356" si="2256">E338*U356</f>
        <v>#REF!</v>
      </c>
      <c r="F356" s="90" t="e">
        <f t="shared" ref="F356" si="2257">F338*V356</f>
        <v>#REF!</v>
      </c>
      <c r="G356" s="90" t="e">
        <f t="shared" ref="G356" si="2258">G338*W356</f>
        <v>#REF!</v>
      </c>
      <c r="H356" s="90" t="e">
        <f t="shared" ref="H356" si="2259">H338*X356</f>
        <v>#REF!</v>
      </c>
      <c r="I356" s="90" t="e">
        <f t="shared" ref="I356" si="2260">I338*Y356</f>
        <v>#REF!</v>
      </c>
      <c r="J356" s="90" t="e">
        <f t="shared" ref="J356" si="2261">J338*Z356</f>
        <v>#REF!</v>
      </c>
      <c r="K356" s="90" t="e">
        <f t="shared" ref="K356" si="2262">K338*AA356</f>
        <v>#REF!</v>
      </c>
      <c r="L356" s="90" t="e">
        <f t="shared" ref="L356" si="2263">L338*AB356</f>
        <v>#REF!</v>
      </c>
      <c r="M356" s="90" t="e">
        <f t="shared" ref="M356" si="2264">M338*AC356</f>
        <v>#REF!</v>
      </c>
      <c r="N356" s="90" t="e">
        <f t="shared" ref="N356" si="2265">N338*AD356</f>
        <v>#REF!</v>
      </c>
      <c r="O356" s="90" t="e">
        <f t="shared" ref="O356" si="2266">O338*AE356</f>
        <v>#REF!</v>
      </c>
      <c r="P356" s="90" t="e">
        <f t="shared" ref="P356" si="2267">P338*AF356</f>
        <v>#REF!</v>
      </c>
      <c r="Q356" s="90" t="e">
        <f t="shared" ref="Q356" si="2268">Q338*AG356</f>
        <v>#REF!</v>
      </c>
      <c r="R356" s="76" t="e">
        <f>RATE(12,,-E356,Q356)</f>
        <v>#REF!</v>
      </c>
      <c r="S356" s="55"/>
      <c r="T356" s="12">
        <v>0.43099999999999999</v>
      </c>
      <c r="U356" s="12">
        <v>0.43183634674261745</v>
      </c>
      <c r="V356" s="12">
        <v>0.43267431639909548</v>
      </c>
      <c r="W356" s="12">
        <v>0.43351391211866536</v>
      </c>
      <c r="X356" s="12">
        <v>0.43435513705666956</v>
      </c>
      <c r="Y356" s="12">
        <v>0.43519799437457324</v>
      </c>
      <c r="Z356" s="12">
        <v>0.43604248723997657</v>
      </c>
      <c r="AA356" s="12">
        <v>0.43688861882662616</v>
      </c>
      <c r="AB356" s="12">
        <v>0.43773639231442729</v>
      </c>
      <c r="AC356" s="12">
        <v>0.43858581088945586</v>
      </c>
      <c r="AD356" s="12">
        <v>0.43943687774397006</v>
      </c>
      <c r="AE356" s="12">
        <v>0.44028959607642287</v>
      </c>
      <c r="AF356" s="12">
        <v>0.44114396909147369</v>
      </c>
      <c r="AG356" s="12">
        <v>0.44200000000000028</v>
      </c>
    </row>
    <row r="357" spans="1:33" ht="15" hidden="1" thickBot="1" x14ac:dyDescent="0.4">
      <c r="A357" s="153"/>
      <c r="B357" s="56" t="s">
        <v>30</v>
      </c>
      <c r="C357" s="44"/>
      <c r="D357" s="85" t="e">
        <f t="shared" ref="D357" si="2269">D338*T357</f>
        <v>#REF!</v>
      </c>
      <c r="E357" s="85" t="e">
        <f t="shared" ref="E357" si="2270">E338*U357</f>
        <v>#REF!</v>
      </c>
      <c r="F357" s="85" t="e">
        <f t="shared" ref="F357" si="2271">F338*V357</f>
        <v>#REF!</v>
      </c>
      <c r="G357" s="85" t="e">
        <f t="shared" ref="G357" si="2272">G338*W357</f>
        <v>#REF!</v>
      </c>
      <c r="H357" s="85" t="e">
        <f t="shared" ref="H357" si="2273">H338*X357</f>
        <v>#REF!</v>
      </c>
      <c r="I357" s="85" t="e">
        <f t="shared" ref="I357" si="2274">I338*Y357</f>
        <v>#REF!</v>
      </c>
      <c r="J357" s="85" t="e">
        <f t="shared" ref="J357" si="2275">J338*Z357</f>
        <v>#REF!</v>
      </c>
      <c r="K357" s="85" t="e">
        <f t="shared" ref="K357" si="2276">K338*AA357</f>
        <v>#REF!</v>
      </c>
      <c r="L357" s="85" t="e">
        <f t="shared" ref="L357" si="2277">L338*AB357</f>
        <v>#REF!</v>
      </c>
      <c r="M357" s="85" t="e">
        <f t="shared" ref="M357" si="2278">M338*AC357</f>
        <v>#REF!</v>
      </c>
      <c r="N357" s="85" t="e">
        <f t="shared" ref="N357" si="2279">N338*AD357</f>
        <v>#REF!</v>
      </c>
      <c r="O357" s="85" t="e">
        <f t="shared" ref="O357" si="2280">O338*AE357</f>
        <v>#REF!</v>
      </c>
      <c r="P357" s="85" t="e">
        <f t="shared" ref="P357" si="2281">P338*AF357</f>
        <v>#REF!</v>
      </c>
      <c r="Q357" s="85" t="e">
        <f t="shared" ref="Q357" si="2282">Q338*AG357</f>
        <v>#REF!</v>
      </c>
      <c r="R357" s="72" t="e">
        <f>RATE(12,,-E357,Q357)</f>
        <v>#REF!</v>
      </c>
      <c r="S357" s="56"/>
      <c r="T357" s="12">
        <f>1-SUM(T355:T356)</f>
        <v>0.16800000000000004</v>
      </c>
      <c r="U357" s="12">
        <f t="shared" ref="U357:AG357" si="2283">1-SUM(U355:U356)</f>
        <v>0.16551274792618309</v>
      </c>
      <c r="V357" s="12">
        <f t="shared" si="2283"/>
        <v>0.16301707620929717</v>
      </c>
      <c r="W357" s="12">
        <f t="shared" si="2283"/>
        <v>0.16051295371817442</v>
      </c>
      <c r="X357" s="12">
        <f t="shared" si="2283"/>
        <v>0.15800034920033545</v>
      </c>
      <c r="Y357" s="12">
        <f t="shared" si="2283"/>
        <v>0.15547923128150276</v>
      </c>
      <c r="Z357" s="12">
        <f t="shared" si="2283"/>
        <v>0.15294956846511254</v>
      </c>
      <c r="AA357" s="12">
        <f t="shared" si="2283"/>
        <v>0.15041132913182498</v>
      </c>
      <c r="AB357" s="12">
        <f t="shared" si="2283"/>
        <v>0.14786448153903209</v>
      </c>
      <c r="AC357" s="12">
        <f t="shared" si="2283"/>
        <v>0.14530899382036322</v>
      </c>
      <c r="AD357" s="12">
        <f t="shared" si="2283"/>
        <v>0.14274483398518978</v>
      </c>
      <c r="AE357" s="12">
        <f t="shared" si="2283"/>
        <v>0.14017196991812608</v>
      </c>
      <c r="AF357" s="12">
        <f t="shared" si="2283"/>
        <v>0.13759036937852986</v>
      </c>
      <c r="AG357" s="12">
        <f t="shared" si="2283"/>
        <v>0.13500000000000034</v>
      </c>
    </row>
    <row r="358" spans="1:33" ht="15.5" x14ac:dyDescent="0.35">
      <c r="A358" s="42"/>
      <c r="B358" s="43"/>
      <c r="C358" s="93"/>
      <c r="D358" s="91">
        <v>2023</v>
      </c>
      <c r="E358" s="65">
        <v>2024</v>
      </c>
      <c r="F358" s="65">
        <v>2025</v>
      </c>
      <c r="G358" s="65">
        <v>2026</v>
      </c>
      <c r="H358" s="65">
        <v>2027</v>
      </c>
      <c r="I358" s="65">
        <v>2028</v>
      </c>
      <c r="J358" s="65">
        <v>2029</v>
      </c>
      <c r="K358" s="65">
        <v>2030</v>
      </c>
      <c r="L358" s="65">
        <v>2031</v>
      </c>
      <c r="M358" s="65">
        <v>2032</v>
      </c>
      <c r="N358" s="65">
        <v>2033</v>
      </c>
      <c r="O358" s="65">
        <v>2034</v>
      </c>
      <c r="P358" s="65">
        <v>2035</v>
      </c>
      <c r="Q358" s="65">
        <v>2036</v>
      </c>
      <c r="R358" s="66" t="s">
        <v>84</v>
      </c>
    </row>
    <row r="359" spans="1:33" ht="16" thickBot="1" x14ac:dyDescent="0.4">
      <c r="A359" s="1"/>
      <c r="C359" s="21"/>
      <c r="D359" s="92">
        <f>'Market Analysis '!C31</f>
        <v>81.913650000000004</v>
      </c>
      <c r="E359" s="92">
        <f>'Market Analysis '!D31</f>
        <v>90.432669600000011</v>
      </c>
      <c r="F359" s="92">
        <f>'Market Analysis '!E31</f>
        <v>99.852739350000022</v>
      </c>
      <c r="G359" s="92">
        <f>'Market Analysis '!F31</f>
        <v>110.27070848885003</v>
      </c>
      <c r="H359" s="92">
        <f>'Market Analysis '!G31</f>
        <v>121.79399752593487</v>
      </c>
      <c r="I359" s="92">
        <f>'Market Analysis '!H31</f>
        <v>134.54176926698273</v>
      </c>
      <c r="J359" s="92">
        <f>'Market Analysis '!I31</f>
        <v>148.64623141180473</v>
      </c>
      <c r="K359" s="92">
        <f>'Market Analysis '!J31</f>
        <v>164.25408571004422</v>
      </c>
      <c r="L359" s="92">
        <f>'Market Analysis '!K31</f>
        <v>181.52814039055053</v>
      </c>
      <c r="M359" s="92">
        <f>'Market Analysis '!L31</f>
        <v>200.64910451168851</v>
      </c>
      <c r="N359" s="92">
        <f>'Market Analysis '!M31</f>
        <v>221.81758503767162</v>
      </c>
      <c r="O359" s="92">
        <f>'Market Analysis '!N31</f>
        <v>245.25630985665222</v>
      </c>
      <c r="P359" s="92">
        <f>'Market Analysis '!O31</f>
        <v>271.21260264981458</v>
      </c>
      <c r="Q359" s="92">
        <f>'Market Analysis '!P31</f>
        <v>299.96113853069494</v>
      </c>
      <c r="R359" s="68">
        <f t="shared" ref="R359:R364" si="2284">RATE(9,,-H359,Q359)</f>
        <v>0.10533324956440689</v>
      </c>
      <c r="T359" s="65">
        <v>2023</v>
      </c>
      <c r="U359" s="65">
        <v>2024</v>
      </c>
      <c r="V359" s="65">
        <v>2025</v>
      </c>
      <c r="W359" s="65">
        <v>2026</v>
      </c>
      <c r="X359" s="65">
        <v>2027</v>
      </c>
      <c r="Y359" s="65">
        <v>2028</v>
      </c>
      <c r="Z359" s="65">
        <v>2029</v>
      </c>
      <c r="AA359" s="65">
        <v>2030</v>
      </c>
      <c r="AB359" s="65">
        <v>2031</v>
      </c>
      <c r="AC359" s="65">
        <v>2032</v>
      </c>
      <c r="AD359" s="65">
        <v>2033</v>
      </c>
      <c r="AE359" s="65">
        <v>2034</v>
      </c>
      <c r="AF359" s="65">
        <v>2035</v>
      </c>
      <c r="AG359" s="65">
        <v>2036</v>
      </c>
    </row>
    <row r="360" spans="1:33" s="121" customFormat="1" x14ac:dyDescent="0.35">
      <c r="A360" s="147" t="s">
        <v>59</v>
      </c>
      <c r="B360" s="118" t="s">
        <v>60</v>
      </c>
      <c r="C360" s="119"/>
      <c r="D360" s="120">
        <f>D359*T360</f>
        <v>28.669777499999995</v>
      </c>
      <c r="E360" s="120">
        <f t="shared" ref="E360" si="2285">E359*U360</f>
        <v>31.978222126925672</v>
      </c>
      <c r="F360" s="120">
        <f>F359*V360</f>
        <v>35.673840490333291</v>
      </c>
      <c r="G360" s="120">
        <f t="shared" ref="G360" si="2286">G359*W360</f>
        <v>39.802556386646934</v>
      </c>
      <c r="H360" s="120">
        <f t="shared" ref="H360" si="2287">H359*X360</f>
        <v>44.41581192653824</v>
      </c>
      <c r="I360" s="120">
        <f t="shared" ref="I360" si="2288">I359*Y360</f>
        <v>49.571238988029293</v>
      </c>
      <c r="J360" s="120">
        <f t="shared" ref="J360" si="2289">J359*Z360</f>
        <v>55.333413365561512</v>
      </c>
      <c r="K360" s="120">
        <f t="shared" ref="K360" si="2290">K359*AA360</f>
        <v>61.774701919942963</v>
      </c>
      <c r="L360" s="120">
        <f t="shared" ref="L360" si="2291">L359*AB360</f>
        <v>68.976214332877177</v>
      </c>
      <c r="M360" s="120">
        <f t="shared" ref="M360" si="2292">M359*AC360</f>
        <v>77.028872534077408</v>
      </c>
      <c r="N360" s="120">
        <f t="shared" ref="N360" si="2293">N359*AD360</f>
        <v>86.034612520099259</v>
      </c>
      <c r="O360" s="120">
        <f t="shared" ref="O360" si="2294">O359*AE360</f>
        <v>96.107735146075044</v>
      </c>
      <c r="P360" s="120">
        <f t="shared" ref="P360" si="2295">P359*AF360</f>
        <v>107.37642457173895</v>
      </c>
      <c r="Q360" s="120">
        <f t="shared" ref="Q360" si="2296">Q359*AG360</f>
        <v>119.98445541227801</v>
      </c>
      <c r="R360" s="68">
        <f t="shared" si="2284"/>
        <v>0.11674535115276027</v>
      </c>
      <c r="S360" s="118" t="s">
        <v>60</v>
      </c>
      <c r="T360" s="116">
        <v>0.34999999999999992</v>
      </c>
      <c r="U360" s="116">
        <v>0.35361360300841621</v>
      </c>
      <c r="V360" s="116">
        <v>0.35726451495026795</v>
      </c>
      <c r="W360" s="116">
        <v>0.36095312102462412</v>
      </c>
      <c r="X360" s="116">
        <v>0.36467981040757214</v>
      </c>
      <c r="Y360" s="116">
        <v>0.36844497629327921</v>
      </c>
      <c r="Z360" s="116">
        <v>0.37224901593547705</v>
      </c>
      <c r="AA360" s="116">
        <v>0.37609233068937542</v>
      </c>
      <c r="AB360" s="116">
        <v>0.37997532605400802</v>
      </c>
      <c r="AC360" s="116">
        <v>0.38389841171501571</v>
      </c>
      <c r="AD360" s="116">
        <v>0.38786200158787171</v>
      </c>
      <c r="AE360" s="116">
        <v>0.39186651386155258</v>
      </c>
      <c r="AF360" s="116">
        <v>0.39591237104266019</v>
      </c>
      <c r="AG360" s="116">
        <v>0.40000000000000013</v>
      </c>
    </row>
    <row r="361" spans="1:33" s="117" customFormat="1" x14ac:dyDescent="0.35">
      <c r="A361" s="148"/>
      <c r="B361" s="113" t="s">
        <v>61</v>
      </c>
      <c r="C361" s="114"/>
      <c r="D361" s="115">
        <f>D359*T361</f>
        <v>24.574095000000003</v>
      </c>
      <c r="E361" s="115">
        <f t="shared" ref="E361" si="2297">E359*U361</f>
        <v>27.143670972090813</v>
      </c>
      <c r="F361" s="115">
        <f t="shared" ref="F361" si="2298">F359*V361</f>
        <v>29.986459421429256</v>
      </c>
      <c r="G361" s="115">
        <f t="shared" ref="G361" si="2299">G359*W361</f>
        <v>33.131976732636268</v>
      </c>
      <c r="H361" s="115">
        <f t="shared" ref="H361" si="2300">H359*X361</f>
        <v>36.612977095764705</v>
      </c>
      <c r="I361" s="115">
        <f t="shared" ref="I361" si="2301">I359*Y361</f>
        <v>40.465812912834373</v>
      </c>
      <c r="J361" s="115">
        <f t="shared" ref="J361" si="2302">J359*Z361</f>
        <v>44.730835890110022</v>
      </c>
      <c r="K361" s="115">
        <f t="shared" ref="K361" si="2303">K359*AA361</f>
        <v>49.452843471700731</v>
      </c>
      <c r="L361" s="115">
        <f t="shared" ref="L361" si="2304">L359*AB361</f>
        <v>54.681575809792356</v>
      </c>
      <c r="M361" s="115">
        <f t="shared" ref="M361" si="2305">M359*AC361</f>
        <v>60.472269069924771</v>
      </c>
      <c r="N361" s="115">
        <f t="shared" ref="N361" si="2306">N359*AD361</f>
        <v>66.886271543725897</v>
      </c>
      <c r="O361" s="115">
        <f t="shared" ref="O361" si="2307">O359*AE361</f>
        <v>73.991729794847728</v>
      </c>
      <c r="P361" s="115">
        <f t="shared" ref="P361" si="2308">P359*AF361</f>
        <v>81.864352905973959</v>
      </c>
      <c r="Q361" s="115">
        <f t="shared" ref="Q361" si="2309">Q359*AG361</f>
        <v>90.588263836269974</v>
      </c>
      <c r="R361" s="68">
        <f t="shared" si="2284"/>
        <v>0.10589835043008204</v>
      </c>
      <c r="S361" s="113" t="s">
        <v>61</v>
      </c>
      <c r="T361" s="116">
        <v>0.30000000000000004</v>
      </c>
      <c r="U361" s="116">
        <v>0.30015337479422161</v>
      </c>
      <c r="V361" s="116">
        <v>0.30030682800120145</v>
      </c>
      <c r="W361" s="116">
        <v>0.30046035966102813</v>
      </c>
      <c r="X361" s="116">
        <v>0.30061396981381056</v>
      </c>
      <c r="Y361" s="116">
        <v>0.30076765849967829</v>
      </c>
      <c r="Z361" s="116">
        <v>0.30092142575878128</v>
      </c>
      <c r="AA361" s="116">
        <v>0.30107527163128989</v>
      </c>
      <c r="AB361" s="116">
        <v>0.30122919615739541</v>
      </c>
      <c r="AC361" s="116">
        <v>0.30138319937730923</v>
      </c>
      <c r="AD361" s="116">
        <v>0.30153728133126367</v>
      </c>
      <c r="AE361" s="116">
        <v>0.30169144205951126</v>
      </c>
      <c r="AF361" s="116">
        <v>0.3018456816023255</v>
      </c>
      <c r="AG361" s="116">
        <v>0.30200000000000032</v>
      </c>
    </row>
    <row r="362" spans="1:33" s="117" customFormat="1" x14ac:dyDescent="0.35">
      <c r="A362" s="148"/>
      <c r="B362" s="113" t="s">
        <v>62</v>
      </c>
      <c r="C362" s="114"/>
      <c r="D362" s="115">
        <f>D359*T362</f>
        <v>12.2870475</v>
      </c>
      <c r="E362" s="115">
        <f t="shared" ref="E362" si="2310">E359*U362</f>
        <v>13.585579314135416</v>
      </c>
      <c r="F362" s="115">
        <f t="shared" ref="F362" si="2311">F359*V362</f>
        <v>15.023611556966451</v>
      </c>
      <c r="G362" s="115">
        <f t="shared" ref="G362" si="2312">G359*W362</f>
        <v>16.61636712453604</v>
      </c>
      <c r="H362" s="115">
        <f t="shared" ref="H362" si="2313">H359*X362</f>
        <v>18.380755193524191</v>
      </c>
      <c r="I362" s="115">
        <f t="shared" ref="I362" si="2314">I359*Y362</f>
        <v>20.335560722382557</v>
      </c>
      <c r="J362" s="115">
        <f t="shared" ref="J362" si="2315">J359*Z362</f>
        <v>22.501655545048319</v>
      </c>
      <c r="K362" s="115">
        <f t="shared" ref="K362" si="2316">K359*AA362</f>
        <v>24.902233550621091</v>
      </c>
      <c r="L362" s="115">
        <f t="shared" ref="L362" si="2317">L359*AB362</f>
        <v>27.563072734037782</v>
      </c>
      <c r="M362" s="115">
        <f t="shared" ref="M362" si="2318">M359*AC362</f>
        <v>30.512827228973496</v>
      </c>
      <c r="N362" s="115">
        <f t="shared" ref="N362" si="2319">N359*AD362</f>
        <v>33.78335279907153</v>
      </c>
      <c r="O362" s="115">
        <f t="shared" ref="O362" si="2320">O359*AE362</f>
        <v>37.410069671805445</v>
      </c>
      <c r="P362" s="115">
        <f t="shared" ref="P362" si="2321">P359*AF362</f>
        <v>41.432367056007081</v>
      </c>
      <c r="Q362" s="115">
        <f t="shared" ref="Q362" si="2322">Q359*AG362</f>
        <v>45.894054195196262</v>
      </c>
      <c r="R362" s="68">
        <f t="shared" si="2284"/>
        <v>0.10701826356415703</v>
      </c>
      <c r="S362" s="113" t="s">
        <v>62</v>
      </c>
      <c r="T362" s="116">
        <v>0.15</v>
      </c>
      <c r="U362" s="116">
        <v>0.15022866597023929</v>
      </c>
      <c r="V362" s="116">
        <v>0.15045768052798492</v>
      </c>
      <c r="W362" s="116">
        <v>0.15068704420463749</v>
      </c>
      <c r="X362" s="116">
        <v>0.15091675753240782</v>
      </c>
      <c r="Y362" s="116">
        <v>0.15114682104431795</v>
      </c>
      <c r="Z362" s="116">
        <v>0.15137723527420252</v>
      </c>
      <c r="AA362" s="116">
        <v>0.15160800075670999</v>
      </c>
      <c r="AB362" s="116">
        <v>0.15183911802730382</v>
      </c>
      <c r="AC362" s="116">
        <v>0.1520705876222638</v>
      </c>
      <c r="AD362" s="116">
        <v>0.15230241007868719</v>
      </c>
      <c r="AE362" s="116">
        <v>0.15253458593449007</v>
      </c>
      <c r="AF362" s="116">
        <v>0.15276711572840845</v>
      </c>
      <c r="AG362" s="116">
        <v>0.15299999999999978</v>
      </c>
    </row>
    <row r="363" spans="1:33" s="117" customFormat="1" x14ac:dyDescent="0.35">
      <c r="A363" s="148"/>
      <c r="B363" s="113" t="s">
        <v>63</v>
      </c>
      <c r="C363" s="114"/>
      <c r="D363" s="115">
        <f>D359*T363</f>
        <v>9.8296380000000028</v>
      </c>
      <c r="E363" s="115">
        <f t="shared" ref="E363" si="2323">E359*U363</f>
        <v>10.865727179128831</v>
      </c>
      <c r="F363" s="115">
        <f t="shared" ref="F363" si="2324">F359*V363</f>
        <v>12.012838194738446</v>
      </c>
      <c r="G363" s="115">
        <f t="shared" ref="G363" si="2325">G359*W363</f>
        <v>13.283056117248362</v>
      </c>
      <c r="H363" s="115">
        <f t="shared" ref="H363" si="2326">H359*X363</f>
        <v>14.689801471003712</v>
      </c>
      <c r="I363" s="115">
        <f t="shared" ref="I363" si="2327">I359*Y363</f>
        <v>16.247979955677536</v>
      </c>
      <c r="J363" s="115">
        <f t="shared" ref="J363" si="2328">J359*Z363</f>
        <v>17.974149188220135</v>
      </c>
      <c r="K363" s="115">
        <f t="shared" ref="K363" si="2329">K359*AA363</f>
        <v>19.886704426353745</v>
      </c>
      <c r="L363" s="115">
        <f t="shared" ref="L363" si="2330">L359*AB363</f>
        <v>22.006085463482332</v>
      </c>
      <c r="M363" s="115">
        <f t="shared" ref="M363" si="2331">M359*AC363</f>
        <v>24.355007140805615</v>
      </c>
      <c r="N363" s="115">
        <f t="shared" ref="N363" si="2332">N359*AD363</f>
        <v>26.958716208628559</v>
      </c>
      <c r="O363" s="115">
        <f t="shared" ref="O363" si="2333">O359*AE363</f>
        <v>29.845277588969594</v>
      </c>
      <c r="P363" s="115">
        <f t="shared" ref="P363" si="2334">P359*AF363</f>
        <v>33.045893449659253</v>
      </c>
      <c r="Q363" s="115">
        <f t="shared" ref="Q363" si="2335">Q359*AG363</f>
        <v>36.595258900744739</v>
      </c>
      <c r="R363" s="68">
        <f t="shared" si="2284"/>
        <v>0.10673955781235989</v>
      </c>
      <c r="S363" s="113" t="s">
        <v>63</v>
      </c>
      <c r="T363" s="116">
        <v>0.12000000000000002</v>
      </c>
      <c r="U363" s="116">
        <v>0.12015267521339246</v>
      </c>
      <c r="V363" s="116">
        <v>0.12030554467445809</v>
      </c>
      <c r="W363" s="116">
        <v>0.12045860863033696</v>
      </c>
      <c r="X363" s="116">
        <v>0.12061186732848356</v>
      </c>
      <c r="Y363" s="116">
        <v>0.12076532101666719</v>
      </c>
      <c r="Z363" s="116">
        <v>0.1209189699429724</v>
      </c>
      <c r="AA363" s="116">
        <v>0.12107281435579939</v>
      </c>
      <c r="AB363" s="116">
        <v>0.12122685450386435</v>
      </c>
      <c r="AC363" s="116">
        <v>0.12138109063619994</v>
      </c>
      <c r="AD363" s="116">
        <v>0.12153552300215566</v>
      </c>
      <c r="AE363" s="116">
        <v>0.12169015185139827</v>
      </c>
      <c r="AF363" s="116">
        <v>0.12184497743391219</v>
      </c>
      <c r="AG363" s="116">
        <v>0.12199999999999984</v>
      </c>
    </row>
    <row r="364" spans="1:33" s="117" customFormat="1" x14ac:dyDescent="0.35">
      <c r="A364" s="148"/>
      <c r="B364" s="113" t="s">
        <v>64</v>
      </c>
      <c r="C364" s="114"/>
      <c r="D364" s="115">
        <f>D359*T364</f>
        <v>6.5530920000000066</v>
      </c>
      <c r="E364" s="115">
        <f t="shared" ref="E364" si="2336">E359*U364</f>
        <v>6.8594700077192758</v>
      </c>
      <c r="F364" s="115">
        <f t="shared" ref="F364" si="2337">F359*V364</f>
        <v>7.1559896865325809</v>
      </c>
      <c r="G364" s="115">
        <f t="shared" ref="G364" si="2338">G359*W364</f>
        <v>7.436752127782432</v>
      </c>
      <c r="H364" s="115">
        <f>H359*X364</f>
        <v>7.6946518391040097</v>
      </c>
      <c r="I364" s="115">
        <f t="shared" ref="I364" si="2339">I359*Y364</f>
        <v>7.9211766880589787</v>
      </c>
      <c r="J364" s="115">
        <f t="shared" ref="J364" si="2340">J359*Z364</f>
        <v>8.1061774228647536</v>
      </c>
      <c r="K364" s="115">
        <f t="shared" ref="K364" si="2341">K359*AA364</f>
        <v>8.2376023414256796</v>
      </c>
      <c r="L364" s="115">
        <f t="shared" ref="L364" si="2342">L359*AB364</f>
        <v>8.3011920503608945</v>
      </c>
      <c r="M364" s="115">
        <f t="shared" ref="M364" si="2343">M359*AC364</f>
        <v>8.2801285379072027</v>
      </c>
      <c r="N364" s="115">
        <f t="shared" ref="N364" si="2344">N359*AD364</f>
        <v>8.154631966146404</v>
      </c>
      <c r="O364" s="115">
        <f t="shared" ref="O364" si="2345">O359*AE364</f>
        <v>7.9014976549543912</v>
      </c>
      <c r="P364" s="115">
        <f t="shared" ref="P364" si="2346">P359*AF364</f>
        <v>7.4935646664353506</v>
      </c>
      <c r="Q364" s="115">
        <f t="shared" ref="Q364" si="2347">Q359*AG364</f>
        <v>6.8991061862059562</v>
      </c>
      <c r="R364" s="68">
        <f t="shared" si="2284"/>
        <v>-1.2052738591887366E-2</v>
      </c>
      <c r="S364" s="113" t="s">
        <v>64</v>
      </c>
      <c r="T364" s="116">
        <f>1-SUM(T360:T363)</f>
        <v>8.0000000000000071E-2</v>
      </c>
      <c r="U364" s="116">
        <f t="shared" ref="U364:AG364" si="2348">1-SUM(U360:U363)</f>
        <v>7.585168101373041E-2</v>
      </c>
      <c r="V364" s="116">
        <f t="shared" si="2348"/>
        <v>7.1665431846087646E-2</v>
      </c>
      <c r="W364" s="116">
        <f t="shared" si="2348"/>
        <v>6.7440866479373307E-2</v>
      </c>
      <c r="X364" s="116">
        <f t="shared" si="2348"/>
        <v>6.3177594917725788E-2</v>
      </c>
      <c r="Y364" s="116">
        <f t="shared" si="2348"/>
        <v>5.887522314605742E-2</v>
      </c>
      <c r="Z364" s="116">
        <f t="shared" si="2348"/>
        <v>5.4533353088566772E-2</v>
      </c>
      <c r="AA364" s="116">
        <f t="shared" si="2348"/>
        <v>5.0151582566825281E-2</v>
      </c>
      <c r="AB364" s="116">
        <f t="shared" si="2348"/>
        <v>4.5729505257428471E-2</v>
      </c>
      <c r="AC364" s="116">
        <f t="shared" si="2348"/>
        <v>4.126671064921128E-2</v>
      </c>
      <c r="AD364" s="116">
        <f t="shared" si="2348"/>
        <v>3.6762784000021864E-2</v>
      </c>
      <c r="AE364" s="116">
        <f t="shared" si="2348"/>
        <v>3.2217306293047754E-2</v>
      </c>
      <c r="AF364" s="116">
        <f t="shared" si="2348"/>
        <v>2.7629854192693704E-2</v>
      </c>
      <c r="AG364" s="116">
        <f t="shared" si="2348"/>
        <v>2.2999999999999909E-2</v>
      </c>
    </row>
    <row r="365" spans="1:33" x14ac:dyDescent="0.35">
      <c r="A365" s="1"/>
      <c r="D365" s="81" t="b">
        <f>D359=SUM(D360:D364)</f>
        <v>1</v>
      </c>
      <c r="E365" s="81" t="b">
        <f t="shared" ref="E365:Q365" si="2349">E359=SUM(E360:E364)</f>
        <v>1</v>
      </c>
      <c r="F365" s="81" t="b">
        <f t="shared" si="2349"/>
        <v>1</v>
      </c>
      <c r="G365" s="81" t="b">
        <f t="shared" si="2349"/>
        <v>1</v>
      </c>
      <c r="H365" s="81" t="b">
        <f t="shared" si="2349"/>
        <v>1</v>
      </c>
      <c r="I365" s="81" t="b">
        <f t="shared" si="2349"/>
        <v>1</v>
      </c>
      <c r="J365" s="81" t="b">
        <f t="shared" si="2349"/>
        <v>1</v>
      </c>
      <c r="K365" s="81" t="b">
        <f t="shared" si="2349"/>
        <v>1</v>
      </c>
      <c r="L365" s="81" t="b">
        <f t="shared" si="2349"/>
        <v>1</v>
      </c>
      <c r="M365" s="81" t="b">
        <f t="shared" si="2349"/>
        <v>1</v>
      </c>
      <c r="N365" s="81" t="b">
        <f t="shared" si="2349"/>
        <v>1</v>
      </c>
      <c r="O365" s="81" t="b">
        <f t="shared" si="2349"/>
        <v>1</v>
      </c>
      <c r="P365" s="81" t="b">
        <f t="shared" si="2349"/>
        <v>1</v>
      </c>
      <c r="Q365" s="81" t="b">
        <f t="shared" si="2349"/>
        <v>1</v>
      </c>
      <c r="R365" s="21"/>
    </row>
    <row r="366" spans="1:33" s="117" customFormat="1" x14ac:dyDescent="0.35">
      <c r="A366" s="149" t="s">
        <v>65</v>
      </c>
      <c r="B366" s="122" t="s">
        <v>66</v>
      </c>
      <c r="C366" s="123"/>
      <c r="D366" s="124">
        <f>D359*T366</f>
        <v>57.339555000000011</v>
      </c>
      <c r="E366" s="124">
        <f t="shared" ref="E366" si="2350">E359*U366</f>
        <v>63.337536373037338</v>
      </c>
      <c r="F366" s="124">
        <f t="shared" ref="F366" si="2351">F359*V366</f>
        <v>69.97349624211364</v>
      </c>
      <c r="G366" s="124">
        <f t="shared" ref="G366" si="2352">G359*W366</f>
        <v>77.316383292386419</v>
      </c>
      <c r="H366" s="124">
        <f t="shared" ref="H366" si="2353">H359*X366</f>
        <v>85.442712215998625</v>
      </c>
      <c r="I366" s="124">
        <f t="shared" ref="I366" si="2354">I359*Y366</f>
        <v>94.437406188964147</v>
      </c>
      <c r="J366" s="124">
        <f t="shared" ref="J366" si="2355">J359*Z366</f>
        <v>104.39473448592017</v>
      </c>
      <c r="K366" s="124">
        <f t="shared" ref="K366" si="2356">K359*AA366</f>
        <v>115.41935612273429</v>
      </c>
      <c r="L366" s="124">
        <f t="shared" ref="L366" si="2357">L359*AB366</f>
        <v>127.62748167986182</v>
      </c>
      <c r="M366" s="124">
        <f t="shared" ref="M366" si="2358">M359*AC366</f>
        <v>141.14816687058024</v>
      </c>
      <c r="N366" s="124">
        <f t="shared" ref="N366" si="2359">N359*AD366</f>
        <v>156.12475299540495</v>
      </c>
      <c r="O366" s="124">
        <f t="shared" ref="O366" si="2360">O359*AE366</f>
        <v>172.71647118687898</v>
      </c>
      <c r="P366" s="124">
        <f t="shared" ref="P366" si="2361">P359*AF366</f>
        <v>191.10022931965298</v>
      </c>
      <c r="Q366" s="124">
        <f t="shared" ref="Q366" si="2362">Q359*AG366</f>
        <v>211.47260266414031</v>
      </c>
      <c r="R366" s="68">
        <f>RATE(9,,-H366,Q366)</f>
        <v>0.10593858247209892</v>
      </c>
      <c r="S366" s="122" t="s">
        <v>66</v>
      </c>
      <c r="T366" s="116">
        <v>0.70000000000000007</v>
      </c>
      <c r="U366" s="116">
        <v>0.70038335319736411</v>
      </c>
      <c r="V366" s="116">
        <v>0.70076691633711929</v>
      </c>
      <c r="W366" s="116">
        <v>0.70115068953424042</v>
      </c>
      <c r="X366" s="116">
        <v>0.70153467290376448</v>
      </c>
      <c r="Y366" s="116">
        <v>0.70191886656079228</v>
      </c>
      <c r="Z366" s="116">
        <v>0.70230327062048659</v>
      </c>
      <c r="AA366" s="116">
        <v>0.70268788519807479</v>
      </c>
      <c r="AB366" s="116">
        <v>0.70307271040884567</v>
      </c>
      <c r="AC366" s="116">
        <v>0.70345774636815217</v>
      </c>
      <c r="AD366" s="116">
        <v>0.70384299319141008</v>
      </c>
      <c r="AE366" s="116">
        <v>0.70422845099409903</v>
      </c>
      <c r="AF366" s="116">
        <v>0.70461411989176093</v>
      </c>
      <c r="AG366" s="116">
        <v>0.70500000000000129</v>
      </c>
    </row>
    <row r="367" spans="1:33" s="117" customFormat="1" x14ac:dyDescent="0.35">
      <c r="A367" s="149"/>
      <c r="B367" s="122" t="s">
        <v>67</v>
      </c>
      <c r="C367" s="123"/>
      <c r="D367" s="124">
        <f>D359*T367</f>
        <v>16.382730000000002</v>
      </c>
      <c r="E367" s="124">
        <f t="shared" ref="E367" si="2363">E359*U367</f>
        <v>18.10038283448786</v>
      </c>
      <c r="F367" s="124">
        <f t="shared" ref="F367" si="2364">F359*V367</f>
        <v>20.001142598249924</v>
      </c>
      <c r="G367" s="124">
        <f t="shared" ref="G367" si="2365">G359*W367</f>
        <v>22.104841270570979</v>
      </c>
      <c r="H367" s="124">
        <f t="shared" ref="H367" si="2366">H359*X367</f>
        <v>24.433491668420903</v>
      </c>
      <c r="I367" s="124">
        <f t="shared" ref="I367" si="2367">I359*Y367</f>
        <v>27.011530783563064</v>
      </c>
      <c r="J367" s="124">
        <f t="shared" ref="J367" si="2368">J359*Z367</f>
        <v>29.866090654116245</v>
      </c>
      <c r="K367" s="124">
        <f t="shared" ref="K367" si="2369">K359*AA367</f>
        <v>33.02729992850788</v>
      </c>
      <c r="L367" s="124">
        <f t="shared" ref="L367" si="2370">L359*AB367</f>
        <v>36.528619646687048</v>
      </c>
      <c r="M367" s="124">
        <f t="shared" ref="M367" si="2371">M359*AC367</f>
        <v>40.407217173570082</v>
      </c>
      <c r="N367" s="124">
        <f t="shared" ref="N367" si="2372">N359*AD367</f>
        <v>44.704382678112943</v>
      </c>
      <c r="O367" s="124">
        <f t="shared" ref="O367" si="2373">O359*AE367</f>
        <v>49.465993063904271</v>
      </c>
      <c r="P367" s="124">
        <f t="shared" ref="P367" si="2374">P359*AF367</f>
        <v>54.743028830208907</v>
      </c>
      <c r="Q367" s="124">
        <f t="shared" ref="Q367" si="2375">Q359*AG367</f>
        <v>60.592149983200471</v>
      </c>
      <c r="R367" s="68">
        <f>RATE(9,,-H367,Q367)</f>
        <v>0.10617960662330915</v>
      </c>
      <c r="S367" s="122" t="s">
        <v>67</v>
      </c>
      <c r="T367" s="116">
        <v>0.20000000000000004</v>
      </c>
      <c r="U367" s="116">
        <v>0.2001531406133327</v>
      </c>
      <c r="V367" s="116">
        <v>0.2003063984869026</v>
      </c>
      <c r="W367" s="116">
        <v>0.20045977371049628</v>
      </c>
      <c r="X367" s="116">
        <v>0.20061326637396906</v>
      </c>
      <c r="Y367" s="116">
        <v>0.2007668765672449</v>
      </c>
      <c r="Z367" s="116">
        <v>0.20092060438031684</v>
      </c>
      <c r="AA367" s="116">
        <v>0.20107444990324672</v>
      </c>
      <c r="AB367" s="116">
        <v>0.20122841322616528</v>
      </c>
      <c r="AC367" s="116">
        <v>0.20138249443927231</v>
      </c>
      <c r="AD367" s="116">
        <v>0.20153669363283677</v>
      </c>
      <c r="AE367" s="116">
        <v>0.2016910108971966</v>
      </c>
      <c r="AF367" s="116">
        <v>0.20184544632275897</v>
      </c>
      <c r="AG367" s="116">
        <v>0.20200000000000032</v>
      </c>
    </row>
    <row r="368" spans="1:33" s="117" customFormat="1" x14ac:dyDescent="0.35">
      <c r="A368" s="149"/>
      <c r="B368" s="122" t="s">
        <v>68</v>
      </c>
      <c r="C368" s="123"/>
      <c r="D368" s="124">
        <f>D359*T368</f>
        <v>8.1913649999999887</v>
      </c>
      <c r="E368" s="124">
        <f t="shared" ref="E368" si="2376">E359*U368</f>
        <v>8.9947503924748133</v>
      </c>
      <c r="F368" s="124">
        <f t="shared" ref="F368" si="2377">F359*V368</f>
        <v>9.8781005096364556</v>
      </c>
      <c r="G368" s="124">
        <f t="shared" ref="G368" si="2378">G359*W368</f>
        <v>10.849483925892635</v>
      </c>
      <c r="H368" s="124">
        <f t="shared" ref="H368" si="2379">H359*X368</f>
        <v>11.917793641515352</v>
      </c>
      <c r="I368" s="124">
        <f t="shared" ref="I368" si="2380">I359*Y368</f>
        <v>13.09283229445551</v>
      </c>
      <c r="J368" s="124">
        <f t="shared" ref="J368" si="2381">J359*Z368</f>
        <v>14.385406271768307</v>
      </c>
      <c r="K368" s="124">
        <f t="shared" ref="K368" si="2382">K359*AA368</f>
        <v>15.807429658802047</v>
      </c>
      <c r="L368" s="124">
        <f t="shared" ref="L368" si="2383">L359*AB368</f>
        <v>17.372039064001676</v>
      </c>
      <c r="M368" s="124">
        <f>M359*AC368</f>
        <v>19.093720467538187</v>
      </c>
      <c r="N368" s="124">
        <f t="shared" ref="N368" si="2384">N359*AD368</f>
        <v>20.988449364153745</v>
      </c>
      <c r="O368" s="124">
        <f t="shared" ref="O368" si="2385">O359*AE368</f>
        <v>23.073845605868989</v>
      </c>
      <c r="P368" s="124">
        <f t="shared" ref="P368" si="2386">P359*AF368</f>
        <v>25.369344499952721</v>
      </c>
      <c r="Q368" s="124">
        <f t="shared" ref="Q368" si="2387">Q359*AG368</f>
        <v>27.896385883354153</v>
      </c>
      <c r="R368" s="68">
        <f>RATE(9,,-H368,Q368)</f>
        <v>9.9104839355583757E-2</v>
      </c>
      <c r="S368" s="122" t="s">
        <v>68</v>
      </c>
      <c r="T368" s="116">
        <f>1-SUM(T366:T367)</f>
        <v>9.9999999999999867E-2</v>
      </c>
      <c r="U368" s="116">
        <f t="shared" ref="U368:AG368" si="2388">1-SUM(U366:U367)</f>
        <v>9.9463506189303219E-2</v>
      </c>
      <c r="V368" s="116">
        <f t="shared" si="2388"/>
        <v>9.8926685175978135E-2</v>
      </c>
      <c r="W368" s="116">
        <f t="shared" si="2388"/>
        <v>9.8389536755263296E-2</v>
      </c>
      <c r="X368" s="116">
        <f t="shared" si="2388"/>
        <v>9.7852060722266487E-2</v>
      </c>
      <c r="Y368" s="116">
        <f t="shared" si="2388"/>
        <v>9.7314256871962823E-2</v>
      </c>
      <c r="Z368" s="116">
        <f t="shared" si="2388"/>
        <v>9.6776124999196522E-2</v>
      </c>
      <c r="AA368" s="116">
        <f t="shared" si="2388"/>
        <v>9.6237664898678466E-2</v>
      </c>
      <c r="AB368" s="116">
        <f t="shared" si="2388"/>
        <v>9.5698876364989083E-2</v>
      </c>
      <c r="AC368" s="116">
        <f t="shared" si="2388"/>
        <v>9.5159759192575466E-2</v>
      </c>
      <c r="AD368" s="116">
        <f t="shared" si="2388"/>
        <v>9.4620313175753146E-2</v>
      </c>
      <c r="AE368" s="116">
        <f t="shared" si="2388"/>
        <v>9.4080538108704426E-2</v>
      </c>
      <c r="AF368" s="116">
        <f t="shared" si="2388"/>
        <v>9.3540433785480159E-2</v>
      </c>
      <c r="AG368" s="116">
        <f t="shared" si="2388"/>
        <v>9.2999999999998417E-2</v>
      </c>
    </row>
    <row r="369" spans="1:33" x14ac:dyDescent="0.35">
      <c r="A369" s="1"/>
      <c r="D369" s="81" t="b">
        <f>D359=SUM(D366:D368)</f>
        <v>1</v>
      </c>
      <c r="E369" s="81" t="b">
        <f t="shared" ref="E369:Q369" si="2389">E359=SUM(E366:E368)</f>
        <v>1</v>
      </c>
      <c r="F369" s="81" t="b">
        <f t="shared" si="2389"/>
        <v>1</v>
      </c>
      <c r="G369" s="81" t="b">
        <f t="shared" si="2389"/>
        <v>1</v>
      </c>
      <c r="H369" s="81" t="b">
        <f t="shared" si="2389"/>
        <v>1</v>
      </c>
      <c r="I369" s="81" t="b">
        <f t="shared" si="2389"/>
        <v>1</v>
      </c>
      <c r="J369" s="81" t="b">
        <f t="shared" si="2389"/>
        <v>1</v>
      </c>
      <c r="K369" s="81" t="b">
        <f t="shared" si="2389"/>
        <v>1</v>
      </c>
      <c r="L369" s="81" t="b">
        <f t="shared" si="2389"/>
        <v>1</v>
      </c>
      <c r="M369" s="81" t="b">
        <f t="shared" si="2389"/>
        <v>1</v>
      </c>
      <c r="N369" s="81" t="b">
        <f t="shared" si="2389"/>
        <v>1</v>
      </c>
      <c r="O369" s="81" t="b">
        <f t="shared" si="2389"/>
        <v>1</v>
      </c>
      <c r="P369" s="81" t="b">
        <f t="shared" si="2389"/>
        <v>1</v>
      </c>
      <c r="Q369" s="81" t="b">
        <f t="shared" si="2389"/>
        <v>1</v>
      </c>
      <c r="R369" s="21"/>
    </row>
    <row r="370" spans="1:33" s="117" customFormat="1" x14ac:dyDescent="0.35">
      <c r="A370" s="149" t="s">
        <v>69</v>
      </c>
      <c r="B370" s="125" t="s">
        <v>70</v>
      </c>
      <c r="C370" s="126"/>
      <c r="D370" s="127">
        <f>D359*T370</f>
        <v>34.403733000000003</v>
      </c>
      <c r="E370" s="127">
        <f t="shared" ref="E370" si="2390">E359*U370</f>
        <v>37.988669958496175</v>
      </c>
      <c r="F370" s="127">
        <f t="shared" ref="F370" si="2391">F359*V370</f>
        <v>41.953497035033202</v>
      </c>
      <c r="G370" s="127">
        <f t="shared" ref="G370" si="2392">G359*W370</f>
        <v>46.339121381365899</v>
      </c>
      <c r="H370" s="127">
        <f t="shared" ref="H370" si="2393">H359*X370</f>
        <v>51.190923192419419</v>
      </c>
      <c r="I370" s="127">
        <f t="shared" ref="I370" si="2394">I359*Y370</f>
        <v>56.559252065224186</v>
      </c>
      <c r="J370" s="127">
        <f t="shared" ref="J370" si="2395">J359*Z370</f>
        <v>62.499979221358714</v>
      </c>
      <c r="K370" s="127">
        <f t="shared" ref="K370" si="2396">K359*AA370</f>
        <v>69.075111966311638</v>
      </c>
      <c r="L370" s="127">
        <f t="shared" ref="L370" si="2397">L359*AB370</f>
        <v>76.353477495919449</v>
      </c>
      <c r="M370" s="127">
        <f t="shared" ref="M370" si="2398">M359*AC370</f>
        <v>84.411483983033591</v>
      </c>
      <c r="N370" s="127">
        <f t="shared" ref="N370" si="2399">N359*AD370</f>
        <v>93.333967797042789</v>
      </c>
      <c r="O370" s="127">
        <f t="shared" ref="O370" si="2400">O359*AE370</f>
        <v>103.21513673627108</v>
      </c>
      <c r="P370" s="127">
        <f t="shared" ref="P370" si="2401">P359*AF370</f>
        <v>114.15962030141344</v>
      </c>
      <c r="Q370" s="127">
        <f t="shared" ref="Q370" si="2402">Q359*AG370</f>
        <v>126.28363932142251</v>
      </c>
      <c r="R370" s="68">
        <f>RATE(9,,-H370,Q370)</f>
        <v>0.10553546942673463</v>
      </c>
      <c r="S370" s="125" t="s">
        <v>70</v>
      </c>
      <c r="T370" s="116">
        <v>0.42</v>
      </c>
      <c r="U370" s="116">
        <v>0.42007683867486062</v>
      </c>
      <c r="V370" s="116">
        <v>0.4201536914072973</v>
      </c>
      <c r="W370" s="116">
        <v>0.42023055819988187</v>
      </c>
      <c r="X370" s="116">
        <v>0.42030743905518658</v>
      </c>
      <c r="Y370" s="116">
        <v>0.42038433397578434</v>
      </c>
      <c r="Z370" s="116">
        <v>0.42046124296424836</v>
      </c>
      <c r="AA370" s="116">
        <v>0.42053816602315214</v>
      </c>
      <c r="AB370" s="116">
        <v>0.42061510315507006</v>
      </c>
      <c r="AC370" s="116">
        <v>0.42069205436257667</v>
      </c>
      <c r="AD370" s="116">
        <v>0.4207690196482472</v>
      </c>
      <c r="AE370" s="116">
        <v>0.42084599901465702</v>
      </c>
      <c r="AF370" s="116">
        <v>0.42092299246438242</v>
      </c>
      <c r="AG370" s="137">
        <v>0.42099999999999982</v>
      </c>
    </row>
    <row r="371" spans="1:33" s="117" customFormat="1" x14ac:dyDescent="0.35">
      <c r="A371" s="149"/>
      <c r="B371" s="125" t="s">
        <v>71</v>
      </c>
      <c r="C371" s="126"/>
      <c r="D371" s="127">
        <f>D359*T371</f>
        <v>18.840139500000006</v>
      </c>
      <c r="E371" s="127">
        <f t="shared" ref="E371" si="2403">E359*U371</f>
        <v>20.8133711986817</v>
      </c>
      <c r="F371" s="127">
        <f t="shared" ref="F371" si="2404">F359*V371</f>
        <v>22.996741540288344</v>
      </c>
      <c r="G371" s="127">
        <f t="shared" ref="G371" si="2405">G359*W371</f>
        <v>25.412987778633145</v>
      </c>
      <c r="H371" s="127">
        <f t="shared" ref="H371" si="2406">H359*X371</f>
        <v>28.087345081022018</v>
      </c>
      <c r="I371" s="127">
        <f t="shared" ref="I371" si="2407">I359*Y371</f>
        <v>31.047824983160876</v>
      </c>
      <c r="J371" s="127">
        <f t="shared" ref="J371" si="2408">J359*Z371</f>
        <v>34.325525323362491</v>
      </c>
      <c r="K371" s="127">
        <f t="shared" ref="K371" si="2409">K359*AA371</f>
        <v>37.954975263194413</v>
      </c>
      <c r="L371" s="127">
        <f t="shared" ref="L371" si="2410">L359*AB371</f>
        <v>41.974519420466343</v>
      </c>
      <c r="M371" s="127">
        <f t="shared" ref="M371" si="2411">M359*AC371</f>
        <v>46.426745608443227</v>
      </c>
      <c r="N371" s="127">
        <f t="shared" ref="N371" si="2412">N359*AD371</f>
        <v>51.358961198246057</v>
      </c>
      <c r="O371" s="127">
        <f t="shared" ref="O371" si="2413">O359*AE371</f>
        <v>56.823723706132157</v>
      </c>
      <c r="P371" s="127">
        <f t="shared" ref="P371" si="2414">P359*AF371</f>
        <v>62.879431861083489</v>
      </c>
      <c r="Q371" s="127">
        <f t="shared" ref="Q371" si="2415">Q359*AG371</f>
        <v>69.590984139121275</v>
      </c>
      <c r="R371" s="68">
        <f>RATE(9,,-H371,Q371)</f>
        <v>0.10606965203999251</v>
      </c>
      <c r="S371" s="125" t="s">
        <v>71</v>
      </c>
      <c r="T371" s="116">
        <v>0.23000000000000007</v>
      </c>
      <c r="U371" s="116">
        <v>0.230153232131076</v>
      </c>
      <c r="V371" s="116">
        <v>0.23030656634948232</v>
      </c>
      <c r="W371" s="116">
        <v>0.23046000272323239</v>
      </c>
      <c r="X371" s="116">
        <v>0.23061354132038475</v>
      </c>
      <c r="Y371" s="116">
        <v>0.23076718220904338</v>
      </c>
      <c r="Z371" s="116">
        <v>0.23092092545735762</v>
      </c>
      <c r="AA371" s="116">
        <v>0.23107477113352223</v>
      </c>
      <c r="AB371" s="116">
        <v>0.23122871930577729</v>
      </c>
      <c r="AC371" s="116">
        <v>0.23138277004240856</v>
      </c>
      <c r="AD371" s="116">
        <v>0.23153692341174703</v>
      </c>
      <c r="AE371" s="116">
        <v>0.23169117948216938</v>
      </c>
      <c r="AF371" s="116">
        <v>0.23184553832209787</v>
      </c>
      <c r="AG371" s="137">
        <v>0.23200000000000018</v>
      </c>
    </row>
    <row r="372" spans="1:33" s="117" customFormat="1" x14ac:dyDescent="0.35">
      <c r="A372" s="149"/>
      <c r="B372" s="125" t="s">
        <v>72</v>
      </c>
      <c r="C372" s="126"/>
      <c r="D372" s="127">
        <f>D359*T372</f>
        <v>16.382729999999999</v>
      </c>
      <c r="E372" s="127">
        <f t="shared" ref="E372" si="2416">E359*U372</f>
        <v>18.093474277328479</v>
      </c>
      <c r="F372" s="127">
        <f t="shared" ref="F372" si="2417">F359*V372</f>
        <v>19.985877433081086</v>
      </c>
      <c r="G372" s="127">
        <f t="shared" ref="G372" si="2418">G359*W372</f>
        <v>22.079539991442314</v>
      </c>
      <c r="H372" s="127">
        <f t="shared" ref="H372" si="2419">H359*X372</f>
        <v>24.396209902967115</v>
      </c>
      <c r="I372" s="127">
        <f t="shared" ref="I372" si="2420">I359*Y372</f>
        <v>26.960021290853433</v>
      </c>
      <c r="J372" s="127">
        <f t="shared" ref="J372" si="2421">J359*Z372</f>
        <v>29.797760117209585</v>
      </c>
      <c r="K372" s="127">
        <f t="shared" ref="K372" si="2422">K359*AA372</f>
        <v>32.939159846168209</v>
      </c>
      <c r="L372" s="127">
        <f t="shared" ref="L372" si="2423">L359*AB372</f>
        <v>36.417230537004997</v>
      </c>
      <c r="M372" s="127">
        <f t="shared" ref="M372" si="2424">M359*AC372</f>
        <v>40.268625198511607</v>
      </c>
      <c r="N372" s="127">
        <f t="shared" ref="N372" si="2425">N359*AD372</f>
        <v>44.534047680711502</v>
      </c>
      <c r="O372" s="127">
        <f t="shared" ref="O372" si="2426">O359*AE372</f>
        <v>49.258706877149393</v>
      </c>
      <c r="P372" s="127">
        <f t="shared" ref="P372" si="2427">P359*AF372</f>
        <v>54.492822566656649</v>
      </c>
      <c r="Q372" s="127">
        <f t="shared" ref="Q372" si="2428">Q359*AG372</f>
        <v>60.292188844669603</v>
      </c>
      <c r="R372" s="68">
        <f>RATE(9,,-H372,Q372)</f>
        <v>0.10575739980530639</v>
      </c>
      <c r="S372" s="125" t="s">
        <v>72</v>
      </c>
      <c r="T372" s="116">
        <v>0.19999999999999998</v>
      </c>
      <c r="U372" s="116">
        <v>0.20007674612901705</v>
      </c>
      <c r="V372" s="116">
        <v>0.20015352170787573</v>
      </c>
      <c r="W372" s="116">
        <v>0.2002303267478768</v>
      </c>
      <c r="X372" s="116">
        <v>0.20030716126032544</v>
      </c>
      <c r="Y372" s="116">
        <v>0.20038402525653101</v>
      </c>
      <c r="Z372" s="116">
        <v>0.20046091874780753</v>
      </c>
      <c r="AA372" s="116">
        <v>0.20053784174547304</v>
      </c>
      <c r="AB372" s="116">
        <v>0.20061479426085005</v>
      </c>
      <c r="AC372" s="116">
        <v>0.20069177630526541</v>
      </c>
      <c r="AD372" s="116">
        <v>0.20076878789005037</v>
      </c>
      <c r="AE372" s="116">
        <v>0.20084582902654041</v>
      </c>
      <c r="AF372" s="116">
        <v>0.20092289972607549</v>
      </c>
      <c r="AG372" s="137">
        <v>0.20099999999999973</v>
      </c>
    </row>
    <row r="373" spans="1:33" s="117" customFormat="1" x14ac:dyDescent="0.35">
      <c r="A373" s="149"/>
      <c r="B373" s="125" t="s">
        <v>73</v>
      </c>
      <c r="C373" s="126"/>
      <c r="D373" s="127">
        <f>D359*T373</f>
        <v>8.1913649999999993</v>
      </c>
      <c r="E373" s="127">
        <f t="shared" ref="E373" si="2429">E359*U373</f>
        <v>9.0570528760902764</v>
      </c>
      <c r="F373" s="127">
        <f t="shared" ref="F373" si="2430">F359*V373</f>
        <v>10.015741037977634</v>
      </c>
      <c r="G373" s="127">
        <f t="shared" ref="G373" si="2431">G359*W373</f>
        <v>11.077578083024028</v>
      </c>
      <c r="H373" s="127">
        <f t="shared" ref="H373" si="2432">H359*X373</f>
        <v>12.253836795682794</v>
      </c>
      <c r="I373" s="127">
        <f t="shared" ref="I373" si="2433">I359*Y373</f>
        <v>13.55704048158837</v>
      </c>
      <c r="J373" s="127">
        <f t="shared" ref="J373" si="2434">J359*Z373</f>
        <v>15.001103696698877</v>
      </c>
      <c r="K373" s="127">
        <f t="shared" ref="K373" si="2435">K359*AA373</f>
        <v>16.601489033747395</v>
      </c>
      <c r="L373" s="127">
        <f t="shared" ref="L373" si="2436">L359*AB373</f>
        <v>18.375381822691857</v>
      </c>
      <c r="M373" s="127">
        <f t="shared" ref="M373" si="2437">M359*AC373</f>
        <v>20.341884819315663</v>
      </c>
      <c r="N373" s="127">
        <f t="shared" ref="N373" si="2438">N359*AD373</f>
        <v>22.522235199381019</v>
      </c>
      <c r="O373" s="127">
        <f t="shared" ref="O373" si="2439">O359*AE373</f>
        <v>24.940046447870294</v>
      </c>
      <c r="P373" s="127">
        <f t="shared" ref="P373" si="2440">P359*AF373</f>
        <v>27.621578037338057</v>
      </c>
      <c r="Q373" s="127">
        <f t="shared" ref="Q373" si="2441">Q359*AG373</f>
        <v>30.596036130130841</v>
      </c>
      <c r="R373" s="68">
        <f>RATE(9,,-H373,Q373)</f>
        <v>0.10701826356415711</v>
      </c>
      <c r="S373" s="125" t="s">
        <v>73</v>
      </c>
      <c r="T373" s="116">
        <v>9.9999999999999992E-2</v>
      </c>
      <c r="U373" s="116">
        <v>0.10015244398015953</v>
      </c>
      <c r="V373" s="116">
        <v>0.10030512035198993</v>
      </c>
      <c r="W373" s="116">
        <v>0.10045802946975833</v>
      </c>
      <c r="X373" s="116">
        <v>0.10061117168827188</v>
      </c>
      <c r="Y373" s="116">
        <v>0.10076454736287864</v>
      </c>
      <c r="Z373" s="116">
        <v>0.10091815684946834</v>
      </c>
      <c r="AA373" s="116">
        <v>0.10107200050447333</v>
      </c>
      <c r="AB373" s="116">
        <v>0.10122607868486923</v>
      </c>
      <c r="AC373" s="116">
        <v>0.10138039174817587</v>
      </c>
      <c r="AD373" s="116">
        <v>0.10153494005245813</v>
      </c>
      <c r="AE373" s="116">
        <v>0.10168972395632671</v>
      </c>
      <c r="AF373" s="116">
        <v>0.10184474381893897</v>
      </c>
      <c r="AG373" s="137">
        <v>0.10199999999999985</v>
      </c>
    </row>
    <row r="374" spans="1:33" s="117" customFormat="1" x14ac:dyDescent="0.35">
      <c r="A374" s="149"/>
      <c r="B374" s="125" t="s">
        <v>74</v>
      </c>
      <c r="C374" s="126"/>
      <c r="D374" s="127">
        <f>D359*T374</f>
        <v>4.0956825000000041</v>
      </c>
      <c r="E374" s="127">
        <f t="shared" ref="E374" si="2442">E359*U374</f>
        <v>4.4801012894033718</v>
      </c>
      <c r="F374" s="127">
        <f t="shared" ref="F374" si="2443">F359*V374</f>
        <v>4.9008823036197615</v>
      </c>
      <c r="G374" s="127">
        <f t="shared" ref="G374" si="2444">G359*W374</f>
        <v>5.3614812543846453</v>
      </c>
      <c r="H374" s="127">
        <f t="shared" ref="H374" si="2445">H359*X374</f>
        <v>5.86568255384352</v>
      </c>
      <c r="I374" s="127">
        <f t="shared" ref="I374" si="2446">I359*Y374</f>
        <v>6.4176304461558669</v>
      </c>
      <c r="J374" s="127">
        <f t="shared" ref="J374" si="2447">J359*Z374</f>
        <v>7.0218630531750472</v>
      </c>
      <c r="K374" s="127">
        <f t="shared" ref="K374" si="2448">K359*AA374</f>
        <v>7.6833496006225692</v>
      </c>
      <c r="L374" s="127">
        <f t="shared" ref="L374" si="2449">L359*AB374</f>
        <v>8.407531114467881</v>
      </c>
      <c r="M374" s="127">
        <f t="shared" ref="M374" si="2450">M359*AC374</f>
        <v>9.2003649023844236</v>
      </c>
      <c r="N374" s="127">
        <f t="shared" ref="N374" si="2451">N359*AD374</f>
        <v>10.068373162290246</v>
      </c>
      <c r="O374" s="127">
        <f t="shared" ref="O374" si="2452">O359*AE374</f>
        <v>11.018696089229305</v>
      </c>
      <c r="P374" s="127">
        <f t="shared" ref="P374" si="2453">P359*AF374</f>
        <v>12.059149883322945</v>
      </c>
      <c r="Q374" s="127">
        <f t="shared" ref="Q374" si="2454">Q359*AG374</f>
        <v>13.198290095350689</v>
      </c>
      <c r="R374" s="68">
        <f>RATE(9,,-H374,Q374)</f>
        <v>9.4292026860675393E-2</v>
      </c>
      <c r="S374" s="125" t="s">
        <v>74</v>
      </c>
      <c r="T374" s="116">
        <f>1-SUM(T370:T373)</f>
        <v>5.0000000000000044E-2</v>
      </c>
      <c r="U374" s="116">
        <f t="shared" ref="U374:AG374" si="2455">1-SUM(U370:U373)</f>
        <v>4.9540739084886765E-2</v>
      </c>
      <c r="V374" s="116">
        <f t="shared" si="2455"/>
        <v>4.9081100183354764E-2</v>
      </c>
      <c r="W374" s="116">
        <f t="shared" si="2455"/>
        <v>4.8621082859250597E-2</v>
      </c>
      <c r="X374" s="116">
        <f t="shared" si="2455"/>
        <v>4.8160686675831288E-2</v>
      </c>
      <c r="Y374" s="116">
        <f t="shared" si="2455"/>
        <v>4.7699911195762668E-2</v>
      </c>
      <c r="Z374" s="116">
        <f t="shared" si="2455"/>
        <v>4.7238755981118041E-2</v>
      </c>
      <c r="AA374" s="116">
        <f t="shared" si="2455"/>
        <v>4.6777220593379298E-2</v>
      </c>
      <c r="AB374" s="116">
        <f t="shared" si="2455"/>
        <v>4.631530459343336E-2</v>
      </c>
      <c r="AC374" s="116">
        <f t="shared" si="2455"/>
        <v>4.5853007541573509E-2</v>
      </c>
      <c r="AD374" s="116">
        <f t="shared" si="2455"/>
        <v>4.5390328997497287E-2</v>
      </c>
      <c r="AE374" s="116">
        <f t="shared" si="2455"/>
        <v>4.4927268520306485E-2</v>
      </c>
      <c r="AF374" s="116">
        <f t="shared" si="2455"/>
        <v>4.4463825668505264E-2</v>
      </c>
      <c r="AG374" s="116">
        <f t="shared" si="2455"/>
        <v>4.4000000000000372E-2</v>
      </c>
    </row>
    <row r="375" spans="1:33" x14ac:dyDescent="0.35">
      <c r="A375" s="2"/>
      <c r="D375" s="81" t="b">
        <f>D359=SUM(D370:D374)</f>
        <v>1</v>
      </c>
      <c r="E375" s="81" t="b">
        <f t="shared" ref="E375:Q375" si="2456">E359=SUM(E370:E374)</f>
        <v>1</v>
      </c>
      <c r="F375" s="81" t="b">
        <f t="shared" si="2456"/>
        <v>1</v>
      </c>
      <c r="G375" s="81" t="b">
        <f t="shared" si="2456"/>
        <v>1</v>
      </c>
      <c r="H375" s="81" t="b">
        <f t="shared" si="2456"/>
        <v>1</v>
      </c>
      <c r="I375" s="81" t="b">
        <f t="shared" si="2456"/>
        <v>1</v>
      </c>
      <c r="J375" s="81" t="b">
        <f t="shared" si="2456"/>
        <v>1</v>
      </c>
      <c r="K375" s="81" t="b">
        <f t="shared" si="2456"/>
        <v>1</v>
      </c>
      <c r="L375" s="81" t="b">
        <f t="shared" si="2456"/>
        <v>1</v>
      </c>
      <c r="M375" s="81" t="b">
        <f t="shared" si="2456"/>
        <v>1</v>
      </c>
      <c r="N375" s="81" t="b">
        <f t="shared" si="2456"/>
        <v>1</v>
      </c>
      <c r="O375" s="81" t="b">
        <f t="shared" si="2456"/>
        <v>1</v>
      </c>
      <c r="P375" s="81" t="b">
        <f t="shared" si="2456"/>
        <v>1</v>
      </c>
      <c r="Q375" s="81" t="b">
        <f t="shared" si="2456"/>
        <v>1</v>
      </c>
      <c r="R375" s="21"/>
    </row>
    <row r="376" spans="1:33" s="117" customFormat="1" x14ac:dyDescent="0.35">
      <c r="A376" s="149" t="s">
        <v>75</v>
      </c>
      <c r="B376" s="128" t="s">
        <v>76</v>
      </c>
      <c r="C376" s="129"/>
      <c r="D376" s="130">
        <f>D359*T376</f>
        <v>18.021003000000004</v>
      </c>
      <c r="E376" s="130">
        <f t="shared" ref="E376" si="2457">E359*U376</f>
        <v>19.929609492578944</v>
      </c>
      <c r="F376" s="130">
        <f t="shared" ref="F376" si="2458">F359*V376</f>
        <v>22.043684066013572</v>
      </c>
      <c r="G376" s="130">
        <f t="shared" ref="G376" si="2459">G359*W376</f>
        <v>24.385693779054897</v>
      </c>
      <c r="H376" s="130">
        <f t="shared" ref="H376" si="2460">H359*X376</f>
        <v>26.980599343974305</v>
      </c>
      <c r="I376" s="130">
        <f t="shared" ref="I376" si="2461">I359*Y376</f>
        <v>29.856135898959423</v>
      </c>
      <c r="J376" s="130">
        <f t="shared" ref="J376" si="2462">J359*Z376</f>
        <v>33.043125833168439</v>
      </c>
      <c r="K376" s="130">
        <f t="shared" ref="K376" si="2463">K359*AA376</f>
        <v>36.575827372509814</v>
      </c>
      <c r="L376" s="130">
        <f t="shared" ref="L376" si="2464">L359*AB376</f>
        <v>40.492323068729277</v>
      </c>
      <c r="M376" s="130">
        <f t="shared" ref="M376" si="2465">M359*AC376</f>
        <v>44.83495282045341</v>
      </c>
      <c r="N376" s="130">
        <f t="shared" ref="N376" si="2466">N359*AD376</f>
        <v>49.650796598649023</v>
      </c>
      <c r="O376" s="130">
        <f t="shared" ref="O376" si="2467">O359*AE376</f>
        <v>54.992212657453081</v>
      </c>
      <c r="P376" s="130">
        <f t="shared" ref="P376" si="2468">P359*AF376</f>
        <v>60.917437692294875</v>
      </c>
      <c r="Q376" s="130">
        <f>Q359*AG376</f>
        <v>67.491256169406412</v>
      </c>
      <c r="R376" s="68">
        <f t="shared" ref="R376:R381" si="2469">RATE(9,,-H376,Q376)</f>
        <v>0.10724567090138711</v>
      </c>
      <c r="S376" s="134" t="s">
        <v>76</v>
      </c>
      <c r="T376" s="116">
        <v>0.22000000000000003</v>
      </c>
      <c r="U376" s="116">
        <v>0.22038063877502673</v>
      </c>
      <c r="V376" s="116">
        <v>0.22076193612222184</v>
      </c>
      <c r="W376" s="116">
        <v>0.22114389318103134</v>
      </c>
      <c r="X376" s="116">
        <v>0.22152651109287255</v>
      </c>
      <c r="Y376" s="116">
        <v>0.22190979100113767</v>
      </c>
      <c r="Z376" s="116">
        <v>0.22229373405119721</v>
      </c>
      <c r="AA376" s="116">
        <v>0.22267834139040343</v>
      </c>
      <c r="AB376" s="116">
        <v>0.2230636141680935</v>
      </c>
      <c r="AC376" s="116">
        <v>0.22344955353559337</v>
      </c>
      <c r="AD376" s="116">
        <v>0.22383616064622086</v>
      </c>
      <c r="AE376" s="116">
        <v>0.22422343665528938</v>
      </c>
      <c r="AF376" s="116">
        <v>0.22461138272011094</v>
      </c>
      <c r="AG376" s="116">
        <v>0.22500000000000017</v>
      </c>
    </row>
    <row r="377" spans="1:33" s="117" customFormat="1" x14ac:dyDescent="0.35">
      <c r="A377" s="149"/>
      <c r="B377" s="128" t="s">
        <v>77</v>
      </c>
      <c r="C377" s="129"/>
      <c r="D377" s="130">
        <f>D359*T377</f>
        <v>31.127187000000003</v>
      </c>
      <c r="E377" s="130">
        <f t="shared" ref="E377" si="2470">E359*U377</f>
        <v>34.364414448000005</v>
      </c>
      <c r="F377" s="130">
        <f t="shared" ref="F377" si="2471">F359*V377</f>
        <v>37.944040953000005</v>
      </c>
      <c r="G377" s="130">
        <f t="shared" ref="G377" si="2472">G359*W377</f>
        <v>41.902869225763013</v>
      </c>
      <c r="H377" s="130">
        <f t="shared" ref="H377" si="2473">H359*X377</f>
        <v>46.281719059855249</v>
      </c>
      <c r="I377" s="130">
        <f t="shared" ref="I377" si="2474">I359*Y377</f>
        <v>51.125872321453436</v>
      </c>
      <c r="J377" s="130">
        <f t="shared" ref="J377" si="2475">J359*Z377</f>
        <v>56.485567936485801</v>
      </c>
      <c r="K377" s="130">
        <f t="shared" ref="K377" si="2476">K359*AA377</f>
        <v>62.416552569816808</v>
      </c>
      <c r="L377" s="130">
        <f t="shared" ref="L377" si="2477">L359*AB377</f>
        <v>68.980693348409204</v>
      </c>
      <c r="M377" s="130">
        <f t="shared" ref="M377" si="2478">M359*AC377</f>
        <v>76.246659714441634</v>
      </c>
      <c r="N377" s="130">
        <f t="shared" ref="N377" si="2479">N359*AD377</f>
        <v>84.29068231431522</v>
      </c>
      <c r="O377" s="130">
        <f t="shared" ref="O377" si="2480">O359*AE377</f>
        <v>93.197397745527851</v>
      </c>
      <c r="P377" s="130">
        <f t="shared" ref="P377" si="2481">P359*AF377</f>
        <v>103.06078900692954</v>
      </c>
      <c r="Q377" s="130">
        <f t="shared" ref="Q377" si="2482">Q359*AG377</f>
        <v>113.98523264166408</v>
      </c>
      <c r="R377" s="68">
        <f t="shared" si="2469"/>
        <v>0.10533324956440683</v>
      </c>
      <c r="S377" s="134" t="s">
        <v>77</v>
      </c>
      <c r="T377" s="116">
        <v>0.38</v>
      </c>
      <c r="U377" s="116">
        <v>0.38</v>
      </c>
      <c r="V377" s="116">
        <v>0.38</v>
      </c>
      <c r="W377" s="116">
        <v>0.38</v>
      </c>
      <c r="X377" s="116">
        <v>0.38</v>
      </c>
      <c r="Y377" s="116">
        <v>0.38</v>
      </c>
      <c r="Z377" s="116">
        <v>0.38</v>
      </c>
      <c r="AA377" s="116">
        <v>0.38</v>
      </c>
      <c r="AB377" s="116">
        <v>0.38</v>
      </c>
      <c r="AC377" s="116">
        <v>0.38</v>
      </c>
      <c r="AD377" s="116">
        <v>0.38</v>
      </c>
      <c r="AE377" s="116">
        <v>0.38</v>
      </c>
      <c r="AF377" s="116">
        <v>0.38</v>
      </c>
      <c r="AG377" s="116">
        <v>0.38</v>
      </c>
    </row>
    <row r="378" spans="1:33" s="117" customFormat="1" x14ac:dyDescent="0.35">
      <c r="A378" s="149"/>
      <c r="B378" s="128" t="s">
        <v>78</v>
      </c>
      <c r="C378" s="129"/>
      <c r="D378" s="132">
        <f>D359*T378</f>
        <v>13.9253205</v>
      </c>
      <c r="E378" s="132">
        <f t="shared" ref="E378" si="2483">E359*U378</f>
        <v>15.447879092390735</v>
      </c>
      <c r="F378" s="132">
        <f t="shared" ref="F378" si="2484">F359*V378</f>
        <v>17.139497404423121</v>
      </c>
      <c r="G378" s="132">
        <f t="shared" ref="G378" si="2485">G359*W378</f>
        <v>19.019226588260466</v>
      </c>
      <c r="H378" s="132">
        <f t="shared" ref="H378" si="2486">H359*X378</f>
        <v>21.108295310017162</v>
      </c>
      <c r="I378" s="132">
        <f t="shared" ref="I378" si="2487">I359*Y378</f>
        <v>23.430362054378119</v>
      </c>
      <c r="J378" s="132">
        <f t="shared" ref="J378" si="2488">J359*Z378</f>
        <v>26.011797050192111</v>
      </c>
      <c r="K378" s="132">
        <f t="shared" ref="K378" si="2489">K359*AA378</f>
        <v>28.881997339008432</v>
      </c>
      <c r="L378" s="132">
        <f t="shared" ref="L378" si="2490">L359*AB378</f>
        <v>32.073738932462987</v>
      </c>
      <c r="M378" s="132">
        <f t="shared" ref="M378" si="2491">M359*AC378</f>
        <v>35.623570479995536</v>
      </c>
      <c r="N378" s="132">
        <f t="shared" ref="N378" si="2492">N359*AD378</f>
        <v>39.57225340195707</v>
      </c>
      <c r="O378" s="132">
        <f t="shared" ref="O378" si="2493">O359*AE378</f>
        <v>43.965254041900586</v>
      </c>
      <c r="P378" s="132">
        <f t="shared" ref="P378" si="2494">P359*AF378</f>
        <v>48.85329406378932</v>
      </c>
      <c r="Q378" s="132">
        <f t="shared" ref="Q378" si="2495">Q359*AG378</f>
        <v>54.292966074055691</v>
      </c>
      <c r="R378" s="68">
        <f t="shared" si="2469"/>
        <v>0.11067711361344172</v>
      </c>
      <c r="S378" s="134" t="s">
        <v>78</v>
      </c>
      <c r="T378" s="116">
        <v>0.16999999999999998</v>
      </c>
      <c r="U378" s="116">
        <v>0.17082188506343435</v>
      </c>
      <c r="V378" s="116">
        <v>0.17164774362720694</v>
      </c>
      <c r="W378" s="116">
        <v>0.17247759490167405</v>
      </c>
      <c r="X378" s="116">
        <v>0.17331145819006682</v>
      </c>
      <c r="Y378" s="116">
        <v>0.17414935288894001</v>
      </c>
      <c r="Z378" s="116">
        <v>0.17499129848862341</v>
      </c>
      <c r="AA378" s="116">
        <v>0.17583731457367507</v>
      </c>
      <c r="AB378" s="116">
        <v>0.17668742082333691</v>
      </c>
      <c r="AC378" s="116">
        <v>0.17754163701199244</v>
      </c>
      <c r="AD378" s="116">
        <v>0.17839998300962681</v>
      </c>
      <c r="AE378" s="116">
        <v>0.17926247878228888</v>
      </c>
      <c r="AF378" s="116">
        <v>0.18012914439255584</v>
      </c>
      <c r="AG378" s="116">
        <v>0.18099999999999969</v>
      </c>
    </row>
    <row r="379" spans="1:33" s="117" customFormat="1" x14ac:dyDescent="0.35">
      <c r="A379" s="149"/>
      <c r="B379" s="128" t="s">
        <v>79</v>
      </c>
      <c r="C379" s="129"/>
      <c r="D379" s="132">
        <f>D359*T379</f>
        <v>11.467911000000001</v>
      </c>
      <c r="E379" s="132">
        <f t="shared" ref="E379" si="2496">E359*U379</f>
        <v>12.667507274607468</v>
      </c>
      <c r="F379" s="132">
        <f t="shared" ref="F379" si="2497">F359*V379</f>
        <v>13.994699248422728</v>
      </c>
      <c r="G379" s="132">
        <f t="shared" ref="G379" si="2498">G359*W379</f>
        <v>15.463276658477286</v>
      </c>
      <c r="H379" s="132">
        <f t="shared" ref="H379" si="2499">H359*X379</f>
        <v>17.088542443199724</v>
      </c>
      <c r="I379" s="132">
        <f t="shared" ref="I379" si="2500">I359*Y379</f>
        <v>18.88748123779283</v>
      </c>
      <c r="J379" s="132">
        <f t="shared" ref="J379" si="2501">J359*Z379</f>
        <v>20.878946897184033</v>
      </c>
      <c r="K379" s="132">
        <f t="shared" ref="K379" si="2502">K359*AA379</f>
        <v>23.083871224546858</v>
      </c>
      <c r="L379" s="132">
        <f t="shared" ref="L379" si="2503">L359*AB379</f>
        <v>25.525496335972363</v>
      </c>
      <c r="M379" s="132">
        <f t="shared" ref="M379" si="2504">M359*AC379</f>
        <v>28.229633374116045</v>
      </c>
      <c r="N379" s="132">
        <f t="shared" ref="N379" si="2505">N359*AD379</f>
        <v>31.224950599080991</v>
      </c>
      <c r="O379" s="132">
        <f t="shared" ref="O379" si="2506">O359*AE379</f>
        <v>34.543294237375797</v>
      </c>
      <c r="P379" s="132">
        <f t="shared" ref="P379" si="2507">P359*AF379</f>
        <v>38.220045863930594</v>
      </c>
      <c r="Q379" s="132">
        <f t="shared" ref="Q379" si="2508">Q359*AG379</f>
        <v>42.294520532828066</v>
      </c>
      <c r="R379" s="68">
        <f t="shared" si="2469"/>
        <v>0.10593858247209895</v>
      </c>
      <c r="S379" s="134" t="s">
        <v>79</v>
      </c>
      <c r="T379" s="116">
        <v>0.14000000000000001</v>
      </c>
      <c r="U379" s="116">
        <v>0.14007667063947282</v>
      </c>
      <c r="V379" s="116">
        <v>0.14015338326742385</v>
      </c>
      <c r="W379" s="116">
        <v>0.1402301379068481</v>
      </c>
      <c r="X379" s="116">
        <v>0.14030693458075291</v>
      </c>
      <c r="Y379" s="116">
        <v>0.14038377331215846</v>
      </c>
      <c r="Z379" s="116">
        <v>0.14046065412409731</v>
      </c>
      <c r="AA379" s="116">
        <v>0.14053757703961495</v>
      </c>
      <c r="AB379" s="116">
        <v>0.14061454208176913</v>
      </c>
      <c r="AC379" s="116">
        <v>0.14069154927363042</v>
      </c>
      <c r="AD379" s="116">
        <v>0.14076859863828203</v>
      </c>
      <c r="AE379" s="116">
        <v>0.14084569019881982</v>
      </c>
      <c r="AF379" s="116">
        <v>0.14092282397835218</v>
      </c>
      <c r="AG379" s="116">
        <v>0.14100000000000026</v>
      </c>
    </row>
    <row r="380" spans="1:33" s="117" customFormat="1" x14ac:dyDescent="0.35">
      <c r="A380" s="149"/>
      <c r="B380" s="128" t="s">
        <v>80</v>
      </c>
      <c r="C380" s="129"/>
      <c r="D380" s="132">
        <f>D359*T380</f>
        <v>3.2765460000000024</v>
      </c>
      <c r="E380" s="132">
        <f t="shared" ref="E380" si="2509">E359*U380</f>
        <v>3.3544283302844984</v>
      </c>
      <c r="F380" s="132">
        <f t="shared" ref="F380" si="2510">F359*V380</f>
        <v>3.4346803381088788</v>
      </c>
      <c r="G380" s="132">
        <f t="shared" ref="G380" si="2511">G359*W380</f>
        <v>3.5173831564967268</v>
      </c>
      <c r="H380" s="132">
        <f t="shared" ref="H380" si="2512">H359*X380</f>
        <v>3.6026209833267826</v>
      </c>
      <c r="I380" s="132">
        <f t="shared" ref="I380" si="2513">I359*Y380</f>
        <v>3.6904812062361283</v>
      </c>
      <c r="J380" s="132">
        <f t="shared" ref="J380" si="2514">J359*Z380</f>
        <v>3.7810545329572478</v>
      </c>
      <c r="K380" s="132">
        <f t="shared" ref="K380" si="2515">K359*AA380</f>
        <v>3.8744351273389692</v>
      </c>
      <c r="L380" s="132">
        <f t="shared" ref="L380" si="2516">L359*AB380</f>
        <v>3.9707207513134137</v>
      </c>
      <c r="M380" s="132">
        <f t="shared" ref="M380" si="2517">M359*AC380</f>
        <v>4.0700129130837821</v>
      </c>
      <c r="N380" s="132">
        <f t="shared" ref="N380" si="2518">N359*AD380</f>
        <v>4.1724170218211327</v>
      </c>
      <c r="O380" s="132">
        <f t="shared" ref="O380" si="2519">O359*AE380</f>
        <v>4.278042549172361</v>
      </c>
      <c r="P380" s="132">
        <f t="shared" ref="P380" si="2520">P359*AF380</f>
        <v>4.3870031978963109</v>
      </c>
      <c r="Q380" s="132">
        <f t="shared" ref="Q380" si="2521">Q359*AG380</f>
        <v>4.4994170779604259</v>
      </c>
      <c r="R380" s="68">
        <f t="shared" si="2469"/>
        <v>2.5006002572075123E-2</v>
      </c>
      <c r="S380" s="134" t="s">
        <v>80</v>
      </c>
      <c r="T380" s="116">
        <v>4.0000000000000029E-2</v>
      </c>
      <c r="U380" s="116">
        <v>3.7093103024844219E-2</v>
      </c>
      <c r="V380" s="116">
        <v>3.4397457300292665E-2</v>
      </c>
      <c r="W380" s="116">
        <v>3.1897710685810869E-2</v>
      </c>
      <c r="X380" s="116">
        <v>2.9579626718136409E-2</v>
      </c>
      <c r="Y380" s="116">
        <v>2.7430003532306693E-2</v>
      </c>
      <c r="Z380" s="116">
        <v>2.543659867489231E-2</v>
      </c>
      <c r="AA380" s="116">
        <v>2.3588059381234896E-2</v>
      </c>
      <c r="AB380" s="116">
        <v>2.1873857919607213E-2</v>
      </c>
      <c r="AC380" s="116">
        <v>2.0284231634069862E-2</v>
      </c>
      <c r="AD380" s="116">
        <v>1.8810127344558929E-2</v>
      </c>
      <c r="AE380" s="116">
        <v>1.7443149787554083E-2</v>
      </c>
      <c r="AF380" s="116">
        <v>1.617551380368832E-2</v>
      </c>
      <c r="AG380" s="116">
        <v>1.5000000000000005E-2</v>
      </c>
    </row>
    <row r="381" spans="1:33" s="117" customFormat="1" x14ac:dyDescent="0.35">
      <c r="A381" s="149"/>
      <c r="B381" s="128" t="s">
        <v>81</v>
      </c>
      <c r="C381" s="129"/>
      <c r="D381" s="132">
        <f>D359*T381</f>
        <v>1.6382730000000003</v>
      </c>
      <c r="E381" s="132">
        <f t="shared" ref="E381" si="2522">E359*U381</f>
        <v>1.8219623569942589</v>
      </c>
      <c r="F381" s="132">
        <f t="shared" ref="F381" si="2523">F359*V381</f>
        <v>2.0265535534189021</v>
      </c>
      <c r="G381" s="132">
        <f t="shared" ref="G381" si="2524">G359*W381</f>
        <v>2.2544588813563649</v>
      </c>
      <c r="H381" s="132">
        <f t="shared" ref="H381" si="2525">H359*X381</f>
        <v>2.5083728510335015</v>
      </c>
      <c r="I381" s="132">
        <f t="shared" ref="I381" si="2526">I359*Y381</f>
        <v>2.7913056437444621</v>
      </c>
      <c r="J381" s="132">
        <f t="shared" ref="J381" si="2527">J359*Z381</f>
        <v>3.1066205806365939</v>
      </c>
      <c r="K381" s="132">
        <f t="shared" ref="K381" si="2528">K359*AA381</f>
        <v>3.4580760953775878</v>
      </c>
      <c r="L381" s="132">
        <f t="shared" ref="L381" si="2529">L359*AB381</f>
        <v>3.8498727587337433</v>
      </c>
      <c r="M381" s="132">
        <f t="shared" ref="M381" si="2530">M359*AC381</f>
        <v>4.286705970565678</v>
      </c>
      <c r="N381" s="132">
        <f t="shared" ref="N381" si="2531">N359*AD381</f>
        <v>4.7738250106280331</v>
      </c>
      <c r="O381" s="132">
        <f t="shared" ref="O381" si="2532">O359*AE381</f>
        <v>5.3170992249019937</v>
      </c>
      <c r="P381" s="132">
        <f t="shared" ref="P381" si="2533">P359*AF381</f>
        <v>5.9230922201869536</v>
      </c>
      <c r="Q381" s="132">
        <f t="shared" ref="Q381" si="2534">Q359*AG381</f>
        <v>6.5991450476752904</v>
      </c>
      <c r="R381" s="68">
        <f t="shared" si="2469"/>
        <v>0.11346683756445546</v>
      </c>
      <c r="S381" s="134" t="s">
        <v>81</v>
      </c>
      <c r="T381" s="116">
        <v>2.0000000000000004E-2</v>
      </c>
      <c r="U381" s="116">
        <v>2.0147169878464571E-2</v>
      </c>
      <c r="V381" s="116">
        <v>2.0295422705585511E-2</v>
      </c>
      <c r="W381" s="116">
        <v>2.0444766450233912E-2</v>
      </c>
      <c r="X381" s="116">
        <v>2.0595209139919784E-2</v>
      </c>
      <c r="Y381" s="116">
        <v>2.0746758861223506E-2</v>
      </c>
      <c r="Z381" s="116">
        <v>2.0899423760230504E-2</v>
      </c>
      <c r="AA381" s="116">
        <v>2.1053212042969137E-2</v>
      </c>
      <c r="AB381" s="116">
        <v>2.1208131975851766E-2</v>
      </c>
      <c r="AC381" s="116">
        <v>2.1364191886119096E-2</v>
      </c>
      <c r="AD381" s="116">
        <v>2.1521400162287797E-2</v>
      </c>
      <c r="AE381" s="116">
        <v>2.1679765254601358E-2</v>
      </c>
      <c r="AF381" s="116">
        <v>2.1839295675484361E-2</v>
      </c>
      <c r="AG381" s="116">
        <v>2.2000000000000006E-2</v>
      </c>
    </row>
    <row r="382" spans="1:33" s="117" customFormat="1" x14ac:dyDescent="0.35">
      <c r="A382" s="149"/>
      <c r="B382" s="128" t="s">
        <v>82</v>
      </c>
      <c r="C382" s="129"/>
      <c r="D382" s="132">
        <f>D359*T382</f>
        <v>2.4574094999999931</v>
      </c>
      <c r="E382" s="132">
        <f t="shared" ref="E382" si="2535">E359*U382</f>
        <v>2.8468686051440995</v>
      </c>
      <c r="F382" s="132">
        <f t="shared" ref="F382" si="2536">F359*V382</f>
        <v>3.2695837866128143</v>
      </c>
      <c r="G382" s="132">
        <f t="shared" ref="G382" si="2537">G359*W382</f>
        <v>3.7278001994412784</v>
      </c>
      <c r="H382" s="132">
        <f t="shared" ref="H382" si="2538">H359*X382</f>
        <v>4.223847534528133</v>
      </c>
      <c r="I382" s="132">
        <f t="shared" ref="I382" si="2539">I359*Y382</f>
        <v>4.7601309044183271</v>
      </c>
      <c r="J382" s="132">
        <f t="shared" ref="J382" si="2540">J359*Z382</f>
        <v>5.3391185811805038</v>
      </c>
      <c r="K382" s="132">
        <f t="shared" ref="K382" si="2541">K359*AA382</f>
        <v>5.9633259814457729</v>
      </c>
      <c r="L382" s="132">
        <f t="shared" ref="L382" si="2542">L359*AB382</f>
        <v>6.6352951949295527</v>
      </c>
      <c r="M382" s="132">
        <f t="shared" ref="M382" si="2543">M359*AC382</f>
        <v>7.3575692390324399</v>
      </c>
      <c r="N382" s="132">
        <f t="shared" ref="N382" si="2544">N359*AD382</f>
        <v>8.1326600912201865</v>
      </c>
      <c r="O382" s="132">
        <f t="shared" ref="O382" si="2545">O359*AE382</f>
        <v>8.9630094003205247</v>
      </c>
      <c r="P382" s="132">
        <f t="shared" ref="P382" si="2546">P359*AF382</f>
        <v>9.8509406047869579</v>
      </c>
      <c r="Q382" s="132">
        <f t="shared" ref="Q382" si="2547">Q359*AG382</f>
        <v>10.79860098710496</v>
      </c>
      <c r="R382" s="68">
        <f>RATE(9,,-H382,Q382)</f>
        <v>0.10992970208974102</v>
      </c>
      <c r="S382" s="134" t="s">
        <v>82</v>
      </c>
      <c r="T382" s="116">
        <f>1-SUM(T376:T381)</f>
        <v>2.9999999999999916E-2</v>
      </c>
      <c r="U382" s="116">
        <f t="shared" ref="U382:AG382" si="2548">1-SUM(U376:U381)</f>
        <v>3.1480532618757273E-2</v>
      </c>
      <c r="V382" s="116">
        <f t="shared" si="2548"/>
        <v>3.2744056977269231E-2</v>
      </c>
      <c r="W382" s="116">
        <f t="shared" si="2548"/>
        <v>3.380589687440172E-2</v>
      </c>
      <c r="X382" s="116">
        <f t="shared" si="2548"/>
        <v>3.468026027825144E-2</v>
      </c>
      <c r="Y382" s="116">
        <f t="shared" si="2548"/>
        <v>3.5380320404233667E-2</v>
      </c>
      <c r="Z382" s="116">
        <f t="shared" si="2548"/>
        <v>3.5918290900959216E-2</v>
      </c>
      <c r="AA382" s="116">
        <f t="shared" si="2548"/>
        <v>3.6305495572102608E-2</v>
      </c>
      <c r="AB382" s="116">
        <f t="shared" si="2548"/>
        <v>3.655243303134148E-2</v>
      </c>
      <c r="AC382" s="116">
        <f t="shared" si="2548"/>
        <v>3.6668836658594883E-2</v>
      </c>
      <c r="AD382" s="116">
        <f t="shared" si="2548"/>
        <v>3.6663730199023692E-2</v>
      </c>
      <c r="AE382" s="116">
        <f t="shared" si="2548"/>
        <v>3.6545479321446361E-2</v>
      </c>
      <c r="AF382" s="116">
        <f t="shared" si="2548"/>
        <v>3.6321839429808267E-2</v>
      </c>
      <c r="AG382" s="116">
        <f t="shared" si="2548"/>
        <v>3.599999999999981E-2</v>
      </c>
    </row>
    <row r="383" spans="1:33" ht="15" customHeight="1" x14ac:dyDescent="0.35"/>
    <row r="384" spans="1:33" ht="25" x14ac:dyDescent="0.5">
      <c r="A384" s="146" t="s">
        <v>91</v>
      </c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63"/>
    </row>
    <row r="385" spans="1:33" ht="23.5" thickBot="1" x14ac:dyDescent="0.55000000000000004">
      <c r="A385" s="63"/>
      <c r="B385" s="63"/>
      <c r="C385" s="63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</row>
    <row r="386" spans="1:33" ht="16" hidden="1" thickBot="1" x14ac:dyDescent="0.4">
      <c r="A386" s="42"/>
      <c r="B386" s="43"/>
      <c r="C386" s="93"/>
      <c r="D386" s="91">
        <v>2023</v>
      </c>
      <c r="E386" s="65">
        <v>2024</v>
      </c>
      <c r="F386" s="65">
        <v>2025</v>
      </c>
      <c r="G386" s="65">
        <v>2026</v>
      </c>
      <c r="H386" s="65">
        <v>2027</v>
      </c>
      <c r="I386" s="65">
        <v>2028</v>
      </c>
      <c r="J386" s="65">
        <v>2029</v>
      </c>
      <c r="K386" s="65">
        <v>2030</v>
      </c>
      <c r="L386" s="65">
        <v>2031</v>
      </c>
      <c r="M386" s="65">
        <v>2032</v>
      </c>
      <c r="N386" s="65">
        <v>2033</v>
      </c>
      <c r="O386" s="65">
        <v>2034</v>
      </c>
      <c r="P386" s="65">
        <v>2035</v>
      </c>
      <c r="Q386" s="65">
        <v>2036</v>
      </c>
      <c r="R386" s="66" t="s">
        <v>13</v>
      </c>
    </row>
    <row r="387" spans="1:33" ht="16" hidden="1" thickBot="1" x14ac:dyDescent="0.4">
      <c r="A387" s="25"/>
      <c r="B387" s="94"/>
      <c r="C387" s="95"/>
      <c r="D387" s="92" t="e">
        <f>#REF!</f>
        <v>#REF!</v>
      </c>
      <c r="E387" s="92" t="e">
        <f>#REF!</f>
        <v>#REF!</v>
      </c>
      <c r="F387" s="92" t="e">
        <f>#REF!</f>
        <v>#REF!</v>
      </c>
      <c r="G387" s="92" t="e">
        <f>#REF!</f>
        <v>#REF!</v>
      </c>
      <c r="H387" s="92" t="e">
        <f>#REF!</f>
        <v>#REF!</v>
      </c>
      <c r="I387" s="92" t="e">
        <f>#REF!</f>
        <v>#REF!</v>
      </c>
      <c r="J387" s="92" t="e">
        <f>#REF!</f>
        <v>#REF!</v>
      </c>
      <c r="K387" s="92" t="e">
        <f>#REF!</f>
        <v>#REF!</v>
      </c>
      <c r="L387" s="92" t="e">
        <f>#REF!</f>
        <v>#REF!</v>
      </c>
      <c r="M387" s="92" t="e">
        <f>#REF!</f>
        <v>#REF!</v>
      </c>
      <c r="N387" s="92" t="e">
        <f>#REF!</f>
        <v>#REF!</v>
      </c>
      <c r="O387" s="92" t="e">
        <f>#REF!</f>
        <v>#REF!</v>
      </c>
      <c r="P387" s="92" t="e">
        <f>#REF!</f>
        <v>#REF!</v>
      </c>
      <c r="Q387" s="92" t="e">
        <f>#REF!</f>
        <v>#REF!</v>
      </c>
      <c r="R387" s="68" t="e">
        <f>RATE(12,,-E387,Q387)</f>
        <v>#REF!</v>
      </c>
      <c r="T387" s="65">
        <v>2023</v>
      </c>
      <c r="U387" s="65">
        <v>2024</v>
      </c>
      <c r="V387" s="65">
        <v>2025</v>
      </c>
      <c r="W387" s="65">
        <v>2026</v>
      </c>
      <c r="X387" s="65">
        <v>2027</v>
      </c>
      <c r="Y387" s="65">
        <v>2028</v>
      </c>
      <c r="Z387" s="65">
        <v>2029</v>
      </c>
      <c r="AA387" s="65">
        <v>2030</v>
      </c>
      <c r="AB387" s="65">
        <v>2031</v>
      </c>
      <c r="AC387" s="65">
        <v>2032</v>
      </c>
      <c r="AD387" s="65">
        <v>2033</v>
      </c>
      <c r="AE387" s="65">
        <v>2034</v>
      </c>
      <c r="AF387" s="65">
        <v>2035</v>
      </c>
      <c r="AG387" s="65">
        <v>2036</v>
      </c>
    </row>
    <row r="388" spans="1:33" ht="15" hidden="1" thickBot="1" x14ac:dyDescent="0.4">
      <c r="A388" s="150" t="s">
        <v>49</v>
      </c>
      <c r="B388" s="52" t="s">
        <v>34</v>
      </c>
      <c r="C388" s="45"/>
      <c r="D388" s="79" t="e">
        <f t="shared" ref="D388" si="2549">D387*T388</f>
        <v>#REF!</v>
      </c>
      <c r="E388" s="79" t="e">
        <f t="shared" ref="E388" si="2550">E387*U388</f>
        <v>#REF!</v>
      </c>
      <c r="F388" s="79" t="e">
        <f t="shared" ref="F388" si="2551">F387*V388</f>
        <v>#REF!</v>
      </c>
      <c r="G388" s="79" t="e">
        <f t="shared" ref="G388" si="2552">G387*W388</f>
        <v>#REF!</v>
      </c>
      <c r="H388" s="79" t="e">
        <f t="shared" ref="H388" si="2553">H387*X388</f>
        <v>#REF!</v>
      </c>
      <c r="I388" s="79" t="e">
        <f t="shared" ref="I388" si="2554">I387*Y388</f>
        <v>#REF!</v>
      </c>
      <c r="J388" s="79" t="e">
        <f t="shared" ref="J388" si="2555">J387*Z388</f>
        <v>#REF!</v>
      </c>
      <c r="K388" s="79" t="e">
        <f t="shared" ref="K388" si="2556">K387*AA388</f>
        <v>#REF!</v>
      </c>
      <c r="L388" s="79" t="e">
        <f t="shared" ref="L388" si="2557">L387*AB388</f>
        <v>#REF!</v>
      </c>
      <c r="M388" s="79" t="e">
        <f t="shared" ref="M388" si="2558">M387*AC388</f>
        <v>#REF!</v>
      </c>
      <c r="N388" s="79" t="e">
        <f t="shared" ref="N388" si="2559">N387*AD388</f>
        <v>#REF!</v>
      </c>
      <c r="O388" s="79" t="e">
        <f t="shared" ref="O388" si="2560">O387*AE388</f>
        <v>#REF!</v>
      </c>
      <c r="P388" s="79" t="e">
        <f t="shared" ref="P388" si="2561">P387*AF388</f>
        <v>#REF!</v>
      </c>
      <c r="Q388" s="79" t="e">
        <f t="shared" ref="Q388" si="2562">Q387*AG388</f>
        <v>#REF!</v>
      </c>
      <c r="R388" s="77" t="e">
        <f>RATE(12,,-E388,Q388)</f>
        <v>#REF!</v>
      </c>
      <c r="S388" s="52"/>
      <c r="T388" s="12">
        <v>0.56000000000000005</v>
      </c>
      <c r="U388" s="12">
        <v>0.56092161367703952</v>
      </c>
      <c r="V388" s="12">
        <v>0.56184474408938223</v>
      </c>
      <c r="W388" s="12">
        <v>0.56276939373317769</v>
      </c>
      <c r="X388" s="12">
        <v>0.56369556510868446</v>
      </c>
      <c r="Y388" s="12">
        <v>0.56462326072027491</v>
      </c>
      <c r="Z388" s="12">
        <v>0.56555248307644368</v>
      </c>
      <c r="AA388" s="12">
        <v>0.56648323468981299</v>
      </c>
      <c r="AB388" s="12">
        <v>0.56741551807714108</v>
      </c>
      <c r="AC388" s="12">
        <v>0.56834933575932756</v>
      </c>
      <c r="AD388" s="12">
        <v>0.56928469026142059</v>
      </c>
      <c r="AE388" s="12">
        <v>0.57022158411262425</v>
      </c>
      <c r="AF388" s="12">
        <v>0.57116001984630527</v>
      </c>
      <c r="AG388" s="12">
        <v>0.57209999999999905</v>
      </c>
    </row>
    <row r="389" spans="1:33" ht="15" hidden="1" thickBot="1" x14ac:dyDescent="0.4">
      <c r="A389" s="151"/>
      <c r="B389" s="53" t="s">
        <v>35</v>
      </c>
      <c r="C389" s="46"/>
      <c r="D389" s="80" t="e">
        <f t="shared" ref="D389" si="2563">D387*T389</f>
        <v>#REF!</v>
      </c>
      <c r="E389" s="80" t="e">
        <f t="shared" ref="E389" si="2564">E387*U389</f>
        <v>#REF!</v>
      </c>
      <c r="F389" s="80" t="e">
        <f t="shared" ref="F389" si="2565">F387*V389</f>
        <v>#REF!</v>
      </c>
      <c r="G389" s="80" t="e">
        <f t="shared" ref="G389" si="2566">G387*W389</f>
        <v>#REF!</v>
      </c>
      <c r="H389" s="80" t="e">
        <f t="shared" ref="H389" si="2567">H387*X389</f>
        <v>#REF!</v>
      </c>
      <c r="I389" s="80" t="e">
        <f t="shared" ref="I389" si="2568">I387*Y389</f>
        <v>#REF!</v>
      </c>
      <c r="J389" s="80" t="e">
        <f t="shared" ref="J389" si="2569">J387*Z389</f>
        <v>#REF!</v>
      </c>
      <c r="K389" s="80" t="e">
        <f t="shared" ref="K389" si="2570">K387*AA389</f>
        <v>#REF!</v>
      </c>
      <c r="L389" s="80" t="e">
        <f t="shared" ref="L389" si="2571">L387*AB389</f>
        <v>#REF!</v>
      </c>
      <c r="M389" s="80" t="e">
        <f t="shared" ref="M389" si="2572">M387*AC389</f>
        <v>#REF!</v>
      </c>
      <c r="N389" s="80" t="e">
        <f t="shared" ref="N389" si="2573">N387*AD389</f>
        <v>#REF!</v>
      </c>
      <c r="O389" s="80" t="e">
        <f t="shared" ref="O389" si="2574">O387*AE389</f>
        <v>#REF!</v>
      </c>
      <c r="P389" s="80" t="e">
        <f t="shared" ref="P389" si="2575">P387*AF389</f>
        <v>#REF!</v>
      </c>
      <c r="Q389" s="80" t="e">
        <f t="shared" ref="Q389" si="2576">Q387*AG389</f>
        <v>#REF!</v>
      </c>
      <c r="R389" s="78" t="e">
        <f>RATE(12,,-E389,Q389)</f>
        <v>#REF!</v>
      </c>
      <c r="S389" s="53"/>
      <c r="T389" s="12">
        <f>1-T388</f>
        <v>0.43999999999999995</v>
      </c>
      <c r="U389" s="12">
        <f t="shared" ref="U389:AG389" si="2577">1-U388</f>
        <v>0.43907838632296048</v>
      </c>
      <c r="V389" s="12">
        <f t="shared" si="2577"/>
        <v>0.43815525591061777</v>
      </c>
      <c r="W389" s="12">
        <f t="shared" si="2577"/>
        <v>0.43723060626682231</v>
      </c>
      <c r="X389" s="12">
        <f t="shared" si="2577"/>
        <v>0.43630443489131554</v>
      </c>
      <c r="Y389" s="12">
        <f t="shared" si="2577"/>
        <v>0.43537673927972509</v>
      </c>
      <c r="Z389" s="12">
        <f t="shared" si="2577"/>
        <v>0.43444751692355632</v>
      </c>
      <c r="AA389" s="12">
        <f t="shared" si="2577"/>
        <v>0.43351676531018701</v>
      </c>
      <c r="AB389" s="12">
        <f t="shared" si="2577"/>
        <v>0.43258448192285892</v>
      </c>
      <c r="AC389" s="12">
        <f t="shared" si="2577"/>
        <v>0.43165066424067244</v>
      </c>
      <c r="AD389" s="12">
        <f t="shared" si="2577"/>
        <v>0.43071530973857941</v>
      </c>
      <c r="AE389" s="12">
        <f t="shared" si="2577"/>
        <v>0.42977841588737575</v>
      </c>
      <c r="AF389" s="12">
        <f t="shared" si="2577"/>
        <v>0.42883998015369473</v>
      </c>
      <c r="AG389" s="12">
        <f t="shared" si="2577"/>
        <v>0.42790000000000095</v>
      </c>
    </row>
    <row r="390" spans="1:33" ht="15" hidden="1" thickBot="1" x14ac:dyDescent="0.4">
      <c r="A390" s="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21"/>
    </row>
    <row r="391" spans="1:33" ht="15" hidden="1" thickBot="1" x14ac:dyDescent="0.4">
      <c r="A391" s="150" t="s">
        <v>15</v>
      </c>
      <c r="B391" s="57" t="s">
        <v>16</v>
      </c>
      <c r="C391" s="47"/>
      <c r="D391" s="82" t="e">
        <f t="shared" ref="D391" si="2578">D387*T391</f>
        <v>#REF!</v>
      </c>
      <c r="E391" s="82" t="e">
        <f t="shared" ref="E391" si="2579">E387*U391</f>
        <v>#REF!</v>
      </c>
      <c r="F391" s="82" t="e">
        <f t="shared" ref="F391" si="2580">F387*V391</f>
        <v>#REF!</v>
      </c>
      <c r="G391" s="82" t="e">
        <f t="shared" ref="G391" si="2581">G387*W391</f>
        <v>#REF!</v>
      </c>
      <c r="H391" s="82" t="e">
        <f t="shared" ref="H391" si="2582">H387*X391</f>
        <v>#REF!</v>
      </c>
      <c r="I391" s="82" t="e">
        <f t="shared" ref="I391" si="2583">I387*Y391</f>
        <v>#REF!</v>
      </c>
      <c r="J391" s="82" t="e">
        <f t="shared" ref="J391" si="2584">J387*Z391</f>
        <v>#REF!</v>
      </c>
      <c r="K391" s="82" t="e">
        <f t="shared" ref="K391" si="2585">K387*AA391</f>
        <v>#REF!</v>
      </c>
      <c r="L391" s="82" t="e">
        <f t="shared" ref="L391" si="2586">L387*AB391</f>
        <v>#REF!</v>
      </c>
      <c r="M391" s="82" t="e">
        <f t="shared" ref="M391" si="2587">M387*AC391</f>
        <v>#REF!</v>
      </c>
      <c r="N391" s="82" t="e">
        <f t="shared" ref="N391" si="2588">N387*AD391</f>
        <v>#REF!</v>
      </c>
      <c r="O391" s="82" t="e">
        <f t="shared" ref="O391" si="2589">O387*AE391</f>
        <v>#REF!</v>
      </c>
      <c r="P391" s="82" t="e">
        <f t="shared" ref="P391" si="2590">P387*AF391</f>
        <v>#REF!</v>
      </c>
      <c r="Q391" s="82" t="e">
        <f t="shared" ref="Q391" si="2591">Q387*AG391</f>
        <v>#REF!</v>
      </c>
      <c r="R391" s="69" t="e">
        <f>RATE(12,,-E391,Q391)</f>
        <v>#REF!</v>
      </c>
      <c r="S391" s="57"/>
      <c r="T391" s="12">
        <v>0.47099999999999992</v>
      </c>
      <c r="U391" s="12">
        <v>0.47038461538461535</v>
      </c>
      <c r="V391" s="12">
        <v>0.46976923076923072</v>
      </c>
      <c r="W391" s="12">
        <v>0.46915384615384609</v>
      </c>
      <c r="X391" s="12">
        <v>0.46853846153846151</v>
      </c>
      <c r="Y391" s="12">
        <v>0.46792307692307689</v>
      </c>
      <c r="Z391" s="12">
        <v>0.46730769230769226</v>
      </c>
      <c r="AA391" s="12">
        <v>0.46669230769230763</v>
      </c>
      <c r="AB391" s="12">
        <v>0.46607692307692306</v>
      </c>
      <c r="AC391" s="12">
        <v>0.46546153846153843</v>
      </c>
      <c r="AD391" s="12">
        <v>0.4648461538461538</v>
      </c>
      <c r="AE391" s="12">
        <v>0.46423076923076922</v>
      </c>
      <c r="AF391" s="12">
        <v>0.4636153846153846</v>
      </c>
      <c r="AG391" s="12">
        <v>0.46299999999999997</v>
      </c>
    </row>
    <row r="392" spans="1:33" ht="15" hidden="1" thickBot="1" x14ac:dyDescent="0.4">
      <c r="A392" s="151"/>
      <c r="B392" s="58" t="s">
        <v>17</v>
      </c>
      <c r="C392" s="48"/>
      <c r="D392" s="83" t="e">
        <f t="shared" ref="D392" si="2592">D387*T392</f>
        <v>#REF!</v>
      </c>
      <c r="E392" s="83" t="e">
        <f t="shared" ref="E392" si="2593">E387*U392</f>
        <v>#REF!</v>
      </c>
      <c r="F392" s="83" t="e">
        <f t="shared" ref="F392" si="2594">F387*V392</f>
        <v>#REF!</v>
      </c>
      <c r="G392" s="83" t="e">
        <f t="shared" ref="G392" si="2595">G387*W392</f>
        <v>#REF!</v>
      </c>
      <c r="H392" s="83" t="e">
        <f t="shared" ref="H392" si="2596">H387*X392</f>
        <v>#REF!</v>
      </c>
      <c r="I392" s="83" t="e">
        <f t="shared" ref="I392" si="2597">I387*Y392</f>
        <v>#REF!</v>
      </c>
      <c r="J392" s="83" t="e">
        <f t="shared" ref="J392" si="2598">J387*Z392</f>
        <v>#REF!</v>
      </c>
      <c r="K392" s="83" t="e">
        <f t="shared" ref="K392" si="2599">K387*AA392</f>
        <v>#REF!</v>
      </c>
      <c r="L392" s="83" t="e">
        <f t="shared" ref="L392" si="2600">L387*AB392</f>
        <v>#REF!</v>
      </c>
      <c r="M392" s="83" t="e">
        <f t="shared" ref="M392" si="2601">M387*AC392</f>
        <v>#REF!</v>
      </c>
      <c r="N392" s="83" t="e">
        <f t="shared" ref="N392" si="2602">N387*AD392</f>
        <v>#REF!</v>
      </c>
      <c r="O392" s="83" t="e">
        <f t="shared" ref="O392" si="2603">O387*AE392</f>
        <v>#REF!</v>
      </c>
      <c r="P392" s="83" t="e">
        <f t="shared" ref="P392" si="2604">P387*AF392</f>
        <v>#REF!</v>
      </c>
      <c r="Q392" s="83" t="e">
        <f t="shared" ref="Q392" si="2605">Q387*AG392</f>
        <v>#REF!</v>
      </c>
      <c r="R392" s="70" t="e">
        <f>RATE(12,,-E392,Q392)</f>
        <v>#REF!</v>
      </c>
      <c r="S392" s="58"/>
      <c r="T392" s="12">
        <f>1-T391</f>
        <v>0.52900000000000014</v>
      </c>
      <c r="U392" s="12">
        <f t="shared" ref="U392:AG392" si="2606">1-U391</f>
        <v>0.5296153846153846</v>
      </c>
      <c r="V392" s="12">
        <f t="shared" si="2606"/>
        <v>0.53023076923076928</v>
      </c>
      <c r="W392" s="12">
        <f t="shared" si="2606"/>
        <v>0.53084615384615397</v>
      </c>
      <c r="X392" s="12">
        <f t="shared" si="2606"/>
        <v>0.53146153846153843</v>
      </c>
      <c r="Y392" s="12">
        <f t="shared" si="2606"/>
        <v>0.53207692307692311</v>
      </c>
      <c r="Z392" s="12">
        <f t="shared" si="2606"/>
        <v>0.5326923076923078</v>
      </c>
      <c r="AA392" s="12">
        <f t="shared" si="2606"/>
        <v>0.53330769230769237</v>
      </c>
      <c r="AB392" s="12">
        <f t="shared" si="2606"/>
        <v>0.53392307692307694</v>
      </c>
      <c r="AC392" s="12">
        <f t="shared" si="2606"/>
        <v>0.53453846153846163</v>
      </c>
      <c r="AD392" s="12">
        <f t="shared" si="2606"/>
        <v>0.5351538461538462</v>
      </c>
      <c r="AE392" s="12">
        <f t="shared" si="2606"/>
        <v>0.53576923076923078</v>
      </c>
      <c r="AF392" s="12">
        <f t="shared" si="2606"/>
        <v>0.53638461538461546</v>
      </c>
      <c r="AG392" s="12">
        <f t="shared" si="2606"/>
        <v>0.53700000000000003</v>
      </c>
    </row>
    <row r="393" spans="1:33" ht="15" hidden="1" thickBot="1" x14ac:dyDescent="0.4">
      <c r="A393" s="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21"/>
    </row>
    <row r="394" spans="1:33" ht="15" hidden="1" thickBot="1" x14ac:dyDescent="0.4">
      <c r="A394" s="150" t="s">
        <v>18</v>
      </c>
      <c r="B394" s="54" t="s">
        <v>19</v>
      </c>
      <c r="C394" s="49"/>
      <c r="D394" s="84" t="e">
        <f t="shared" ref="D394" si="2607">D387*T394</f>
        <v>#REF!</v>
      </c>
      <c r="E394" s="84" t="e">
        <f t="shared" ref="E394" si="2608">E387*U394</f>
        <v>#REF!</v>
      </c>
      <c r="F394" s="84" t="e">
        <f t="shared" ref="F394" si="2609">F387*V394</f>
        <v>#REF!</v>
      </c>
      <c r="G394" s="84" t="e">
        <f t="shared" ref="G394" si="2610">G387*W394</f>
        <v>#REF!</v>
      </c>
      <c r="H394" s="84" t="e">
        <f t="shared" ref="H394" si="2611">H387*X394</f>
        <v>#REF!</v>
      </c>
      <c r="I394" s="84" t="e">
        <f t="shared" ref="I394" si="2612">I387*Y394</f>
        <v>#REF!</v>
      </c>
      <c r="J394" s="84" t="e">
        <f t="shared" ref="J394" si="2613">J387*Z394</f>
        <v>#REF!</v>
      </c>
      <c r="K394" s="84" t="e">
        <f t="shared" ref="K394" si="2614">K387*AA394</f>
        <v>#REF!</v>
      </c>
      <c r="L394" s="84" t="e">
        <f t="shared" ref="L394" si="2615">L387*AB394</f>
        <v>#REF!</v>
      </c>
      <c r="M394" s="84" t="e">
        <f t="shared" ref="M394" si="2616">M387*AC394</f>
        <v>#REF!</v>
      </c>
      <c r="N394" s="84" t="e">
        <f t="shared" ref="N394" si="2617">N387*AD394</f>
        <v>#REF!</v>
      </c>
      <c r="O394" s="84" t="e">
        <f t="shared" ref="O394" si="2618">O387*AE394</f>
        <v>#REF!</v>
      </c>
      <c r="P394" s="84" t="e">
        <f t="shared" ref="P394" si="2619">P387*AF394</f>
        <v>#REF!</v>
      </c>
      <c r="Q394" s="84" t="e">
        <f t="shared" ref="Q394" si="2620">Q387*AG394</f>
        <v>#REF!</v>
      </c>
      <c r="R394" s="71" t="e">
        <f>RATE(12,,-E394,Q394)</f>
        <v>#REF!</v>
      </c>
      <c r="S394" s="54"/>
      <c r="T394" s="12">
        <v>0.40099999999999997</v>
      </c>
      <c r="U394" s="12">
        <v>0.40265090533119946</v>
      </c>
      <c r="V394" s="12">
        <v>0.40430860739160734</v>
      </c>
      <c r="W394" s="12">
        <v>0.40597313416316017</v>
      </c>
      <c r="X394" s="12">
        <v>0.40764451374299493</v>
      </c>
      <c r="Y394" s="12">
        <v>0.40932277434392395</v>
      </c>
      <c r="Z394" s="12">
        <v>0.41100794429491083</v>
      </c>
      <c r="AA394" s="12">
        <v>0.4127000520415488</v>
      </c>
      <c r="AB394" s="12">
        <v>0.41439912614654062</v>
      </c>
      <c r="AC394" s="12">
        <v>0.41610519529018092</v>
      </c>
      <c r="AD394" s="12">
        <v>0.41781828827084017</v>
      </c>
      <c r="AE394" s="12">
        <v>0.4195384340054511</v>
      </c>
      <c r="AF394" s="12">
        <v>0.4212656615299965</v>
      </c>
      <c r="AG394" s="12">
        <v>0.42299999999999938</v>
      </c>
    </row>
    <row r="395" spans="1:33" ht="15" hidden="1" thickBot="1" x14ac:dyDescent="0.4">
      <c r="A395" s="151"/>
      <c r="B395" s="56" t="s">
        <v>20</v>
      </c>
      <c r="C395" s="44"/>
      <c r="D395" s="85" t="e">
        <f t="shared" ref="D395" si="2621">D387*T395</f>
        <v>#REF!</v>
      </c>
      <c r="E395" s="85" t="e">
        <f t="shared" ref="E395" si="2622">E387*U395</f>
        <v>#REF!</v>
      </c>
      <c r="F395" s="85" t="e">
        <f t="shared" ref="F395" si="2623">F387*V395</f>
        <v>#REF!</v>
      </c>
      <c r="G395" s="85" t="e">
        <f t="shared" ref="G395" si="2624">G387*W395</f>
        <v>#REF!</v>
      </c>
      <c r="H395" s="85" t="e">
        <f t="shared" ref="H395" si="2625">H387*X395</f>
        <v>#REF!</v>
      </c>
      <c r="I395" s="85" t="e">
        <f t="shared" ref="I395" si="2626">I387*Y395</f>
        <v>#REF!</v>
      </c>
      <c r="J395" s="85" t="e">
        <f t="shared" ref="J395" si="2627">J387*Z395</f>
        <v>#REF!</v>
      </c>
      <c r="K395" s="85" t="e">
        <f t="shared" ref="K395" si="2628">K387*AA395</f>
        <v>#REF!</v>
      </c>
      <c r="L395" s="85" t="e">
        <f t="shared" ref="L395" si="2629">L387*AB395</f>
        <v>#REF!</v>
      </c>
      <c r="M395" s="85" t="e">
        <f t="shared" ref="M395" si="2630">M387*AC395</f>
        <v>#REF!</v>
      </c>
      <c r="N395" s="85" t="e">
        <f t="shared" ref="N395" si="2631">N387*AD395</f>
        <v>#REF!</v>
      </c>
      <c r="O395" s="85" t="e">
        <f t="shared" ref="O395" si="2632">O387*AE395</f>
        <v>#REF!</v>
      </c>
      <c r="P395" s="85" t="e">
        <f t="shared" ref="P395" si="2633">P387*AF395</f>
        <v>#REF!</v>
      </c>
      <c r="Q395" s="85" t="e">
        <f t="shared" ref="Q395" si="2634">Q387*AG395</f>
        <v>#REF!</v>
      </c>
      <c r="R395" s="72" t="e">
        <f>RATE(12,,-E395,Q395)</f>
        <v>#REF!</v>
      </c>
      <c r="S395" s="56"/>
      <c r="T395" s="12">
        <f>1-T394</f>
        <v>0.59899999999999998</v>
      </c>
      <c r="U395" s="12">
        <f t="shared" ref="U395:AG395" si="2635">1-U394</f>
        <v>0.59734909466880048</v>
      </c>
      <c r="V395" s="12">
        <f t="shared" si="2635"/>
        <v>0.59569139260839266</v>
      </c>
      <c r="W395" s="12">
        <f t="shared" si="2635"/>
        <v>0.59402686583683983</v>
      </c>
      <c r="X395" s="12">
        <f t="shared" si="2635"/>
        <v>0.59235548625700507</v>
      </c>
      <c r="Y395" s="12">
        <f t="shared" si="2635"/>
        <v>0.59067722565607605</v>
      </c>
      <c r="Z395" s="12">
        <f t="shared" si="2635"/>
        <v>0.58899205570508917</v>
      </c>
      <c r="AA395" s="12">
        <f t="shared" si="2635"/>
        <v>0.5872999479584512</v>
      </c>
      <c r="AB395" s="12">
        <f t="shared" si="2635"/>
        <v>0.58560087385345938</v>
      </c>
      <c r="AC395" s="12">
        <f t="shared" si="2635"/>
        <v>0.58389480470981914</v>
      </c>
      <c r="AD395" s="12">
        <f t="shared" si="2635"/>
        <v>0.58218171172915989</v>
      </c>
      <c r="AE395" s="12">
        <f t="shared" si="2635"/>
        <v>0.5804615659945489</v>
      </c>
      <c r="AF395" s="12">
        <f t="shared" si="2635"/>
        <v>0.57873433847000344</v>
      </c>
      <c r="AG395" s="12">
        <f t="shared" si="2635"/>
        <v>0.57700000000000062</v>
      </c>
    </row>
    <row r="396" spans="1:33" ht="15" hidden="1" thickBot="1" x14ac:dyDescent="0.4">
      <c r="A396" s="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21"/>
    </row>
    <row r="397" spans="1:33" ht="15" hidden="1" thickBot="1" x14ac:dyDescent="0.4">
      <c r="A397" s="150" t="s">
        <v>14</v>
      </c>
      <c r="B397" s="59" t="s">
        <v>21</v>
      </c>
      <c r="C397" s="50"/>
      <c r="D397" s="86" t="e">
        <f t="shared" ref="D397" si="2636">D387*T397</f>
        <v>#REF!</v>
      </c>
      <c r="E397" s="86" t="e">
        <f t="shared" ref="E397" si="2637">E387*U397</f>
        <v>#REF!</v>
      </c>
      <c r="F397" s="86" t="e">
        <f t="shared" ref="F397" si="2638">F387*V397</f>
        <v>#REF!</v>
      </c>
      <c r="G397" s="86" t="e">
        <f t="shared" ref="G397" si="2639">G387*W397</f>
        <v>#REF!</v>
      </c>
      <c r="H397" s="86" t="e">
        <f t="shared" ref="H397" si="2640">H387*X397</f>
        <v>#REF!</v>
      </c>
      <c r="I397" s="86" t="e">
        <f t="shared" ref="I397" si="2641">I387*Y397</f>
        <v>#REF!</v>
      </c>
      <c r="J397" s="86" t="e">
        <f t="shared" ref="J397" si="2642">J387*Z397</f>
        <v>#REF!</v>
      </c>
      <c r="K397" s="86" t="e">
        <f t="shared" ref="K397" si="2643">K387*AA397</f>
        <v>#REF!</v>
      </c>
      <c r="L397" s="86" t="e">
        <f t="shared" ref="L397" si="2644">L387*AB397</f>
        <v>#REF!</v>
      </c>
      <c r="M397" s="86" t="e">
        <f t="shared" ref="M397" si="2645">M387*AC397</f>
        <v>#REF!</v>
      </c>
      <c r="N397" s="86" t="e">
        <f t="shared" ref="N397" si="2646">N387*AD397</f>
        <v>#REF!</v>
      </c>
      <c r="O397" s="86" t="e">
        <f t="shared" ref="O397" si="2647">O387*AE397</f>
        <v>#REF!</v>
      </c>
      <c r="P397" s="86" t="e">
        <f t="shared" ref="P397" si="2648">P387*AF397</f>
        <v>#REF!</v>
      </c>
      <c r="Q397" s="86" t="e">
        <f t="shared" ref="Q397" si="2649">Q387*AG397</f>
        <v>#REF!</v>
      </c>
      <c r="R397" s="73" t="e">
        <f t="shared" ref="R397:R402" si="2650">RATE(12,,-E397,Q397)</f>
        <v>#REF!</v>
      </c>
      <c r="S397" s="59"/>
      <c r="T397" s="12">
        <v>0.25</v>
      </c>
      <c r="U397" s="12">
        <v>0.25155593539307364</v>
      </c>
      <c r="V397" s="12">
        <v>0.25312155452593693</v>
      </c>
      <c r="W397" s="12">
        <v>0.25469691766768382</v>
      </c>
      <c r="X397" s="12">
        <v>0.25628208546250747</v>
      </c>
      <c r="Y397" s="12">
        <v>0.2578771189320348</v>
      </c>
      <c r="Z397" s="12">
        <v>0.25948207947767565</v>
      </c>
      <c r="AA397" s="12">
        <v>0.2610970288829863</v>
      </c>
      <c r="AB397" s="12">
        <v>0.26272202931604799</v>
      </c>
      <c r="AC397" s="12">
        <v>0.26435714333185978</v>
      </c>
      <c r="AD397" s="12">
        <v>0.26600243387474731</v>
      </c>
      <c r="AE397" s="12">
        <v>0.26765796428078514</v>
      </c>
      <c r="AF397" s="12">
        <v>0.26932379828023517</v>
      </c>
      <c r="AG397" s="12">
        <v>0.27100000000000013</v>
      </c>
    </row>
    <row r="398" spans="1:33" ht="15" hidden="1" thickBot="1" x14ac:dyDescent="0.4">
      <c r="A398" s="155"/>
      <c r="B398" s="60" t="s">
        <v>22</v>
      </c>
      <c r="C398" s="41"/>
      <c r="D398" s="87" t="e">
        <f t="shared" ref="D398" si="2651">D387*T398</f>
        <v>#REF!</v>
      </c>
      <c r="E398" s="87" t="e">
        <f t="shared" ref="E398" si="2652">E387*U398</f>
        <v>#REF!</v>
      </c>
      <c r="F398" s="87" t="e">
        <f t="shared" ref="F398" si="2653">F387*V398</f>
        <v>#REF!</v>
      </c>
      <c r="G398" s="87" t="e">
        <f t="shared" ref="G398" si="2654">G387*W398</f>
        <v>#REF!</v>
      </c>
      <c r="H398" s="87" t="e">
        <f t="shared" ref="H398" si="2655">H387*X398</f>
        <v>#REF!</v>
      </c>
      <c r="I398" s="87" t="e">
        <f t="shared" ref="I398" si="2656">I387*Y398</f>
        <v>#REF!</v>
      </c>
      <c r="J398" s="87" t="e">
        <f t="shared" ref="J398" si="2657">J387*Z398</f>
        <v>#REF!</v>
      </c>
      <c r="K398" s="87" t="e">
        <f t="shared" ref="K398" si="2658">K387*AA398</f>
        <v>#REF!</v>
      </c>
      <c r="L398" s="87" t="e">
        <f t="shared" ref="L398" si="2659">L387*AB398</f>
        <v>#REF!</v>
      </c>
      <c r="M398" s="87" t="e">
        <f t="shared" ref="M398" si="2660">M387*AC398</f>
        <v>#REF!</v>
      </c>
      <c r="N398" s="87" t="e">
        <f t="shared" ref="N398" si="2661">N387*AD398</f>
        <v>#REF!</v>
      </c>
      <c r="O398" s="87" t="e">
        <f t="shared" ref="O398" si="2662">O387*AE398</f>
        <v>#REF!</v>
      </c>
      <c r="P398" s="87" t="e">
        <f t="shared" ref="P398" si="2663">P387*AF398</f>
        <v>#REF!</v>
      </c>
      <c r="Q398" s="87" t="e">
        <f t="shared" ref="Q398" si="2664">Q387*AG398</f>
        <v>#REF!</v>
      </c>
      <c r="R398" s="74" t="e">
        <f t="shared" si="2650"/>
        <v>#REF!</v>
      </c>
      <c r="S398" s="60"/>
      <c r="T398" s="12">
        <v>0.38</v>
      </c>
      <c r="U398" s="12">
        <v>0.38090988938047371</v>
      </c>
      <c r="V398" s="12">
        <v>0.38182195744169661</v>
      </c>
      <c r="W398" s="12">
        <v>0.38273620940040159</v>
      </c>
      <c r="X398" s="12">
        <v>0.38365265048581265</v>
      </c>
      <c r="Y398" s="12">
        <v>0.38457128593967477</v>
      </c>
      <c r="Z398" s="12">
        <v>0.38549212101628438</v>
      </c>
      <c r="AA398" s="12">
        <v>0.38641516098251855</v>
      </c>
      <c r="AB398" s="12">
        <v>0.38734041111786593</v>
      </c>
      <c r="AC398" s="12">
        <v>0.38826787671445667</v>
      </c>
      <c r="AD398" s="12">
        <v>0.38919756307709236</v>
      </c>
      <c r="AE398" s="12">
        <v>0.39012947552327681</v>
      </c>
      <c r="AF398" s="12">
        <v>0.3910636193832463</v>
      </c>
      <c r="AG398" s="12">
        <v>0.39200000000000002</v>
      </c>
    </row>
    <row r="399" spans="1:33" ht="15" hidden="1" thickBot="1" x14ac:dyDescent="0.4">
      <c r="A399" s="155"/>
      <c r="B399" s="61" t="s">
        <v>23</v>
      </c>
      <c r="C399" s="41"/>
      <c r="D399" s="88" t="e">
        <f t="shared" ref="D399" si="2665">D398*T399</f>
        <v>#REF!</v>
      </c>
      <c r="E399" s="88" t="e">
        <f t="shared" ref="E399" si="2666">E398*U399</f>
        <v>#REF!</v>
      </c>
      <c r="F399" s="88" t="e">
        <f t="shared" ref="F399" si="2667">F398*V399</f>
        <v>#REF!</v>
      </c>
      <c r="G399" s="88" t="e">
        <f t="shared" ref="G399" si="2668">G398*W399</f>
        <v>#REF!</v>
      </c>
      <c r="H399" s="88" t="e">
        <f t="shared" ref="H399" si="2669">H398*X399</f>
        <v>#REF!</v>
      </c>
      <c r="I399" s="88" t="e">
        <f t="shared" ref="I399" si="2670">I398*Y399</f>
        <v>#REF!</v>
      </c>
      <c r="J399" s="88" t="e">
        <f t="shared" ref="J399" si="2671">J398*Z399</f>
        <v>#REF!</v>
      </c>
      <c r="K399" s="88" t="e">
        <f t="shared" ref="K399" si="2672">K398*AA399</f>
        <v>#REF!</v>
      </c>
      <c r="L399" s="88" t="e">
        <f t="shared" ref="L399" si="2673">L398*AB399</f>
        <v>#REF!</v>
      </c>
      <c r="M399" s="88" t="e">
        <f t="shared" ref="M399" si="2674">M398*AC399</f>
        <v>#REF!</v>
      </c>
      <c r="N399" s="88" t="e">
        <f t="shared" ref="N399" si="2675">N398*AD399</f>
        <v>#REF!</v>
      </c>
      <c r="O399" s="88" t="e">
        <f t="shared" ref="O399" si="2676">O398*AE399</f>
        <v>#REF!</v>
      </c>
      <c r="P399" s="88" t="e">
        <f t="shared" ref="P399" si="2677">P398*AF399</f>
        <v>#REF!</v>
      </c>
      <c r="Q399" s="88" t="e">
        <f t="shared" ref="Q399" si="2678">Q398*AG399</f>
        <v>#REF!</v>
      </c>
      <c r="R399" s="74" t="e">
        <f t="shared" si="2650"/>
        <v>#REF!</v>
      </c>
      <c r="S399" s="61"/>
      <c r="T399" s="67">
        <v>0.34999999999999987</v>
      </c>
      <c r="U399" s="67">
        <v>0.34938588387166564</v>
      </c>
      <c r="V399" s="67">
        <v>0.34877284528224306</v>
      </c>
      <c r="W399" s="67">
        <v>0.34816088234106346</v>
      </c>
      <c r="X399" s="67">
        <v>0.34754999316077562</v>
      </c>
      <c r="Y399" s="67">
        <v>0.34694017585733994</v>
      </c>
      <c r="Z399" s="67">
        <v>0.34633142855002247</v>
      </c>
      <c r="AA399" s="67">
        <v>0.34572374936138933</v>
      </c>
      <c r="AB399" s="67">
        <v>0.34511713641730069</v>
      </c>
      <c r="AC399" s="67">
        <v>0.34451158784690528</v>
      </c>
      <c r="AD399" s="67">
        <v>0.34390710178263434</v>
      </c>
      <c r="AE399" s="67">
        <v>0.34330367636019604</v>
      </c>
      <c r="AF399" s="67">
        <v>0.34270130971856966</v>
      </c>
      <c r="AG399" s="67">
        <v>0.34209999999999979</v>
      </c>
    </row>
    <row r="400" spans="1:33" ht="15" hidden="1" thickBot="1" x14ac:dyDescent="0.4">
      <c r="A400" s="155"/>
      <c r="B400" s="61" t="s">
        <v>24</v>
      </c>
      <c r="C400" s="41"/>
      <c r="D400" s="88" t="e">
        <f t="shared" ref="D400" si="2679">D398*T400</f>
        <v>#REF!</v>
      </c>
      <c r="E400" s="88" t="e">
        <f t="shared" ref="E400" si="2680">E398*U400</f>
        <v>#REF!</v>
      </c>
      <c r="F400" s="88" t="e">
        <f t="shared" ref="F400" si="2681">F398*V400</f>
        <v>#REF!</v>
      </c>
      <c r="G400" s="88" t="e">
        <f t="shared" ref="G400" si="2682">G398*W400</f>
        <v>#REF!</v>
      </c>
      <c r="H400" s="88" t="e">
        <f t="shared" ref="H400" si="2683">H398*X400</f>
        <v>#REF!</v>
      </c>
      <c r="I400" s="88" t="e">
        <f t="shared" ref="I400" si="2684">I398*Y400</f>
        <v>#REF!</v>
      </c>
      <c r="J400" s="88" t="e">
        <f t="shared" ref="J400" si="2685">J398*Z400</f>
        <v>#REF!</v>
      </c>
      <c r="K400" s="88" t="e">
        <f t="shared" ref="K400" si="2686">K398*AA400</f>
        <v>#REF!</v>
      </c>
      <c r="L400" s="88" t="e">
        <f t="shared" ref="L400" si="2687">L398*AB400</f>
        <v>#REF!</v>
      </c>
      <c r="M400" s="88" t="e">
        <f t="shared" ref="M400" si="2688">M398*AC400</f>
        <v>#REF!</v>
      </c>
      <c r="N400" s="88" t="e">
        <f t="shared" ref="N400" si="2689">N398*AD400</f>
        <v>#REF!</v>
      </c>
      <c r="O400" s="88" t="e">
        <f t="shared" ref="O400" si="2690">O398*AE400</f>
        <v>#REF!</v>
      </c>
      <c r="P400" s="88" t="e">
        <f t="shared" ref="P400" si="2691">P398*AF400</f>
        <v>#REF!</v>
      </c>
      <c r="Q400" s="88" t="e">
        <f t="shared" ref="Q400" si="2692">Q398*AG400</f>
        <v>#REF!</v>
      </c>
      <c r="R400" s="74" t="e">
        <f t="shared" si="2650"/>
        <v>#REF!</v>
      </c>
      <c r="S400" s="61"/>
      <c r="T400" s="67">
        <v>0.28000000000000003</v>
      </c>
      <c r="U400" s="67">
        <v>0.28097918830490543</v>
      </c>
      <c r="V400" s="67">
        <v>0.28196180093029821</v>
      </c>
      <c r="W400" s="67">
        <v>0.28294784985137333</v>
      </c>
      <c r="X400" s="67">
        <v>0.28393734708520407</v>
      </c>
      <c r="Y400" s="67">
        <v>0.28493030469088876</v>
      </c>
      <c r="Z400" s="67">
        <v>0.28592673476969749</v>
      </c>
      <c r="AA400" s="67">
        <v>0.28692664946521995</v>
      </c>
      <c r="AB400" s="67">
        <v>0.28793006096351298</v>
      </c>
      <c r="AC400" s="67">
        <v>0.28893698149324931</v>
      </c>
      <c r="AD400" s="67">
        <v>0.28994742332586665</v>
      </c>
      <c r="AE400" s="67">
        <v>0.29096139877571725</v>
      </c>
      <c r="AF400" s="67">
        <v>0.29197892020021765</v>
      </c>
      <c r="AG400" s="67">
        <v>0.29299999999999965</v>
      </c>
    </row>
    <row r="401" spans="1:33" ht="15" hidden="1" thickBot="1" x14ac:dyDescent="0.4">
      <c r="A401" s="155"/>
      <c r="B401" s="61" t="s">
        <v>25</v>
      </c>
      <c r="C401" s="41"/>
      <c r="D401" s="88" t="e">
        <f t="shared" ref="D401" si="2693">D398*T401</f>
        <v>#REF!</v>
      </c>
      <c r="E401" s="88" t="e">
        <f t="shared" ref="E401" si="2694">E398*U401</f>
        <v>#REF!</v>
      </c>
      <c r="F401" s="88" t="e">
        <f t="shared" ref="F401" si="2695">F398*V401</f>
        <v>#REF!</v>
      </c>
      <c r="G401" s="88" t="e">
        <f t="shared" ref="G401" si="2696">G398*W401</f>
        <v>#REF!</v>
      </c>
      <c r="H401" s="88" t="e">
        <f t="shared" ref="H401" si="2697">H398*X401</f>
        <v>#REF!</v>
      </c>
      <c r="I401" s="88" t="e">
        <f t="shared" ref="I401" si="2698">I398*Y401</f>
        <v>#REF!</v>
      </c>
      <c r="J401" s="88" t="e">
        <f t="shared" ref="J401" si="2699">J398*Z401</f>
        <v>#REF!</v>
      </c>
      <c r="K401" s="88" t="e">
        <f t="shared" ref="K401" si="2700">K398*AA401</f>
        <v>#REF!</v>
      </c>
      <c r="L401" s="88" t="e">
        <f t="shared" ref="L401" si="2701">L398*AB401</f>
        <v>#REF!</v>
      </c>
      <c r="M401" s="88" t="e">
        <f t="shared" ref="M401" si="2702">M398*AC401</f>
        <v>#REF!</v>
      </c>
      <c r="N401" s="88" t="e">
        <f t="shared" ref="N401" si="2703">N398*AD401</f>
        <v>#REF!</v>
      </c>
      <c r="O401" s="88" t="e">
        <f t="shared" ref="O401" si="2704">O398*AE401</f>
        <v>#REF!</v>
      </c>
      <c r="P401" s="88" t="e">
        <f t="shared" ref="P401" si="2705">P398*AF401</f>
        <v>#REF!</v>
      </c>
      <c r="Q401" s="88" t="e">
        <f t="shared" ref="Q401" si="2706">Q398*AG401</f>
        <v>#REF!</v>
      </c>
      <c r="R401" s="74" t="e">
        <f t="shared" si="2650"/>
        <v>#REF!</v>
      </c>
      <c r="S401" s="61"/>
      <c r="T401" s="67">
        <f>1-SUM(T399:T400)</f>
        <v>0.37000000000000011</v>
      </c>
      <c r="U401" s="67">
        <f t="shared" ref="U401:AG401" si="2707">1-SUM(U399:U400)</f>
        <v>0.36963492782342899</v>
      </c>
      <c r="V401" s="67">
        <f t="shared" si="2707"/>
        <v>0.36926535378745873</v>
      </c>
      <c r="W401" s="67">
        <f t="shared" si="2707"/>
        <v>0.36889126780756321</v>
      </c>
      <c r="X401" s="67">
        <f t="shared" si="2707"/>
        <v>0.36851265975402026</v>
      </c>
      <c r="Y401" s="67">
        <f t="shared" si="2707"/>
        <v>0.3681295194517713</v>
      </c>
      <c r="Z401" s="67">
        <f t="shared" si="2707"/>
        <v>0.36774183668028004</v>
      </c>
      <c r="AA401" s="67">
        <f t="shared" si="2707"/>
        <v>0.36734960117339077</v>
      </c>
      <c r="AB401" s="67">
        <f t="shared" si="2707"/>
        <v>0.36695280261918639</v>
      </c>
      <c r="AC401" s="67">
        <f t="shared" si="2707"/>
        <v>0.36655143065984541</v>
      </c>
      <c r="AD401" s="67">
        <f t="shared" si="2707"/>
        <v>0.36614547489149896</v>
      </c>
      <c r="AE401" s="67">
        <f t="shared" si="2707"/>
        <v>0.36573492486408665</v>
      </c>
      <c r="AF401" s="67">
        <f t="shared" si="2707"/>
        <v>0.36531977008121275</v>
      </c>
      <c r="AG401" s="67">
        <f t="shared" si="2707"/>
        <v>0.36490000000000056</v>
      </c>
    </row>
    <row r="402" spans="1:33" ht="15" hidden="1" thickBot="1" x14ac:dyDescent="0.4">
      <c r="A402" s="151"/>
      <c r="B402" s="62" t="s">
        <v>26</v>
      </c>
      <c r="C402" s="51"/>
      <c r="D402" s="89" t="e">
        <f t="shared" ref="D402" si="2708">D387*T402</f>
        <v>#REF!</v>
      </c>
      <c r="E402" s="89" t="e">
        <f t="shared" ref="E402" si="2709">E387*U402</f>
        <v>#REF!</v>
      </c>
      <c r="F402" s="89" t="e">
        <f t="shared" ref="F402" si="2710">F387*V402</f>
        <v>#REF!</v>
      </c>
      <c r="G402" s="89" t="e">
        <f t="shared" ref="G402" si="2711">G387*W402</f>
        <v>#REF!</v>
      </c>
      <c r="H402" s="89" t="e">
        <f t="shared" ref="H402" si="2712">H387*X402</f>
        <v>#REF!</v>
      </c>
      <c r="I402" s="89" t="e">
        <f t="shared" ref="I402" si="2713">I387*Y402</f>
        <v>#REF!</v>
      </c>
      <c r="J402" s="89" t="e">
        <f t="shared" ref="J402" si="2714">J387*Z402</f>
        <v>#REF!</v>
      </c>
      <c r="K402" s="89" t="e">
        <f t="shared" ref="K402" si="2715">K387*AA402</f>
        <v>#REF!</v>
      </c>
      <c r="L402" s="89" t="e">
        <f t="shared" ref="L402" si="2716">L387*AB402</f>
        <v>#REF!</v>
      </c>
      <c r="M402" s="89" t="e">
        <f t="shared" ref="M402" si="2717">M387*AC402</f>
        <v>#REF!</v>
      </c>
      <c r="N402" s="89" t="e">
        <f t="shared" ref="N402" si="2718">N387*AD402</f>
        <v>#REF!</v>
      </c>
      <c r="O402" s="89" t="e">
        <f t="shared" ref="O402" si="2719">O387*AE402</f>
        <v>#REF!</v>
      </c>
      <c r="P402" s="89" t="e">
        <f t="shared" ref="P402" si="2720">P387*AF402</f>
        <v>#REF!</v>
      </c>
      <c r="Q402" s="89" t="e">
        <f t="shared" ref="Q402" si="2721">Q387*AG402</f>
        <v>#REF!</v>
      </c>
      <c r="R402" s="75" t="e">
        <f t="shared" si="2650"/>
        <v>#REF!</v>
      </c>
      <c r="S402" s="62"/>
      <c r="T402" s="12">
        <f>1-SUM(T397+T398)</f>
        <v>0.37</v>
      </c>
      <c r="U402" s="12">
        <f t="shared" ref="U402:AG402" si="2722">1-SUM(U397+U398)</f>
        <v>0.36753417522645271</v>
      </c>
      <c r="V402" s="12">
        <f t="shared" si="2722"/>
        <v>0.36505648803236646</v>
      </c>
      <c r="W402" s="12">
        <f t="shared" si="2722"/>
        <v>0.36256687293191459</v>
      </c>
      <c r="X402" s="12">
        <f t="shared" si="2722"/>
        <v>0.36006526405167993</v>
      </c>
      <c r="Y402" s="12">
        <f t="shared" si="2722"/>
        <v>0.35755159512829038</v>
      </c>
      <c r="Z402" s="12">
        <f t="shared" si="2722"/>
        <v>0.35502579950603996</v>
      </c>
      <c r="AA402" s="12">
        <f t="shared" si="2722"/>
        <v>0.35248781013449515</v>
      </c>
      <c r="AB402" s="12">
        <f t="shared" si="2722"/>
        <v>0.34993755956608608</v>
      </c>
      <c r="AC402" s="12">
        <f t="shared" si="2722"/>
        <v>0.3473749799536836</v>
      </c>
      <c r="AD402" s="12">
        <f t="shared" si="2722"/>
        <v>0.34480000304816039</v>
      </c>
      <c r="AE402" s="12">
        <f t="shared" si="2722"/>
        <v>0.34221256019593804</v>
      </c>
      <c r="AF402" s="12">
        <f t="shared" si="2722"/>
        <v>0.33961258233651859</v>
      </c>
      <c r="AG402" s="12">
        <f t="shared" si="2722"/>
        <v>0.33699999999999986</v>
      </c>
    </row>
    <row r="403" spans="1:33" ht="15" hidden="1" thickBot="1" x14ac:dyDescent="0.4">
      <c r="A403" s="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21"/>
    </row>
    <row r="404" spans="1:33" ht="15" hidden="1" thickBot="1" x14ac:dyDescent="0.4">
      <c r="A404" s="152" t="s">
        <v>27</v>
      </c>
      <c r="B404" s="54" t="s">
        <v>28</v>
      </c>
      <c r="C404" s="49"/>
      <c r="D404" s="84" t="e">
        <f t="shared" ref="D404" si="2723">D387*T404</f>
        <v>#REF!</v>
      </c>
      <c r="E404" s="84" t="e">
        <f t="shared" ref="E404" si="2724">E387*U404</f>
        <v>#REF!</v>
      </c>
      <c r="F404" s="84" t="e">
        <f t="shared" ref="F404" si="2725">F387*V404</f>
        <v>#REF!</v>
      </c>
      <c r="G404" s="84" t="e">
        <f t="shared" ref="G404" si="2726">G387*W404</f>
        <v>#REF!</v>
      </c>
      <c r="H404" s="84" t="e">
        <f t="shared" ref="H404" si="2727">H387*X404</f>
        <v>#REF!</v>
      </c>
      <c r="I404" s="84" t="e">
        <f t="shared" ref="I404" si="2728">I387*Y404</f>
        <v>#REF!</v>
      </c>
      <c r="J404" s="84" t="e">
        <f t="shared" ref="J404" si="2729">J387*Z404</f>
        <v>#REF!</v>
      </c>
      <c r="K404" s="84" t="e">
        <f t="shared" ref="K404" si="2730">K387*AA404</f>
        <v>#REF!</v>
      </c>
      <c r="L404" s="84" t="e">
        <f t="shared" ref="L404" si="2731">L387*AB404</f>
        <v>#REF!</v>
      </c>
      <c r="M404" s="84" t="e">
        <f t="shared" ref="M404" si="2732">M387*AC404</f>
        <v>#REF!</v>
      </c>
      <c r="N404" s="84" t="e">
        <f t="shared" ref="N404" si="2733">N387*AD404</f>
        <v>#REF!</v>
      </c>
      <c r="O404" s="84" t="e">
        <f t="shared" ref="O404" si="2734">O387*AE404</f>
        <v>#REF!</v>
      </c>
      <c r="P404" s="84" t="e">
        <f t="shared" ref="P404" si="2735">P387*AF404</f>
        <v>#REF!</v>
      </c>
      <c r="Q404" s="84" t="e">
        <f t="shared" ref="Q404" si="2736">Q387*AG404</f>
        <v>#REF!</v>
      </c>
      <c r="R404" s="71" t="e">
        <f>RATE(12,,-E404,Q404)</f>
        <v>#REF!</v>
      </c>
      <c r="S404" s="54"/>
      <c r="T404" s="12">
        <v>0.40099999999999997</v>
      </c>
      <c r="U404" s="12">
        <v>0.40265090533119946</v>
      </c>
      <c r="V404" s="12">
        <v>0.40430860739160734</v>
      </c>
      <c r="W404" s="12">
        <v>0.40597313416316017</v>
      </c>
      <c r="X404" s="12">
        <v>0.40764451374299493</v>
      </c>
      <c r="Y404" s="12">
        <v>0.40932277434392395</v>
      </c>
      <c r="Z404" s="12">
        <v>0.41100794429491083</v>
      </c>
      <c r="AA404" s="12">
        <v>0.4127000520415488</v>
      </c>
      <c r="AB404" s="12">
        <v>0.41439912614654062</v>
      </c>
      <c r="AC404" s="12">
        <v>0.41610519529018092</v>
      </c>
      <c r="AD404" s="12">
        <v>0.41781828827084017</v>
      </c>
      <c r="AE404" s="12">
        <v>0.4195384340054511</v>
      </c>
      <c r="AF404" s="12">
        <v>0.4212656615299965</v>
      </c>
      <c r="AG404" s="12">
        <v>0.42299999999999938</v>
      </c>
    </row>
    <row r="405" spans="1:33" ht="15" hidden="1" thickBot="1" x14ac:dyDescent="0.4">
      <c r="A405" s="154"/>
      <c r="B405" s="55" t="s">
        <v>29</v>
      </c>
      <c r="C405" s="40"/>
      <c r="D405" s="90" t="e">
        <f t="shared" ref="D405" si="2737">D387*T405</f>
        <v>#REF!</v>
      </c>
      <c r="E405" s="90" t="e">
        <f t="shared" ref="E405" si="2738">E387*U405</f>
        <v>#REF!</v>
      </c>
      <c r="F405" s="90" t="e">
        <f t="shared" ref="F405" si="2739">F387*V405</f>
        <v>#REF!</v>
      </c>
      <c r="G405" s="90" t="e">
        <f t="shared" ref="G405" si="2740">G387*W405</f>
        <v>#REF!</v>
      </c>
      <c r="H405" s="90" t="e">
        <f t="shared" ref="H405" si="2741">H387*X405</f>
        <v>#REF!</v>
      </c>
      <c r="I405" s="90" t="e">
        <f t="shared" ref="I405" si="2742">I387*Y405</f>
        <v>#REF!</v>
      </c>
      <c r="J405" s="90" t="e">
        <f t="shared" ref="J405" si="2743">J387*Z405</f>
        <v>#REF!</v>
      </c>
      <c r="K405" s="90" t="e">
        <f t="shared" ref="K405" si="2744">K387*AA405</f>
        <v>#REF!</v>
      </c>
      <c r="L405" s="90" t="e">
        <f t="shared" ref="L405" si="2745">L387*AB405</f>
        <v>#REF!</v>
      </c>
      <c r="M405" s="90" t="e">
        <f t="shared" ref="M405" si="2746">M387*AC405</f>
        <v>#REF!</v>
      </c>
      <c r="N405" s="90" t="e">
        <f t="shared" ref="N405" si="2747">N387*AD405</f>
        <v>#REF!</v>
      </c>
      <c r="O405" s="90" t="e">
        <f t="shared" ref="O405" si="2748">O387*AE405</f>
        <v>#REF!</v>
      </c>
      <c r="P405" s="90" t="e">
        <f t="shared" ref="P405" si="2749">P387*AF405</f>
        <v>#REF!</v>
      </c>
      <c r="Q405" s="90" t="e">
        <f t="shared" ref="Q405" si="2750">Q387*AG405</f>
        <v>#REF!</v>
      </c>
      <c r="R405" s="76" t="e">
        <f>RATE(12,,-E405,Q405)</f>
        <v>#REF!</v>
      </c>
      <c r="S405" s="55"/>
      <c r="T405" s="12">
        <v>0.43099999999999999</v>
      </c>
      <c r="U405" s="12">
        <v>0.43183634674261745</v>
      </c>
      <c r="V405" s="12">
        <v>0.43267431639909548</v>
      </c>
      <c r="W405" s="12">
        <v>0.43351391211866536</v>
      </c>
      <c r="X405" s="12">
        <v>0.43435513705666956</v>
      </c>
      <c r="Y405" s="12">
        <v>0.43519799437457324</v>
      </c>
      <c r="Z405" s="12">
        <v>0.43604248723997657</v>
      </c>
      <c r="AA405" s="12">
        <v>0.43688861882662616</v>
      </c>
      <c r="AB405" s="12">
        <v>0.43773639231442729</v>
      </c>
      <c r="AC405" s="12">
        <v>0.43858581088945586</v>
      </c>
      <c r="AD405" s="12">
        <v>0.43943687774397006</v>
      </c>
      <c r="AE405" s="12">
        <v>0.44028959607642287</v>
      </c>
      <c r="AF405" s="12">
        <v>0.44114396909147369</v>
      </c>
      <c r="AG405" s="12">
        <v>0.44200000000000028</v>
      </c>
    </row>
    <row r="406" spans="1:33" ht="15" hidden="1" thickBot="1" x14ac:dyDescent="0.4">
      <c r="A406" s="153"/>
      <c r="B406" s="56" t="s">
        <v>30</v>
      </c>
      <c r="C406" s="44"/>
      <c r="D406" s="85" t="e">
        <f t="shared" ref="D406" si="2751">D387*T406</f>
        <v>#REF!</v>
      </c>
      <c r="E406" s="85" t="e">
        <f t="shared" ref="E406" si="2752">E387*U406</f>
        <v>#REF!</v>
      </c>
      <c r="F406" s="85" t="e">
        <f t="shared" ref="F406" si="2753">F387*V406</f>
        <v>#REF!</v>
      </c>
      <c r="G406" s="85" t="e">
        <f t="shared" ref="G406" si="2754">G387*W406</f>
        <v>#REF!</v>
      </c>
      <c r="H406" s="85" t="e">
        <f t="shared" ref="H406" si="2755">H387*X406</f>
        <v>#REF!</v>
      </c>
      <c r="I406" s="85" t="e">
        <f t="shared" ref="I406" si="2756">I387*Y406</f>
        <v>#REF!</v>
      </c>
      <c r="J406" s="85" t="e">
        <f t="shared" ref="J406" si="2757">J387*Z406</f>
        <v>#REF!</v>
      </c>
      <c r="K406" s="85" t="e">
        <f t="shared" ref="K406" si="2758">K387*AA406</f>
        <v>#REF!</v>
      </c>
      <c r="L406" s="85" t="e">
        <f t="shared" ref="L406" si="2759">L387*AB406</f>
        <v>#REF!</v>
      </c>
      <c r="M406" s="85" t="e">
        <f t="shared" ref="M406" si="2760">M387*AC406</f>
        <v>#REF!</v>
      </c>
      <c r="N406" s="85" t="e">
        <f t="shared" ref="N406" si="2761">N387*AD406</f>
        <v>#REF!</v>
      </c>
      <c r="O406" s="85" t="e">
        <f t="shared" ref="O406" si="2762">O387*AE406</f>
        <v>#REF!</v>
      </c>
      <c r="P406" s="85" t="e">
        <f t="shared" ref="P406" si="2763">P387*AF406</f>
        <v>#REF!</v>
      </c>
      <c r="Q406" s="85" t="e">
        <f t="shared" ref="Q406" si="2764">Q387*AG406</f>
        <v>#REF!</v>
      </c>
      <c r="R406" s="72" t="e">
        <f>RATE(12,,-E406,Q406)</f>
        <v>#REF!</v>
      </c>
      <c r="S406" s="56"/>
      <c r="T406" s="12">
        <f>1-SUM(T404:T405)</f>
        <v>0.16800000000000004</v>
      </c>
      <c r="U406" s="12">
        <f t="shared" ref="U406:AG406" si="2765">1-SUM(U404:U405)</f>
        <v>0.16551274792618309</v>
      </c>
      <c r="V406" s="12">
        <f t="shared" si="2765"/>
        <v>0.16301707620929717</v>
      </c>
      <c r="W406" s="12">
        <f t="shared" si="2765"/>
        <v>0.16051295371817442</v>
      </c>
      <c r="X406" s="12">
        <f t="shared" si="2765"/>
        <v>0.15800034920033545</v>
      </c>
      <c r="Y406" s="12">
        <f t="shared" si="2765"/>
        <v>0.15547923128150276</v>
      </c>
      <c r="Z406" s="12">
        <f t="shared" si="2765"/>
        <v>0.15294956846511254</v>
      </c>
      <c r="AA406" s="12">
        <f t="shared" si="2765"/>
        <v>0.15041132913182498</v>
      </c>
      <c r="AB406" s="12">
        <f t="shared" si="2765"/>
        <v>0.14786448153903209</v>
      </c>
      <c r="AC406" s="12">
        <f t="shared" si="2765"/>
        <v>0.14530899382036322</v>
      </c>
      <c r="AD406" s="12">
        <f t="shared" si="2765"/>
        <v>0.14274483398518978</v>
      </c>
      <c r="AE406" s="12">
        <f t="shared" si="2765"/>
        <v>0.14017196991812608</v>
      </c>
      <c r="AF406" s="12">
        <f t="shared" si="2765"/>
        <v>0.13759036937852986</v>
      </c>
      <c r="AG406" s="12">
        <f t="shared" si="2765"/>
        <v>0.13500000000000034</v>
      </c>
    </row>
    <row r="407" spans="1:33" ht="15.5" x14ac:dyDescent="0.35">
      <c r="A407" s="42"/>
      <c r="B407" s="43"/>
      <c r="C407" s="93"/>
      <c r="D407" s="91">
        <v>2023</v>
      </c>
      <c r="E407" s="65">
        <v>2024</v>
      </c>
      <c r="F407" s="65">
        <v>2025</v>
      </c>
      <c r="G407" s="65">
        <v>2026</v>
      </c>
      <c r="H407" s="65">
        <v>2027</v>
      </c>
      <c r="I407" s="65">
        <v>2028</v>
      </c>
      <c r="J407" s="65">
        <v>2029</v>
      </c>
      <c r="K407" s="65">
        <v>2030</v>
      </c>
      <c r="L407" s="65">
        <v>2031</v>
      </c>
      <c r="M407" s="65">
        <v>2032</v>
      </c>
      <c r="N407" s="65">
        <v>2033</v>
      </c>
      <c r="O407" s="65">
        <v>2034</v>
      </c>
      <c r="P407" s="65">
        <v>2035</v>
      </c>
      <c r="Q407" s="65">
        <v>2036</v>
      </c>
      <c r="R407" s="66" t="s">
        <v>84</v>
      </c>
    </row>
    <row r="408" spans="1:33" ht="16" thickBot="1" x14ac:dyDescent="0.4">
      <c r="A408" s="1"/>
      <c r="C408" s="21"/>
      <c r="D408" s="92">
        <f>'Market Analysis '!C33</f>
        <v>114.67910999999984</v>
      </c>
      <c r="E408" s="92">
        <f>'Market Analysis '!D33</f>
        <v>127.86720764999981</v>
      </c>
      <c r="F408" s="92">
        <f>'Market Analysis '!E33</f>
        <v>142.65718133484978</v>
      </c>
      <c r="G408" s="92">
        <f>'Market Analysis '!F33</f>
        <v>159.25296676347065</v>
      </c>
      <c r="H408" s="92">
        <f>'Market Analysis '!G33</f>
        <v>177.88556387479673</v>
      </c>
      <c r="I408" s="92">
        <f>'Market Analysis '!H33</f>
        <v>198.81676522406445</v>
      </c>
      <c r="J408" s="92">
        <f>'Market Analysis '!I33</f>
        <v>222.34341577557876</v>
      </c>
      <c r="K408" s="92">
        <f>'Market Analysis '!J33</f>
        <v>248.80228225287263</v>
      </c>
      <c r="L408" s="92">
        <f>'Market Analysis '!K33</f>
        <v>278.57562202913306</v>
      </c>
      <c r="M408" s="92">
        <f>'Market Analysis '!L33</f>
        <v>312.09755521330544</v>
      </c>
      <c r="N408" s="92">
        <f>'Market Analysis '!M33</f>
        <v>349.86135939411542</v>
      </c>
      <c r="O408" s="92">
        <f>'Market Analysis '!N33</f>
        <v>392.42782478706613</v>
      </c>
      <c r="P408" s="92">
        <f>'Market Analysis '!O33</f>
        <v>440.43482868601723</v>
      </c>
      <c r="Q408" s="92">
        <f>'Market Analysis '!P33</f>
        <v>494.60831261439733</v>
      </c>
      <c r="R408" s="68">
        <f>RATE(9,,-E408,Q408)</f>
        <v>0.16219238510796433</v>
      </c>
      <c r="T408" s="65">
        <v>2023</v>
      </c>
      <c r="U408" s="65">
        <v>2024</v>
      </c>
      <c r="V408" s="65">
        <v>2025</v>
      </c>
      <c r="W408" s="65">
        <v>2026</v>
      </c>
      <c r="X408" s="65">
        <v>2027</v>
      </c>
      <c r="Y408" s="65">
        <v>2028</v>
      </c>
      <c r="Z408" s="65">
        <v>2029</v>
      </c>
      <c r="AA408" s="65">
        <v>2030</v>
      </c>
      <c r="AB408" s="65">
        <v>2031</v>
      </c>
      <c r="AC408" s="65">
        <v>2032</v>
      </c>
      <c r="AD408" s="65">
        <v>2033</v>
      </c>
      <c r="AE408" s="65">
        <v>2034</v>
      </c>
      <c r="AF408" s="65">
        <v>2035</v>
      </c>
      <c r="AG408" s="65">
        <v>2036</v>
      </c>
    </row>
    <row r="409" spans="1:33" s="121" customFormat="1" x14ac:dyDescent="0.35">
      <c r="A409" s="147" t="s">
        <v>59</v>
      </c>
      <c r="B409" s="118" t="s">
        <v>60</v>
      </c>
      <c r="C409" s="119"/>
      <c r="D409" s="120">
        <f>D408*T409</f>
        <v>40.137688499999932</v>
      </c>
      <c r="E409" s="120">
        <f t="shared" ref="E409" si="2766">E408*U409</f>
        <v>45.215584003741753</v>
      </c>
      <c r="F409" s="120">
        <f>F408*V409</f>
        <v>50.966348693767529</v>
      </c>
      <c r="G409" s="120">
        <f t="shared" ref="G409" si="2767">G408*W409</f>
        <v>57.482855385705463</v>
      </c>
      <c r="H409" s="120">
        <f t="shared" ref="H409" si="2768">H408*X409</f>
        <v>64.871273708104937</v>
      </c>
      <c r="I409" s="120">
        <f t="shared" ref="I409" si="2769">I408*Y409</f>
        <v>73.253038349686889</v>
      </c>
      <c r="J409" s="120">
        <f t="shared" ref="J409" si="2770">J408*Z409</f>
        <v>82.767117722191813</v>
      </c>
      <c r="K409" s="120">
        <f t="shared" ref="K409" si="2771">K408*AA409</f>
        <v>93.572630213318689</v>
      </c>
      <c r="L409" s="120">
        <f t="shared" ref="L409" si="2772">L408*AB409</f>
        <v>105.85186281121793</v>
      </c>
      <c r="M409" s="120">
        <f t="shared" ref="M409" si="2773">M408*AC409</f>
        <v>119.81375574652738</v>
      </c>
      <c r="N409" s="120">
        <f t="shared" ref="N409" si="2774">N408*AD409</f>
        <v>135.69792713285534</v>
      </c>
      <c r="O409" s="120">
        <f t="shared" ref="O409" si="2775">O408*AE409</f>
        <v>153.77932364157977</v>
      </c>
      <c r="P409" s="120">
        <f t="shared" ref="P409" si="2776">P408*AF409</f>
        <v>174.37359731484892</v>
      </c>
      <c r="Q409" s="120">
        <f t="shared" ref="Q409" si="2777">Q408*AG409</f>
        <v>197.843325045759</v>
      </c>
      <c r="R409" s="68">
        <f>RATE(9,,-H409,Q409)</f>
        <v>0.13189896847406959</v>
      </c>
      <c r="S409" s="118" t="s">
        <v>60</v>
      </c>
      <c r="T409" s="116">
        <v>0.34999999999999992</v>
      </c>
      <c r="U409" s="116">
        <v>0.35361360300841621</v>
      </c>
      <c r="V409" s="116">
        <v>0.35726451495026795</v>
      </c>
      <c r="W409" s="116">
        <v>0.36095312102462412</v>
      </c>
      <c r="X409" s="116">
        <v>0.36467981040757214</v>
      </c>
      <c r="Y409" s="116">
        <v>0.36844497629327921</v>
      </c>
      <c r="Z409" s="116">
        <v>0.37224901593547705</v>
      </c>
      <c r="AA409" s="116">
        <v>0.37609233068937542</v>
      </c>
      <c r="AB409" s="116">
        <v>0.37997532605400802</v>
      </c>
      <c r="AC409" s="116">
        <v>0.38389841171501571</v>
      </c>
      <c r="AD409" s="116">
        <v>0.38786200158787171</v>
      </c>
      <c r="AE409" s="116">
        <v>0.39186651386155258</v>
      </c>
      <c r="AF409" s="116">
        <v>0.39591237104266019</v>
      </c>
      <c r="AG409" s="116">
        <v>0.40000000000000013</v>
      </c>
    </row>
    <row r="410" spans="1:33" s="117" customFormat="1" x14ac:dyDescent="0.35">
      <c r="A410" s="148"/>
      <c r="B410" s="113" t="s">
        <v>61</v>
      </c>
      <c r="C410" s="114"/>
      <c r="D410" s="115">
        <f>D408*T410</f>
        <v>34.40373299999996</v>
      </c>
      <c r="E410" s="115">
        <f t="shared" ref="E410" si="2778">E408*U410</f>
        <v>38.379773901660954</v>
      </c>
      <c r="F410" s="115">
        <f t="shared" ref="F410" si="2779">F408*V410</f>
        <v>42.84092561826094</v>
      </c>
      <c r="G410" s="115">
        <f t="shared" ref="G410" si="2780">G408*W410</f>
        <v>47.849203670838151</v>
      </c>
      <c r="H410" s="115">
        <f t="shared" ref="H410" si="2781">H408*X410</f>
        <v>53.474885528970816</v>
      </c>
      <c r="I410" s="115">
        <f t="shared" ref="I410" si="2782">I408*Y410</f>
        <v>59.797652946922135</v>
      </c>
      <c r="J410" s="115">
        <f t="shared" ref="J410" si="2783">J408*Z410</f>
        <v>66.907897683264665</v>
      </c>
      <c r="K410" s="115">
        <f t="shared" ref="K410" si="2784">K408*AA410</f>
        <v>74.90821471176848</v>
      </c>
      <c r="L410" s="115">
        <f t="shared" ref="L410" si="2785">L408*AB410</f>
        <v>83.915110692882166</v>
      </c>
      <c r="M410" s="115">
        <f t="shared" ref="M410" si="2786">M408*AC410</f>
        <v>94.060959708022409</v>
      </c>
      <c r="N410" s="115">
        <f t="shared" ref="N410" si="2787">N408*AD410</f>
        <v>105.49624315456172</v>
      </c>
      <c r="O410" s="115">
        <f t="shared" ref="O410" si="2788">O408*AE410</f>
        <v>118.3921163642872</v>
      </c>
      <c r="P410" s="115">
        <f t="shared" ref="P410" si="2789">P408*AF410</f>
        <v>132.94335106613434</v>
      </c>
      <c r="Q410" s="115">
        <f t="shared" ref="Q410" si="2790">Q408*AG410</f>
        <v>149.37171040954814</v>
      </c>
      <c r="R410" s="68">
        <f>RATE(9,,-H410,Q410)</f>
        <v>0.12090477994572864</v>
      </c>
      <c r="S410" s="113" t="s">
        <v>61</v>
      </c>
      <c r="T410" s="116">
        <v>0.30000000000000004</v>
      </c>
      <c r="U410" s="116">
        <v>0.30015337479422161</v>
      </c>
      <c r="V410" s="116">
        <v>0.30030682800120145</v>
      </c>
      <c r="W410" s="116">
        <v>0.30046035966102813</v>
      </c>
      <c r="X410" s="116">
        <v>0.30061396981381056</v>
      </c>
      <c r="Y410" s="116">
        <v>0.30076765849967829</v>
      </c>
      <c r="Z410" s="116">
        <v>0.30092142575878128</v>
      </c>
      <c r="AA410" s="116">
        <v>0.30107527163128989</v>
      </c>
      <c r="AB410" s="116">
        <v>0.30122919615739541</v>
      </c>
      <c r="AC410" s="116">
        <v>0.30138319937730923</v>
      </c>
      <c r="AD410" s="116">
        <v>0.30153728133126367</v>
      </c>
      <c r="AE410" s="116">
        <v>0.30169144205951126</v>
      </c>
      <c r="AF410" s="116">
        <v>0.3018456816023255</v>
      </c>
      <c r="AG410" s="116">
        <v>0.30200000000000032</v>
      </c>
    </row>
    <row r="411" spans="1:33" s="117" customFormat="1" x14ac:dyDescent="0.35">
      <c r="A411" s="148"/>
      <c r="B411" s="113" t="s">
        <v>62</v>
      </c>
      <c r="C411" s="114"/>
      <c r="D411" s="115">
        <f>D408*T411</f>
        <v>17.201866499999976</v>
      </c>
      <c r="E411" s="115">
        <f t="shared" ref="E411" si="2791">E408*U411</f>
        <v>19.209320026599048</v>
      </c>
      <c r="F411" s="115">
        <f t="shared" ref="F411" si="2792">F408*V411</f>
        <v>21.463868614301642</v>
      </c>
      <c r="G411" s="115">
        <f t="shared" ref="G411" si="2793">G408*W411</f>
        <v>23.997358842406769</v>
      </c>
      <c r="H411" s="115">
        <f t="shared" ref="H411" si="2794">H408*X411</f>
        <v>26.845912511808343</v>
      </c>
      <c r="I411" s="115">
        <f t="shared" ref="I411" si="2795">I408*Y411</f>
        <v>30.050522033931848</v>
      </c>
      <c r="J411" s="115">
        <f t="shared" ref="J411" si="2796">J408*Z411</f>
        <v>33.657731561529616</v>
      </c>
      <c r="K411" s="115">
        <f t="shared" ref="K411" si="2797">K408*AA411</f>
        <v>37.720416596064688</v>
      </c>
      <c r="L411" s="115">
        <f t="shared" ref="L411" si="2798">L408*AB411</f>
        <v>42.298676752811112</v>
      </c>
      <c r="M411" s="115">
        <f t="shared" ref="M411" si="2799">M408*AC411</f>
        <v>47.460858616759282</v>
      </c>
      <c r="N411" s="115">
        <f t="shared" ref="N411" si="2800">N408*AD411</f>
        <v>53.284728229129527</v>
      </c>
      <c r="O411" s="115">
        <f t="shared" ref="O411" si="2801">O408*AE411</f>
        <v>59.858815763067753</v>
      </c>
      <c r="P411" s="115">
        <f t="shared" ref="P411" si="2802">P408*AF411</f>
        <v>67.283958444698541</v>
      </c>
      <c r="Q411" s="115">
        <f t="shared" ref="Q411" si="2803">Q408*AG411</f>
        <v>75.675071830002679</v>
      </c>
      <c r="R411" s="68">
        <f>RATE(9,,-H411,Q411)</f>
        <v>0.12203988968211402</v>
      </c>
      <c r="S411" s="113" t="s">
        <v>62</v>
      </c>
      <c r="T411" s="116">
        <v>0.15</v>
      </c>
      <c r="U411" s="116">
        <v>0.15022866597023929</v>
      </c>
      <c r="V411" s="116">
        <v>0.15045768052798492</v>
      </c>
      <c r="W411" s="116">
        <v>0.15068704420463749</v>
      </c>
      <c r="X411" s="116">
        <v>0.15091675753240782</v>
      </c>
      <c r="Y411" s="116">
        <v>0.15114682104431795</v>
      </c>
      <c r="Z411" s="116">
        <v>0.15137723527420252</v>
      </c>
      <c r="AA411" s="116">
        <v>0.15160800075670999</v>
      </c>
      <c r="AB411" s="116">
        <v>0.15183911802730382</v>
      </c>
      <c r="AC411" s="116">
        <v>0.1520705876222638</v>
      </c>
      <c r="AD411" s="116">
        <v>0.15230241007868719</v>
      </c>
      <c r="AE411" s="116">
        <v>0.15253458593449007</v>
      </c>
      <c r="AF411" s="116">
        <v>0.15276711572840845</v>
      </c>
      <c r="AG411" s="116">
        <v>0.15299999999999978</v>
      </c>
    </row>
    <row r="412" spans="1:33" s="117" customFormat="1" x14ac:dyDescent="0.35">
      <c r="A412" s="148"/>
      <c r="B412" s="113" t="s">
        <v>63</v>
      </c>
      <c r="C412" s="114"/>
      <c r="D412" s="115">
        <f>D408*T412</f>
        <v>13.761493199999983</v>
      </c>
      <c r="E412" s="115">
        <f t="shared" ref="E412" si="2804">E408*U412</f>
        <v>15.363587071213839</v>
      </c>
      <c r="F412" s="115">
        <f t="shared" ref="F412" si="2805">F408*V412</f>
        <v>17.162449902212039</v>
      </c>
      <c r="G412" s="115">
        <f t="shared" ref="G412" si="2806">G408*W412</f>
        <v>19.183390796580969</v>
      </c>
      <c r="H412" s="115">
        <f t="shared" ref="H412" si="2807">H408*X412</f>
        <v>21.455110029719471</v>
      </c>
      <c r="I412" s="115">
        <f t="shared" ref="I412" si="2808">I408*Y412</f>
        <v>24.010170475779496</v>
      </c>
      <c r="J412" s="115">
        <f t="shared" ref="J412" si="2809">J408*Z412</f>
        <v>26.885536809185023</v>
      </c>
      <c r="K412" s="115">
        <f t="shared" ref="K412" si="2810">K408*AA412</f>
        <v>30.12319253050125</v>
      </c>
      <c r="L412" s="115">
        <f t="shared" ref="L412" si="2811">L408*AB412</f>
        <v>33.770846400049223</v>
      </c>
      <c r="M412" s="115">
        <f t="shared" ref="M412" si="2812">M408*AC412</f>
        <v>37.882741636682638</v>
      </c>
      <c r="N412" s="115">
        <f t="shared" ref="N412" si="2813">N408*AD412</f>
        <v>42.520583292208961</v>
      </c>
      <c r="O412" s="115">
        <f t="shared" ref="O412" si="2814">O408*AE412</f>
        <v>47.754601589051987</v>
      </c>
      <c r="P412" s="115">
        <f t="shared" ref="P412" si="2815">P408*AF412</f>
        <v>53.66477176235675</v>
      </c>
      <c r="Q412" s="115">
        <f t="shared" ref="Q412" si="2816">Q408*AG412</f>
        <v>60.3422141389564</v>
      </c>
      <c r="R412" s="68">
        <f>RATE(9,,-H412,Q412)</f>
        <v>0.12175740204729969</v>
      </c>
      <c r="S412" s="113" t="s">
        <v>63</v>
      </c>
      <c r="T412" s="116">
        <v>0.12000000000000002</v>
      </c>
      <c r="U412" s="116">
        <v>0.12015267521339246</v>
      </c>
      <c r="V412" s="116">
        <v>0.12030554467445809</v>
      </c>
      <c r="W412" s="116">
        <v>0.12045860863033696</v>
      </c>
      <c r="X412" s="116">
        <v>0.12061186732848356</v>
      </c>
      <c r="Y412" s="116">
        <v>0.12076532101666719</v>
      </c>
      <c r="Z412" s="116">
        <v>0.1209189699429724</v>
      </c>
      <c r="AA412" s="116">
        <v>0.12107281435579939</v>
      </c>
      <c r="AB412" s="116">
        <v>0.12122685450386435</v>
      </c>
      <c r="AC412" s="116">
        <v>0.12138109063619994</v>
      </c>
      <c r="AD412" s="116">
        <v>0.12153552300215566</v>
      </c>
      <c r="AE412" s="116">
        <v>0.12169015185139827</v>
      </c>
      <c r="AF412" s="116">
        <v>0.12184497743391219</v>
      </c>
      <c r="AG412" s="116">
        <v>0.12199999999999984</v>
      </c>
    </row>
    <row r="413" spans="1:33" s="117" customFormat="1" x14ac:dyDescent="0.35">
      <c r="A413" s="148"/>
      <c r="B413" s="113" t="s">
        <v>64</v>
      </c>
      <c r="C413" s="114"/>
      <c r="D413" s="115">
        <f>D408*T413</f>
        <v>9.1743287999999961</v>
      </c>
      <c r="E413" s="115">
        <f t="shared" ref="E413" si="2817">E408*U413</f>
        <v>9.6989426467842144</v>
      </c>
      <c r="F413" s="115">
        <f t="shared" ref="F413" si="2818">F408*V413</f>
        <v>10.223588506307644</v>
      </c>
      <c r="G413" s="115">
        <f t="shared" ref="G413" si="2819">G408*W413</f>
        <v>10.7401580679393</v>
      </c>
      <c r="H413" s="115">
        <f>H408*X413</f>
        <v>11.238382096193144</v>
      </c>
      <c r="I413" s="115">
        <f t="shared" ref="I413" si="2820">I408*Y413</f>
        <v>11.705381417744103</v>
      </c>
      <c r="J413" s="115">
        <f t="shared" ref="J413" si="2821">J408*Z413</f>
        <v>12.125131999407644</v>
      </c>
      <c r="K413" s="115">
        <f t="shared" ref="K413" si="2822">K408*AA413</f>
        <v>12.477828201219509</v>
      </c>
      <c r="L413" s="115">
        <f t="shared" ref="L413" si="2823">L408*AB413</f>
        <v>12.739125372172646</v>
      </c>
      <c r="M413" s="115">
        <f t="shared" ref="M413" si="2824">M408*AC413</f>
        <v>12.879239505313716</v>
      </c>
      <c r="N413" s="115">
        <f t="shared" ref="N413" si="2825">N408*AD413</f>
        <v>12.861877585359885</v>
      </c>
      <c r="O413" s="115">
        <f t="shared" ref="O413" si="2826">O408*AE413</f>
        <v>12.642967429079388</v>
      </c>
      <c r="P413" s="115">
        <f t="shared" ref="P413" si="2827">P408*AF413</f>
        <v>12.169150097978687</v>
      </c>
      <c r="Q413" s="115">
        <f t="shared" ref="Q413" si="2828">Q408*AG413</f>
        <v>11.375991190131094</v>
      </c>
      <c r="R413" s="68">
        <f>RATE(9,,-H413,Q413)</f>
        <v>1.3531598234235796E-3</v>
      </c>
      <c r="S413" s="113" t="s">
        <v>64</v>
      </c>
      <c r="T413" s="116">
        <f>1-SUM(T409:T412)</f>
        <v>8.0000000000000071E-2</v>
      </c>
      <c r="U413" s="116">
        <f t="shared" ref="U413:AG413" si="2829">1-SUM(U409:U412)</f>
        <v>7.585168101373041E-2</v>
      </c>
      <c r="V413" s="116">
        <f t="shared" si="2829"/>
        <v>7.1665431846087646E-2</v>
      </c>
      <c r="W413" s="116">
        <f t="shared" si="2829"/>
        <v>6.7440866479373307E-2</v>
      </c>
      <c r="X413" s="116">
        <f t="shared" si="2829"/>
        <v>6.3177594917725788E-2</v>
      </c>
      <c r="Y413" s="116">
        <f t="shared" si="2829"/>
        <v>5.887522314605742E-2</v>
      </c>
      <c r="Z413" s="116">
        <f t="shared" si="2829"/>
        <v>5.4533353088566772E-2</v>
      </c>
      <c r="AA413" s="116">
        <f t="shared" si="2829"/>
        <v>5.0151582566825281E-2</v>
      </c>
      <c r="AB413" s="116">
        <f t="shared" si="2829"/>
        <v>4.5729505257428471E-2</v>
      </c>
      <c r="AC413" s="116">
        <f t="shared" si="2829"/>
        <v>4.126671064921128E-2</v>
      </c>
      <c r="AD413" s="116">
        <f t="shared" si="2829"/>
        <v>3.6762784000021864E-2</v>
      </c>
      <c r="AE413" s="116">
        <f t="shared" si="2829"/>
        <v>3.2217306293047754E-2</v>
      </c>
      <c r="AF413" s="116">
        <f t="shared" si="2829"/>
        <v>2.7629854192693704E-2</v>
      </c>
      <c r="AG413" s="116">
        <f t="shared" si="2829"/>
        <v>2.2999999999999909E-2</v>
      </c>
    </row>
    <row r="414" spans="1:33" x14ac:dyDescent="0.35">
      <c r="A414" s="1"/>
      <c r="D414" s="81" t="b">
        <f>D408=SUM(D409:D413)</f>
        <v>1</v>
      </c>
      <c r="E414" s="81" t="b">
        <f t="shared" ref="E414:Q414" si="2830">E408=SUM(E409:E413)</f>
        <v>1</v>
      </c>
      <c r="F414" s="81" t="b">
        <f t="shared" si="2830"/>
        <v>1</v>
      </c>
      <c r="G414" s="81" t="b">
        <f t="shared" si="2830"/>
        <v>1</v>
      </c>
      <c r="H414" s="81" t="b">
        <f t="shared" si="2830"/>
        <v>1</v>
      </c>
      <c r="I414" s="81" t="b">
        <f t="shared" si="2830"/>
        <v>1</v>
      </c>
      <c r="J414" s="81" t="b">
        <f t="shared" si="2830"/>
        <v>1</v>
      </c>
      <c r="K414" s="81" t="b">
        <f t="shared" si="2830"/>
        <v>1</v>
      </c>
      <c r="L414" s="81" t="b">
        <f t="shared" si="2830"/>
        <v>1</v>
      </c>
      <c r="M414" s="81" t="b">
        <f t="shared" si="2830"/>
        <v>1</v>
      </c>
      <c r="N414" s="81" t="b">
        <f t="shared" si="2830"/>
        <v>1</v>
      </c>
      <c r="O414" s="81" t="b">
        <f t="shared" si="2830"/>
        <v>1</v>
      </c>
      <c r="P414" s="81" t="b">
        <f t="shared" si="2830"/>
        <v>1</v>
      </c>
      <c r="Q414" s="81" t="b">
        <f t="shared" si="2830"/>
        <v>1</v>
      </c>
      <c r="R414" s="21"/>
    </row>
    <row r="415" spans="1:33" s="117" customFormat="1" x14ac:dyDescent="0.35">
      <c r="A415" s="149" t="s">
        <v>65</v>
      </c>
      <c r="B415" s="122" t="s">
        <v>66</v>
      </c>
      <c r="C415" s="123"/>
      <c r="D415" s="124">
        <f>D408*T415</f>
        <v>80.275376999999892</v>
      </c>
      <c r="E415" s="124">
        <f t="shared" ref="E415" si="2831">E408*U415</f>
        <v>89.556063657890519</v>
      </c>
      <c r="F415" s="124">
        <f t="shared" ref="F415" si="2832">F408*V415</f>
        <v>99.969433057367937</v>
      </c>
      <c r="G415" s="124">
        <f t="shared" ref="G415" si="2833">G408*W415</f>
        <v>111.66032745658092</v>
      </c>
      <c r="H415" s="124">
        <f t="shared" ref="H415" si="2834">H408*X415</f>
        <v>124.79289086720723</v>
      </c>
      <c r="I415" s="124">
        <f t="shared" ref="I415" si="2835">I408*Y415</f>
        <v>139.55323849935846</v>
      </c>
      <c r="J415" s="124">
        <f t="shared" ref="J415" si="2836">J408*Z415</f>
        <v>156.15250810011966</v>
      </c>
      <c r="K415" s="124">
        <f t="shared" ref="K415" si="2837">K408*AA415</f>
        <v>174.83034954872556</v>
      </c>
      <c r="L415" s="124">
        <f t="shared" ref="L415" si="2838">L408*AB415</f>
        <v>195.85891763385271</v>
      </c>
      <c r="M415" s="124">
        <f t="shared" ref="M415" si="2839">M408*AC415</f>
        <v>219.54744283736179</v>
      </c>
      <c r="N415" s="124">
        <f t="shared" ref="N415" si="2840">N408*AD415</f>
        <v>246.24746639796984</v>
      </c>
      <c r="O415" s="124">
        <f t="shared" ref="O415" si="2841">O408*AE415</f>
        <v>276.35883917677927</v>
      </c>
      <c r="P415" s="124">
        <f t="shared" ref="P415" si="2842">P408*AF415</f>
        <v>310.33659918427651</v>
      </c>
      <c r="Q415" s="124">
        <f t="shared" ref="Q415" si="2843">Q408*AG415</f>
        <v>348.69886039315077</v>
      </c>
      <c r="R415" s="68">
        <f>RATE(9,,-H415,Q415)</f>
        <v>0.12094555791432288</v>
      </c>
      <c r="S415" s="122" t="s">
        <v>66</v>
      </c>
      <c r="T415" s="116">
        <v>0.70000000000000007</v>
      </c>
      <c r="U415" s="116">
        <v>0.70038335319736411</v>
      </c>
      <c r="V415" s="116">
        <v>0.70076691633711929</v>
      </c>
      <c r="W415" s="116">
        <v>0.70115068953424042</v>
      </c>
      <c r="X415" s="116">
        <v>0.70153467290376448</v>
      </c>
      <c r="Y415" s="116">
        <v>0.70191886656079228</v>
      </c>
      <c r="Z415" s="116">
        <v>0.70230327062048659</v>
      </c>
      <c r="AA415" s="116">
        <v>0.70268788519807479</v>
      </c>
      <c r="AB415" s="116">
        <v>0.70307271040884567</v>
      </c>
      <c r="AC415" s="116">
        <v>0.70345774636815217</v>
      </c>
      <c r="AD415" s="116">
        <v>0.70384299319141008</v>
      </c>
      <c r="AE415" s="116">
        <v>0.70422845099409903</v>
      </c>
      <c r="AF415" s="116">
        <v>0.70461411989176093</v>
      </c>
      <c r="AG415" s="116">
        <v>0.70500000000000129</v>
      </c>
    </row>
    <row r="416" spans="1:33" s="117" customFormat="1" x14ac:dyDescent="0.35">
      <c r="A416" s="149"/>
      <c r="B416" s="122" t="s">
        <v>67</v>
      </c>
      <c r="C416" s="123"/>
      <c r="D416" s="124">
        <f>D408*T416</f>
        <v>22.935821999999973</v>
      </c>
      <c r="E416" s="124">
        <f t="shared" ref="E416" si="2844">E408*U416</f>
        <v>25.593023192604623</v>
      </c>
      <c r="F416" s="124">
        <f t="shared" ref="F416" si="2845">F408*V416</f>
        <v>28.575146211476742</v>
      </c>
      <c r="G416" s="124">
        <f t="shared" ref="G416" si="2846">G408*W416</f>
        <v>31.923813680130511</v>
      </c>
      <c r="H416" s="124">
        <f t="shared" ref="H416" si="2847">H408*X416</f>
        <v>35.686204009698287</v>
      </c>
      <c r="I416" s="124">
        <f t="shared" ref="I416" si="2848">I408*Y416</f>
        <v>39.915820963238659</v>
      </c>
      <c r="J416" s="124">
        <f t="shared" ref="J416" si="2849">J408*Z416</f>
        <v>44.67337347761336</v>
      </c>
      <c r="K416" s="124">
        <f t="shared" ref="K416" si="2850">K408*AA416</f>
        <v>50.02778203866869</v>
      </c>
      <c r="L416" s="124">
        <f t="shared" ref="L416" si="2851">L408*AB416</f>
        <v>56.057330384414421</v>
      </c>
      <c r="M416" s="124">
        <f t="shared" ref="M416" si="2852">M408*AC416</f>
        <v>62.850984177253963</v>
      </c>
      <c r="N416" s="124">
        <f t="shared" ref="N416" si="2853">N408*AD416</f>
        <v>70.509901602179639</v>
      </c>
      <c r="O416" s="124">
        <f t="shared" ref="O416" si="2854">O408*AE416</f>
        <v>79.149164685491314</v>
      </c>
      <c r="P416" s="124">
        <f t="shared" ref="P416" si="2855">P408*AF416</f>
        <v>88.899764572217038</v>
      </c>
      <c r="Q416" s="124">
        <f t="shared" ref="Q416" si="2856">Q408*AG416</f>
        <v>99.910879148108421</v>
      </c>
      <c r="R416" s="68">
        <f>RATE(9,,-H416,Q416)</f>
        <v>0.12118985263006915</v>
      </c>
      <c r="S416" s="122" t="s">
        <v>67</v>
      </c>
      <c r="T416" s="116">
        <v>0.20000000000000004</v>
      </c>
      <c r="U416" s="116">
        <v>0.2001531406133327</v>
      </c>
      <c r="V416" s="116">
        <v>0.2003063984869026</v>
      </c>
      <c r="W416" s="116">
        <v>0.20045977371049628</v>
      </c>
      <c r="X416" s="116">
        <v>0.20061326637396906</v>
      </c>
      <c r="Y416" s="116">
        <v>0.2007668765672449</v>
      </c>
      <c r="Z416" s="116">
        <v>0.20092060438031684</v>
      </c>
      <c r="AA416" s="116">
        <v>0.20107444990324672</v>
      </c>
      <c r="AB416" s="116">
        <v>0.20122841322616528</v>
      </c>
      <c r="AC416" s="116">
        <v>0.20138249443927231</v>
      </c>
      <c r="AD416" s="116">
        <v>0.20153669363283677</v>
      </c>
      <c r="AE416" s="116">
        <v>0.2016910108971966</v>
      </c>
      <c r="AF416" s="116">
        <v>0.20184544632275897</v>
      </c>
      <c r="AG416" s="116">
        <v>0.20200000000000032</v>
      </c>
    </row>
    <row r="417" spans="1:33" s="117" customFormat="1" x14ac:dyDescent="0.35">
      <c r="A417" s="149"/>
      <c r="B417" s="122" t="s">
        <v>68</v>
      </c>
      <c r="C417" s="123"/>
      <c r="D417" s="124">
        <f>D408*T417</f>
        <v>11.467910999999969</v>
      </c>
      <c r="E417" s="124">
        <f t="shared" ref="E417" si="2857">E408*U417</f>
        <v>12.718120799504677</v>
      </c>
      <c r="F417" s="124">
        <f t="shared" ref="F417" si="2858">F408*V417</f>
        <v>14.112602066005108</v>
      </c>
      <c r="G417" s="124">
        <f t="shared" ref="G417" si="2859">G408*W417</f>
        <v>15.668825626759221</v>
      </c>
      <c r="H417" s="124">
        <f t="shared" ref="H417" si="2860">H408*X417</f>
        <v>17.406468997891224</v>
      </c>
      <c r="I417" s="124">
        <f t="shared" ref="I417" si="2861">I408*Y417</f>
        <v>19.347705761467335</v>
      </c>
      <c r="J417" s="124">
        <f t="shared" ref="J417" si="2862">J408*Z417</f>
        <v>21.517534197845734</v>
      </c>
      <c r="K417" s="124">
        <f t="shared" ref="K417" si="2863">K408*AA417</f>
        <v>23.944150665478372</v>
      </c>
      <c r="L417" s="124">
        <f t="shared" ref="L417" si="2864">L408*AB417</f>
        <v>26.659374010865935</v>
      </c>
      <c r="M417" s="124">
        <f>M408*AC417</f>
        <v>29.699128198689671</v>
      </c>
      <c r="N417" s="124">
        <f t="shared" ref="N417" si="2865">N408*AD417</f>
        <v>33.103991393965927</v>
      </c>
      <c r="O417" s="124">
        <f t="shared" ref="O417" si="2866">O408*AE417</f>
        <v>36.919820924795559</v>
      </c>
      <c r="P417" s="124">
        <f t="shared" ref="P417" si="2867">P408*AF417</f>
        <v>41.198464929523695</v>
      </c>
      <c r="Q417" s="124">
        <f t="shared" ref="Q417" si="2868">Q408*AG417</f>
        <v>45.998573073138168</v>
      </c>
      <c r="R417" s="68">
        <f>RATE(9,,-H417,Q417)</f>
        <v>0.11401908467899316</v>
      </c>
      <c r="S417" s="122" t="s">
        <v>68</v>
      </c>
      <c r="T417" s="116">
        <f>1-SUM(T415:T416)</f>
        <v>9.9999999999999867E-2</v>
      </c>
      <c r="U417" s="116">
        <f t="shared" ref="U417:AG417" si="2869">1-SUM(U415:U416)</f>
        <v>9.9463506189303219E-2</v>
      </c>
      <c r="V417" s="116">
        <f t="shared" si="2869"/>
        <v>9.8926685175978135E-2</v>
      </c>
      <c r="W417" s="116">
        <f t="shared" si="2869"/>
        <v>9.8389536755263296E-2</v>
      </c>
      <c r="X417" s="116">
        <f t="shared" si="2869"/>
        <v>9.7852060722266487E-2</v>
      </c>
      <c r="Y417" s="116">
        <f t="shared" si="2869"/>
        <v>9.7314256871962823E-2</v>
      </c>
      <c r="Z417" s="116">
        <f t="shared" si="2869"/>
        <v>9.6776124999196522E-2</v>
      </c>
      <c r="AA417" s="116">
        <f t="shared" si="2869"/>
        <v>9.6237664898678466E-2</v>
      </c>
      <c r="AB417" s="116">
        <f t="shared" si="2869"/>
        <v>9.5698876364989083E-2</v>
      </c>
      <c r="AC417" s="116">
        <f t="shared" si="2869"/>
        <v>9.5159759192575466E-2</v>
      </c>
      <c r="AD417" s="116">
        <f t="shared" si="2869"/>
        <v>9.4620313175753146E-2</v>
      </c>
      <c r="AE417" s="116">
        <f t="shared" si="2869"/>
        <v>9.4080538108704426E-2</v>
      </c>
      <c r="AF417" s="116">
        <f t="shared" si="2869"/>
        <v>9.3540433785480159E-2</v>
      </c>
      <c r="AG417" s="116">
        <f t="shared" si="2869"/>
        <v>9.2999999999998417E-2</v>
      </c>
    </row>
    <row r="418" spans="1:33" x14ac:dyDescent="0.35">
      <c r="A418" s="1"/>
      <c r="D418" s="81" t="b">
        <f>D408=SUM(D415:D417)</f>
        <v>1</v>
      </c>
      <c r="E418" s="81" t="b">
        <f t="shared" ref="E418:Q418" si="2870">E408=SUM(E415:E417)</f>
        <v>1</v>
      </c>
      <c r="F418" s="81" t="b">
        <f t="shared" si="2870"/>
        <v>1</v>
      </c>
      <c r="G418" s="81" t="b">
        <f t="shared" si="2870"/>
        <v>1</v>
      </c>
      <c r="H418" s="81" t="b">
        <f t="shared" si="2870"/>
        <v>1</v>
      </c>
      <c r="I418" s="81" t="b">
        <f t="shared" si="2870"/>
        <v>1</v>
      </c>
      <c r="J418" s="81" t="b">
        <f t="shared" si="2870"/>
        <v>1</v>
      </c>
      <c r="K418" s="81" t="b">
        <f t="shared" si="2870"/>
        <v>1</v>
      </c>
      <c r="L418" s="81" t="b">
        <f t="shared" si="2870"/>
        <v>1</v>
      </c>
      <c r="M418" s="81" t="b">
        <f t="shared" si="2870"/>
        <v>1</v>
      </c>
      <c r="N418" s="81" t="b">
        <f t="shared" si="2870"/>
        <v>1</v>
      </c>
      <c r="O418" s="81" t="b">
        <f t="shared" si="2870"/>
        <v>1</v>
      </c>
      <c r="P418" s="81" t="b">
        <f t="shared" si="2870"/>
        <v>1</v>
      </c>
      <c r="Q418" s="81" t="b">
        <f t="shared" si="2870"/>
        <v>1</v>
      </c>
      <c r="R418" s="21"/>
    </row>
    <row r="419" spans="1:33" s="117" customFormat="1" x14ac:dyDescent="0.35">
      <c r="A419" s="149" t="s">
        <v>69</v>
      </c>
      <c r="B419" s="125" t="s">
        <v>70</v>
      </c>
      <c r="C419" s="126"/>
      <c r="D419" s="127">
        <f>D408*T419</f>
        <v>48.165226199999928</v>
      </c>
      <c r="E419" s="127">
        <f t="shared" ref="E419" si="2871">E408*U419</f>
        <v>53.714052359793875</v>
      </c>
      <c r="F419" s="127">
        <f t="shared" ref="F419" si="2872">F408*V419</f>
        <v>59.937941343597331</v>
      </c>
      <c r="G419" s="127">
        <f t="shared" ref="G419" si="2873">G408*W419</f>
        <v>66.92296311800051</v>
      </c>
      <c r="H419" s="127">
        <f t="shared" ref="H419" si="2874">H408*X419</f>
        <v>74.766625797103629</v>
      </c>
      <c r="I419" s="127">
        <f t="shared" ref="I419" si="2875">I408*Y419</f>
        <v>83.579453431938219</v>
      </c>
      <c r="J419" s="127">
        <f t="shared" ref="J419" si="2876">J408*Z419</f>
        <v>93.486788961916517</v>
      </c>
      <c r="K419" s="127">
        <f t="shared" ref="K419" si="2877">K408*AA419</f>
        <v>104.63085548099771</v>
      </c>
      <c r="L419" s="127">
        <f t="shared" ref="L419" si="2878">L408*AB419</f>
        <v>117.17311399627161</v>
      </c>
      <c r="M419" s="127">
        <f t="shared" ref="M419" si="2879">M408*AC419</f>
        <v>131.29696166422318</v>
      </c>
      <c r="N419" s="127">
        <f t="shared" ref="N419" si="2880">N408*AD419</f>
        <v>147.21082120506503</v>
      </c>
      <c r="O419" s="127">
        <f t="shared" ref="O419" si="2881">O408*AE419</f>
        <v>165.15167996366162</v>
      </c>
      <c r="P419" s="127">
        <f t="shared" ref="P419" si="2882">P408*AF419</f>
        <v>185.38914607605599</v>
      </c>
      <c r="Q419" s="127">
        <f t="shared" ref="Q419" si="2883">Q408*AG419</f>
        <v>208.2300996106612</v>
      </c>
      <c r="R419" s="68">
        <f>RATE(9,,-H419,Q419)</f>
        <v>0.12053697484769832</v>
      </c>
      <c r="S419" s="125" t="s">
        <v>70</v>
      </c>
      <c r="T419" s="116">
        <v>0.42</v>
      </c>
      <c r="U419" s="116">
        <v>0.42007683867486062</v>
      </c>
      <c r="V419" s="116">
        <v>0.4201536914072973</v>
      </c>
      <c r="W419" s="116">
        <v>0.42023055819988187</v>
      </c>
      <c r="X419" s="116">
        <v>0.42030743905518658</v>
      </c>
      <c r="Y419" s="116">
        <v>0.42038433397578434</v>
      </c>
      <c r="Z419" s="116">
        <v>0.42046124296424836</v>
      </c>
      <c r="AA419" s="116">
        <v>0.42053816602315214</v>
      </c>
      <c r="AB419" s="116">
        <v>0.42061510315507006</v>
      </c>
      <c r="AC419" s="116">
        <v>0.42069205436257667</v>
      </c>
      <c r="AD419" s="116">
        <v>0.4207690196482472</v>
      </c>
      <c r="AE419" s="116">
        <v>0.42084599901465702</v>
      </c>
      <c r="AF419" s="116">
        <v>0.42092299246438242</v>
      </c>
      <c r="AG419" s="137">
        <v>0.42099999999999982</v>
      </c>
    </row>
    <row r="420" spans="1:33" s="117" customFormat="1" x14ac:dyDescent="0.35">
      <c r="A420" s="149"/>
      <c r="B420" s="125" t="s">
        <v>71</v>
      </c>
      <c r="C420" s="126"/>
      <c r="D420" s="127">
        <f>D408*T420</f>
        <v>26.376195299999971</v>
      </c>
      <c r="E420" s="127">
        <f t="shared" ref="E420" si="2884">E408*U420</f>
        <v>29.429051124222902</v>
      </c>
      <c r="F420" s="127">
        <f t="shared" ref="F420" si="2885">F408*V420</f>
        <v>32.854885598324714</v>
      </c>
      <c r="G420" s="127">
        <f t="shared" ref="G420" si="2886">G408*W420</f>
        <v>36.701439153992283</v>
      </c>
      <c r="H420" s="127">
        <f t="shared" ref="H420" si="2887">H408*X420</f>
        <v>41.022819834940378</v>
      </c>
      <c r="I420" s="127">
        <f t="shared" ref="I420" si="2888">I408*Y420</f>
        <v>45.880384686674283</v>
      </c>
      <c r="J420" s="127">
        <f t="shared" ref="J420" si="2889">J408*Z420</f>
        <v>51.343747340246694</v>
      </c>
      <c r="K420" s="127">
        <f t="shared" ref="K420" si="2890">K408*AA420</f>
        <v>57.49193042908054</v>
      </c>
      <c r="L420" s="127">
        <f t="shared" ref="L420" si="2891">L408*AB420</f>
        <v>64.41468431160672</v>
      </c>
      <c r="M420" s="127">
        <f t="shared" ref="M420" si="2892">M408*AC420</f>
        <v>72.213996848718168</v>
      </c>
      <c r="N420" s="127">
        <f t="shared" ref="N420" si="2893">N408*AD420</f>
        <v>81.005822774765008</v>
      </c>
      <c r="O420" s="127">
        <f t="shared" ref="O420" si="2894">O408*AE420</f>
        <v>90.922065586537457</v>
      </c>
      <c r="P420" s="127">
        <f t="shared" ref="P420" si="2895">P408*AF420</f>
        <v>102.11284995251062</v>
      </c>
      <c r="Q420" s="127">
        <f t="shared" ref="Q420" si="2896">Q408*AG420</f>
        <v>114.74912852654028</v>
      </c>
      <c r="R420" s="68">
        <f>RATE(9,,-H420,Q420)</f>
        <v>0.12107840602382069</v>
      </c>
      <c r="S420" s="125" t="s">
        <v>71</v>
      </c>
      <c r="T420" s="116">
        <v>0.23000000000000007</v>
      </c>
      <c r="U420" s="116">
        <v>0.230153232131076</v>
      </c>
      <c r="V420" s="116">
        <v>0.23030656634948232</v>
      </c>
      <c r="W420" s="116">
        <v>0.23046000272323239</v>
      </c>
      <c r="X420" s="116">
        <v>0.23061354132038475</v>
      </c>
      <c r="Y420" s="116">
        <v>0.23076718220904338</v>
      </c>
      <c r="Z420" s="116">
        <v>0.23092092545735762</v>
      </c>
      <c r="AA420" s="116">
        <v>0.23107477113352223</v>
      </c>
      <c r="AB420" s="116">
        <v>0.23122871930577729</v>
      </c>
      <c r="AC420" s="116">
        <v>0.23138277004240856</v>
      </c>
      <c r="AD420" s="116">
        <v>0.23153692341174703</v>
      </c>
      <c r="AE420" s="116">
        <v>0.23169117948216938</v>
      </c>
      <c r="AF420" s="116">
        <v>0.23184553832209787</v>
      </c>
      <c r="AG420" s="137">
        <v>0.23200000000000018</v>
      </c>
    </row>
    <row r="421" spans="1:33" s="117" customFormat="1" x14ac:dyDescent="0.35">
      <c r="A421" s="149"/>
      <c r="B421" s="125" t="s">
        <v>72</v>
      </c>
      <c r="C421" s="126"/>
      <c r="D421" s="127">
        <f>D408*T421</f>
        <v>22.935821999999966</v>
      </c>
      <c r="E421" s="127">
        <f t="shared" ref="E421" si="2897">E408*U421</f>
        <v>25.583254843215318</v>
      </c>
      <c r="F421" s="127">
        <f t="shared" ref="F421" si="2898">F408*V421</f>
        <v>28.553337241089221</v>
      </c>
      <c r="G421" s="127">
        <f t="shared" ref="G421" si="2899">G408*W421</f>
        <v>31.887273570618493</v>
      </c>
      <c r="H421" s="127">
        <f t="shared" ref="H421" si="2900">H408*X421</f>
        <v>35.631752328952828</v>
      </c>
      <c r="I421" s="127">
        <f t="shared" ref="I421" si="2901">I408*Y421</f>
        <v>39.839703704080726</v>
      </c>
      <c r="J421" s="127">
        <f t="shared" ref="J421" si="2902">J408*Z421</f>
        <v>44.571165403898277</v>
      </c>
      <c r="K421" s="127">
        <f t="shared" ref="K421" si="2903">K408*AA421</f>
        <v>49.894272704339087</v>
      </c>
      <c r="L421" s="127">
        <f t="shared" ref="L421" si="2904">L408*AB421</f>
        <v>55.886391099462855</v>
      </c>
      <c r="M421" s="127">
        <f t="shared" ref="M421" si="2905">M408*AC421</f>
        <v>62.63541273628892</v>
      </c>
      <c r="N421" s="127">
        <f t="shared" ref="N421" si="2906">N408*AD421</f>
        <v>70.241241055121847</v>
      </c>
      <c r="O421" s="127">
        <f t="shared" ref="O421" si="2907">O408*AE421</f>
        <v>78.817491802440244</v>
      </c>
      <c r="P421" s="127">
        <f t="shared" ref="P421" si="2908">P408*AF421</f>
        <v>88.493442919951875</v>
      </c>
      <c r="Q421" s="127">
        <f t="shared" ref="Q421" si="2909">Q408*AG421</f>
        <v>99.416270835493734</v>
      </c>
      <c r="R421" s="68">
        <f>RATE(9,,-H421,Q421)</f>
        <v>0.12076191669886657</v>
      </c>
      <c r="S421" s="125" t="s">
        <v>72</v>
      </c>
      <c r="T421" s="116">
        <v>0.19999999999999998</v>
      </c>
      <c r="U421" s="116">
        <v>0.20007674612901705</v>
      </c>
      <c r="V421" s="116">
        <v>0.20015352170787573</v>
      </c>
      <c r="W421" s="116">
        <v>0.2002303267478768</v>
      </c>
      <c r="X421" s="116">
        <v>0.20030716126032544</v>
      </c>
      <c r="Y421" s="116">
        <v>0.20038402525653101</v>
      </c>
      <c r="Z421" s="116">
        <v>0.20046091874780753</v>
      </c>
      <c r="AA421" s="116">
        <v>0.20053784174547304</v>
      </c>
      <c r="AB421" s="116">
        <v>0.20061479426085005</v>
      </c>
      <c r="AC421" s="116">
        <v>0.20069177630526541</v>
      </c>
      <c r="AD421" s="116">
        <v>0.20076878789005037</v>
      </c>
      <c r="AE421" s="116">
        <v>0.20084582902654041</v>
      </c>
      <c r="AF421" s="116">
        <v>0.20092289972607549</v>
      </c>
      <c r="AG421" s="137">
        <v>0.20099999999999973</v>
      </c>
    </row>
    <row r="422" spans="1:33" s="117" customFormat="1" x14ac:dyDescent="0.35">
      <c r="A422" s="149"/>
      <c r="B422" s="125" t="s">
        <v>73</v>
      </c>
      <c r="C422" s="126"/>
      <c r="D422" s="127">
        <f>D408*T422</f>
        <v>11.467910999999983</v>
      </c>
      <c r="E422" s="127">
        <f t="shared" ref="E422" si="2910">E408*U422</f>
        <v>12.806213351066033</v>
      </c>
      <c r="F422" s="127">
        <f t="shared" ref="F422" si="2911">F408*V422</f>
        <v>14.309245742867759</v>
      </c>
      <c r="G422" s="127">
        <f t="shared" ref="G422" si="2912">G408*W422</f>
        <v>15.99823922827118</v>
      </c>
      <c r="H422" s="127">
        <f t="shared" ref="H422" si="2913">H408*X422</f>
        <v>17.897275007872228</v>
      </c>
      <c r="I422" s="127">
        <f t="shared" ref="I422" si="2914">I408*Y422</f>
        <v>20.033681355954567</v>
      </c>
      <c r="J422" s="127">
        <f t="shared" ref="J422" si="2915">J408*Z422</f>
        <v>22.438487707686409</v>
      </c>
      <c r="K422" s="127">
        <f t="shared" ref="K422" si="2916">K408*AA422</f>
        <v>25.146944397376458</v>
      </c>
      <c r="L422" s="127">
        <f t="shared" ref="L422" si="2917">L408*AB422</f>
        <v>28.199117835207414</v>
      </c>
      <c r="M422" s="127">
        <f t="shared" ref="M422" si="2918">M408*AC422</f>
        <v>31.640572411172855</v>
      </c>
      <c r="N422" s="127">
        <f t="shared" ref="N422" si="2919">N408*AD422</f>
        <v>35.523152152753021</v>
      </c>
      <c r="O422" s="127">
        <f t="shared" ref="O422" si="2920">O408*AE422</f>
        <v>39.9058771753785</v>
      </c>
      <c r="P422" s="127">
        <f t="shared" ref="P422" si="2921">P408*AF422</f>
        <v>44.855972296465701</v>
      </c>
      <c r="Q422" s="127">
        <f t="shared" ref="Q422" si="2922">Q408*AG422</f>
        <v>50.450047886668457</v>
      </c>
      <c r="R422" s="68">
        <f>RATE(9,,-H422,Q422)</f>
        <v>0.12203988968211425</v>
      </c>
      <c r="S422" s="125" t="s">
        <v>73</v>
      </c>
      <c r="T422" s="116">
        <v>9.9999999999999992E-2</v>
      </c>
      <c r="U422" s="116">
        <v>0.10015244398015953</v>
      </c>
      <c r="V422" s="116">
        <v>0.10030512035198993</v>
      </c>
      <c r="W422" s="116">
        <v>0.10045802946975833</v>
      </c>
      <c r="X422" s="116">
        <v>0.10061117168827188</v>
      </c>
      <c r="Y422" s="116">
        <v>0.10076454736287864</v>
      </c>
      <c r="Z422" s="116">
        <v>0.10091815684946834</v>
      </c>
      <c r="AA422" s="116">
        <v>0.10107200050447333</v>
      </c>
      <c r="AB422" s="116">
        <v>0.10122607868486923</v>
      </c>
      <c r="AC422" s="116">
        <v>0.10138039174817587</v>
      </c>
      <c r="AD422" s="116">
        <v>0.10153494005245813</v>
      </c>
      <c r="AE422" s="116">
        <v>0.10168972395632671</v>
      </c>
      <c r="AF422" s="116">
        <v>0.10184474381893897</v>
      </c>
      <c r="AG422" s="137">
        <v>0.10199999999999985</v>
      </c>
    </row>
    <row r="423" spans="1:33" s="117" customFormat="1" x14ac:dyDescent="0.35">
      <c r="A423" s="149"/>
      <c r="B423" s="125" t="s">
        <v>74</v>
      </c>
      <c r="C423" s="126"/>
      <c r="D423" s="127">
        <f>D408*T423</f>
        <v>5.7339554999999969</v>
      </c>
      <c r="E423" s="127">
        <f t="shared" ref="E423" si="2923">E408*U423</f>
        <v>6.3346359717016778</v>
      </c>
      <c r="F423" s="127">
        <f t="shared" ref="F423" si="2924">F408*V423</f>
        <v>7.0017714089707699</v>
      </c>
      <c r="G423" s="127">
        <f t="shared" ref="G423" si="2925">G408*W423</f>
        <v>7.743051692588188</v>
      </c>
      <c r="H423" s="127">
        <f t="shared" ref="H423" si="2926">H408*X423</f>
        <v>8.5670909059276585</v>
      </c>
      <c r="I423" s="127">
        <f t="shared" ref="I423" si="2927">I408*Y423</f>
        <v>9.4835420454166695</v>
      </c>
      <c r="J423" s="127">
        <f t="shared" ref="J423" si="2928">J408*Z423</f>
        <v>10.503226361830837</v>
      </c>
      <c r="K423" s="127">
        <f t="shared" ref="K423" si="2929">K408*AA423</f>
        <v>11.638279241078843</v>
      </c>
      <c r="L423" s="127">
        <f t="shared" ref="L423" si="2930">L408*AB423</f>
        <v>12.902314786584462</v>
      </c>
      <c r="M423" s="127">
        <f t="shared" ref="M423" si="2931">M408*AC423</f>
        <v>14.310611552902349</v>
      </c>
      <c r="N423" s="127">
        <f t="shared" ref="N423" si="2932">N408*AD423</f>
        <v>15.880322206410536</v>
      </c>
      <c r="O423" s="127">
        <f t="shared" ref="O423" si="2933">O408*AE423</f>
        <v>17.630710259048303</v>
      </c>
      <c r="P423" s="127">
        <f t="shared" ref="P423" si="2934">P408*AF423</f>
        <v>19.583417441033053</v>
      </c>
      <c r="Q423" s="127">
        <f t="shared" ref="Q423" si="2935">Q408*AG423</f>
        <v>21.762765755033666</v>
      </c>
      <c r="R423" s="68">
        <f>RATE(9,,-H423,Q423)</f>
        <v>0.10914096497967155</v>
      </c>
      <c r="S423" s="125" t="s">
        <v>74</v>
      </c>
      <c r="T423" s="116">
        <f>1-SUM(T419:T422)</f>
        <v>5.0000000000000044E-2</v>
      </c>
      <c r="U423" s="116">
        <f t="shared" ref="U423:AG423" si="2936">1-SUM(U419:U422)</f>
        <v>4.9540739084886765E-2</v>
      </c>
      <c r="V423" s="116">
        <f t="shared" si="2936"/>
        <v>4.9081100183354764E-2</v>
      </c>
      <c r="W423" s="116">
        <f t="shared" si="2936"/>
        <v>4.8621082859250597E-2</v>
      </c>
      <c r="X423" s="116">
        <f t="shared" si="2936"/>
        <v>4.8160686675831288E-2</v>
      </c>
      <c r="Y423" s="116">
        <f t="shared" si="2936"/>
        <v>4.7699911195762668E-2</v>
      </c>
      <c r="Z423" s="116">
        <f t="shared" si="2936"/>
        <v>4.7238755981118041E-2</v>
      </c>
      <c r="AA423" s="116">
        <f t="shared" si="2936"/>
        <v>4.6777220593379298E-2</v>
      </c>
      <c r="AB423" s="116">
        <f t="shared" si="2936"/>
        <v>4.631530459343336E-2</v>
      </c>
      <c r="AC423" s="116">
        <f t="shared" si="2936"/>
        <v>4.5853007541573509E-2</v>
      </c>
      <c r="AD423" s="116">
        <f t="shared" si="2936"/>
        <v>4.5390328997497287E-2</v>
      </c>
      <c r="AE423" s="116">
        <f t="shared" si="2936"/>
        <v>4.4927268520306485E-2</v>
      </c>
      <c r="AF423" s="116">
        <f t="shared" si="2936"/>
        <v>4.4463825668505264E-2</v>
      </c>
      <c r="AG423" s="116">
        <f t="shared" si="2936"/>
        <v>4.4000000000000372E-2</v>
      </c>
    </row>
    <row r="424" spans="1:33" x14ac:dyDescent="0.35">
      <c r="A424" s="2"/>
      <c r="D424" s="81" t="b">
        <f>D408=SUM(D419:D423)</f>
        <v>1</v>
      </c>
      <c r="E424" s="81" t="b">
        <f t="shared" ref="E424:Q424" si="2937">E408=SUM(E419:E423)</f>
        <v>1</v>
      </c>
      <c r="F424" s="81" t="b">
        <f t="shared" si="2937"/>
        <v>1</v>
      </c>
      <c r="G424" s="81" t="b">
        <f t="shared" si="2937"/>
        <v>1</v>
      </c>
      <c r="H424" s="81" t="b">
        <f t="shared" si="2937"/>
        <v>1</v>
      </c>
      <c r="I424" s="81" t="b">
        <f t="shared" si="2937"/>
        <v>1</v>
      </c>
      <c r="J424" s="81" t="b">
        <f t="shared" si="2937"/>
        <v>1</v>
      </c>
      <c r="K424" s="81" t="b">
        <f t="shared" si="2937"/>
        <v>1</v>
      </c>
      <c r="L424" s="81" t="b">
        <f t="shared" si="2937"/>
        <v>1</v>
      </c>
      <c r="M424" s="81" t="b">
        <f t="shared" si="2937"/>
        <v>1</v>
      </c>
      <c r="N424" s="81" t="b">
        <f t="shared" si="2937"/>
        <v>1</v>
      </c>
      <c r="O424" s="81" t="b">
        <f t="shared" si="2937"/>
        <v>1</v>
      </c>
      <c r="P424" s="81" t="b">
        <f t="shared" si="2937"/>
        <v>1</v>
      </c>
      <c r="Q424" s="81" t="b">
        <f t="shared" si="2937"/>
        <v>1</v>
      </c>
      <c r="R424" s="21"/>
    </row>
    <row r="425" spans="1:33" s="117" customFormat="1" x14ac:dyDescent="0.35">
      <c r="A425" s="149" t="s">
        <v>75</v>
      </c>
      <c r="B425" s="128" t="s">
        <v>76</v>
      </c>
      <c r="C425" s="129"/>
      <c r="D425" s="130">
        <f>D408*T425</f>
        <v>25.229404199999969</v>
      </c>
      <c r="E425" s="130">
        <f t="shared" ref="E425" si="2938">E408*U425</f>
        <v>28.179456900285942</v>
      </c>
      <c r="F425" s="130">
        <f t="shared" ref="F425" si="2939">F408*V425</f>
        <v>31.493275553220325</v>
      </c>
      <c r="G425" s="130">
        <f t="shared" ref="G425" si="2940">G408*W425</f>
        <v>35.217821070703287</v>
      </c>
      <c r="H425" s="130">
        <f t="shared" ref="H425" si="2941">H408*X425</f>
        <v>39.406368338972044</v>
      </c>
      <c r="I425" s="130">
        <f t="shared" ref="I425" si="2942">I408*Y425</f>
        <v>44.119386818394396</v>
      </c>
      <c r="J425" s="130">
        <f t="shared" ref="J425" si="2943">J408*Z425</f>
        <v>49.425548134451269</v>
      </c>
      <c r="K425" s="130">
        <f t="shared" ref="K425" si="2944">K408*AA425</f>
        <v>55.402879546216688</v>
      </c>
      <c r="L425" s="130">
        <f t="shared" ref="L425" si="2945">L408*AB425</f>
        <v>62.140085068943186</v>
      </c>
      <c r="M425" s="130">
        <f t="shared" ref="M425" si="2946">M408*AC425</f>
        <v>69.738059371963303</v>
      </c>
      <c r="N425" s="130">
        <f t="shared" ref="N425" si="2947">N408*AD425</f>
        <v>78.311623445246425</v>
      </c>
      <c r="O425" s="130">
        <f t="shared" ref="O425" si="2948">O408*AE425</f>
        <v>87.991515512915726</v>
      </c>
      <c r="P425" s="130">
        <f t="shared" ref="P425" si="2949">P408*AF425</f>
        <v>98.926675869261516</v>
      </c>
      <c r="Q425" s="130">
        <f>Q408*AG425</f>
        <v>111.28687033823948</v>
      </c>
      <c r="R425" s="68">
        <f t="shared" ref="R425:R430" si="2950">RATE(9,,-H425,Q425)</f>
        <v>0.12227038281122131</v>
      </c>
      <c r="S425" s="134" t="s">
        <v>76</v>
      </c>
      <c r="T425" s="116">
        <v>0.22000000000000003</v>
      </c>
      <c r="U425" s="116">
        <v>0.22038063877502673</v>
      </c>
      <c r="V425" s="116">
        <v>0.22076193612222184</v>
      </c>
      <c r="W425" s="116">
        <v>0.22114389318103134</v>
      </c>
      <c r="X425" s="116">
        <v>0.22152651109287255</v>
      </c>
      <c r="Y425" s="116">
        <v>0.22190979100113767</v>
      </c>
      <c r="Z425" s="116">
        <v>0.22229373405119721</v>
      </c>
      <c r="AA425" s="116">
        <v>0.22267834139040343</v>
      </c>
      <c r="AB425" s="116">
        <v>0.2230636141680935</v>
      </c>
      <c r="AC425" s="116">
        <v>0.22344955353559337</v>
      </c>
      <c r="AD425" s="116">
        <v>0.22383616064622086</v>
      </c>
      <c r="AE425" s="116">
        <v>0.22422343665528938</v>
      </c>
      <c r="AF425" s="116">
        <v>0.22461138272011094</v>
      </c>
      <c r="AG425" s="116">
        <v>0.22500000000000017</v>
      </c>
    </row>
    <row r="426" spans="1:33" s="117" customFormat="1" x14ac:dyDescent="0.35">
      <c r="A426" s="149"/>
      <c r="B426" s="128" t="s">
        <v>77</v>
      </c>
      <c r="C426" s="129"/>
      <c r="D426" s="130">
        <f>D408*T426</f>
        <v>43.578061799999936</v>
      </c>
      <c r="E426" s="130">
        <f t="shared" ref="E426" si="2951">E408*U426</f>
        <v>48.589538906999927</v>
      </c>
      <c r="F426" s="130">
        <f t="shared" ref="F426" si="2952">F408*V426</f>
        <v>54.209728907242919</v>
      </c>
      <c r="G426" s="130">
        <f t="shared" ref="G426" si="2953">G408*W426</f>
        <v>60.516127370118852</v>
      </c>
      <c r="H426" s="130">
        <f t="shared" ref="H426" si="2954">H408*X426</f>
        <v>67.596514272422752</v>
      </c>
      <c r="I426" s="130">
        <f t="shared" ref="I426" si="2955">I408*Y426</f>
        <v>75.550370785144494</v>
      </c>
      <c r="J426" s="130">
        <f t="shared" ref="J426" si="2956">J408*Z426</f>
        <v>84.490497994719931</v>
      </c>
      <c r="K426" s="130">
        <f t="shared" ref="K426" si="2957">K408*AA426</f>
        <v>94.544867256091607</v>
      </c>
      <c r="L426" s="130">
        <f t="shared" ref="L426" si="2958">L408*AB426</f>
        <v>105.85873637107056</v>
      </c>
      <c r="M426" s="130">
        <f t="shared" ref="M426" si="2959">M408*AC426</f>
        <v>118.59707098105606</v>
      </c>
      <c r="N426" s="130">
        <f t="shared" ref="N426" si="2960">N408*AD426</f>
        <v>132.94731656976387</v>
      </c>
      <c r="O426" s="130">
        <f t="shared" ref="O426" si="2961">O408*AE426</f>
        <v>149.12257341908514</v>
      </c>
      <c r="P426" s="130">
        <f t="shared" ref="P426" si="2962">P408*AF426</f>
        <v>167.36523490068654</v>
      </c>
      <c r="Q426" s="130">
        <f t="shared" ref="Q426" si="2963">Q408*AG426</f>
        <v>187.951158793471</v>
      </c>
      <c r="R426" s="68">
        <f t="shared" si="2950"/>
        <v>0.12033201097358624</v>
      </c>
      <c r="S426" s="134" t="s">
        <v>77</v>
      </c>
      <c r="T426" s="116">
        <v>0.38</v>
      </c>
      <c r="U426" s="116">
        <v>0.38</v>
      </c>
      <c r="V426" s="116">
        <v>0.38</v>
      </c>
      <c r="W426" s="116">
        <v>0.38</v>
      </c>
      <c r="X426" s="116">
        <v>0.38</v>
      </c>
      <c r="Y426" s="116">
        <v>0.38</v>
      </c>
      <c r="Z426" s="116">
        <v>0.38</v>
      </c>
      <c r="AA426" s="116">
        <v>0.38</v>
      </c>
      <c r="AB426" s="116">
        <v>0.38</v>
      </c>
      <c r="AC426" s="116">
        <v>0.38</v>
      </c>
      <c r="AD426" s="116">
        <v>0.38</v>
      </c>
      <c r="AE426" s="116">
        <v>0.38</v>
      </c>
      <c r="AF426" s="116">
        <v>0.38</v>
      </c>
      <c r="AG426" s="116">
        <v>0.38</v>
      </c>
    </row>
    <row r="427" spans="1:33" s="117" customFormat="1" x14ac:dyDescent="0.35">
      <c r="A427" s="149"/>
      <c r="B427" s="128" t="s">
        <v>78</v>
      </c>
      <c r="C427" s="129"/>
      <c r="D427" s="132">
        <f>D408*T427</f>
        <v>19.495448699999972</v>
      </c>
      <c r="E427" s="132">
        <f t="shared" ref="E427" si="2964">E408*U427</f>
        <v>21.842517448570561</v>
      </c>
      <c r="F427" s="132">
        <f t="shared" ref="F427" si="2965">F408*V427</f>
        <v>24.486783288344267</v>
      </c>
      <c r="G427" s="132">
        <f t="shared" ref="G427" si="2966">G408*W427</f>
        <v>27.467568688319652</v>
      </c>
      <c r="H427" s="132">
        <f t="shared" ref="H427" si="2967">H408*X427</f>
        <v>30.829606466103296</v>
      </c>
      <c r="I427" s="132">
        <f t="shared" ref="I427" si="2968">I408*Y427</f>
        <v>34.623811007243134</v>
      </c>
      <c r="J427" s="132">
        <f t="shared" ref="J427" si="2969">J408*Z427</f>
        <v>38.908163036964403</v>
      </c>
      <c r="K427" s="132">
        <f t="shared" ref="K427" si="2970">K408*AA427</f>
        <v>43.74872517114666</v>
      </c>
      <c r="L427" s="132">
        <f t="shared" ref="L427" si="2971">L408*AB427</f>
        <v>49.220808160584276</v>
      </c>
      <c r="M427" s="132">
        <f t="shared" ref="M427" si="2972">M408*AC427</f>
        <v>55.410310860010945</v>
      </c>
      <c r="N427" s="132">
        <f t="shared" ref="N427" si="2973">N408*AD427</f>
        <v>62.41526057163513</v>
      </c>
      <c r="O427" s="132">
        <f t="shared" ref="O427" si="2974">O408*AE427</f>
        <v>70.347584614471216</v>
      </c>
      <c r="P427" s="132">
        <f t="shared" ref="P427" si="2975">P408*AF427</f>
        <v>79.335148851894189</v>
      </c>
      <c r="Q427" s="132">
        <f t="shared" ref="Q427" si="2976">Q408*AG427</f>
        <v>89.524104583205769</v>
      </c>
      <c r="R427" s="68">
        <f t="shared" si="2950"/>
        <v>0.12574838830242951</v>
      </c>
      <c r="S427" s="134" t="s">
        <v>78</v>
      </c>
      <c r="T427" s="116">
        <v>0.16999999999999998</v>
      </c>
      <c r="U427" s="116">
        <v>0.17082188506343435</v>
      </c>
      <c r="V427" s="116">
        <v>0.17164774362720694</v>
      </c>
      <c r="W427" s="116">
        <v>0.17247759490167405</v>
      </c>
      <c r="X427" s="116">
        <v>0.17331145819006682</v>
      </c>
      <c r="Y427" s="116">
        <v>0.17414935288894001</v>
      </c>
      <c r="Z427" s="116">
        <v>0.17499129848862341</v>
      </c>
      <c r="AA427" s="116">
        <v>0.17583731457367507</v>
      </c>
      <c r="AB427" s="116">
        <v>0.17668742082333691</v>
      </c>
      <c r="AC427" s="116">
        <v>0.17754163701199244</v>
      </c>
      <c r="AD427" s="116">
        <v>0.17839998300962681</v>
      </c>
      <c r="AE427" s="116">
        <v>0.17926247878228888</v>
      </c>
      <c r="AF427" s="116">
        <v>0.18012914439255584</v>
      </c>
      <c r="AG427" s="116">
        <v>0.18099999999999969</v>
      </c>
    </row>
    <row r="428" spans="1:33" s="117" customFormat="1" x14ac:dyDescent="0.35">
      <c r="A428" s="149"/>
      <c r="B428" s="128" t="s">
        <v>79</v>
      </c>
      <c r="C428" s="129"/>
      <c r="D428" s="132">
        <f>D408*T428</f>
        <v>16.055075399999978</v>
      </c>
      <c r="E428" s="132">
        <f t="shared" ref="E428" si="2977">E408*U428</f>
        <v>17.911212731578104</v>
      </c>
      <c r="F428" s="132">
        <f t="shared" ref="F428" si="2978">F408*V428</f>
        <v>19.993886611473584</v>
      </c>
      <c r="G428" s="132">
        <f t="shared" ref="G428" si="2979">G408*W428</f>
        <v>22.332065491316186</v>
      </c>
      <c r="H428" s="132">
        <f t="shared" ref="H428" si="2980">H408*X428</f>
        <v>24.958578173441449</v>
      </c>
      <c r="I428" s="132">
        <f t="shared" ref="I428" si="2981">I408*Y428</f>
        <v>27.910647699871692</v>
      </c>
      <c r="J428" s="132">
        <f t="shared" ref="J428" si="2982">J408*Z428</f>
        <v>31.230501620023929</v>
      </c>
      <c r="K428" s="132">
        <f t="shared" ref="K428" si="2983">K408*AA428</f>
        <v>34.966069909745109</v>
      </c>
      <c r="L428" s="132">
        <f t="shared" ref="L428" si="2984">L408*AB428</f>
        <v>39.17178352677054</v>
      </c>
      <c r="M428" s="132">
        <f t="shared" ref="M428" si="2985">M408*AC428</f>
        <v>43.909488567472351</v>
      </c>
      <c r="N428" s="132">
        <f t="shared" ref="N428" si="2986">N408*AD428</f>
        <v>49.249493279593977</v>
      </c>
      <c r="O428" s="132">
        <f t="shared" ref="O428" si="2987">O408*AE428</f>
        <v>55.27176783535586</v>
      </c>
      <c r="P428" s="132">
        <f t="shared" ref="P428" si="2988">P408*AF428</f>
        <v>62.067319836855305</v>
      </c>
      <c r="Q428" s="132">
        <f t="shared" ref="Q428" si="2989">Q408*AG428</f>
        <v>69.739772078630153</v>
      </c>
      <c r="R428" s="68">
        <f t="shared" si="2950"/>
        <v>0.12094555791432292</v>
      </c>
      <c r="S428" s="134" t="s">
        <v>79</v>
      </c>
      <c r="T428" s="116">
        <v>0.14000000000000001</v>
      </c>
      <c r="U428" s="116">
        <v>0.14007667063947282</v>
      </c>
      <c r="V428" s="116">
        <v>0.14015338326742385</v>
      </c>
      <c r="W428" s="116">
        <v>0.1402301379068481</v>
      </c>
      <c r="X428" s="116">
        <v>0.14030693458075291</v>
      </c>
      <c r="Y428" s="116">
        <v>0.14038377331215846</v>
      </c>
      <c r="Z428" s="116">
        <v>0.14046065412409731</v>
      </c>
      <c r="AA428" s="116">
        <v>0.14053757703961495</v>
      </c>
      <c r="AB428" s="116">
        <v>0.14061454208176913</v>
      </c>
      <c r="AC428" s="116">
        <v>0.14069154927363042</v>
      </c>
      <c r="AD428" s="116">
        <v>0.14076859863828203</v>
      </c>
      <c r="AE428" s="116">
        <v>0.14084569019881982</v>
      </c>
      <c r="AF428" s="116">
        <v>0.14092282397835218</v>
      </c>
      <c r="AG428" s="116">
        <v>0.14100000000000026</v>
      </c>
    </row>
    <row r="429" spans="1:33" s="117" customFormat="1" x14ac:dyDescent="0.35">
      <c r="A429" s="149"/>
      <c r="B429" s="128" t="s">
        <v>80</v>
      </c>
      <c r="C429" s="129"/>
      <c r="D429" s="132">
        <f>D408*T429</f>
        <v>4.5871643999999971</v>
      </c>
      <c r="E429" s="132">
        <f t="shared" ref="E429" si="2990">E408*U429</f>
        <v>4.7429915068605917</v>
      </c>
      <c r="F429" s="132">
        <f t="shared" ref="F429" si="2991">F408*V429</f>
        <v>4.9070443035456028</v>
      </c>
      <c r="G429" s="132">
        <f t="shared" ref="G429" si="2992">G408*W429</f>
        <v>5.0798050596782414</v>
      </c>
      <c r="H429" s="132">
        <f t="shared" ref="H429" si="2993">H408*X429</f>
        <v>5.2617885779616982</v>
      </c>
      <c r="I429" s="132">
        <f t="shared" ref="I429" si="2994">I408*Y429</f>
        <v>5.4535445723778784</v>
      </c>
      <c r="J429" s="132">
        <f t="shared" ref="J429" si="2995">J408*Z429</f>
        <v>5.6556602350881171</v>
      </c>
      <c r="K429" s="132">
        <f t="shared" ref="K429" si="2996">K408*AA429</f>
        <v>5.8687630079675248</v>
      </c>
      <c r="L429" s="132">
        <f t="shared" ref="L429" si="2997">L408*AB429</f>
        <v>6.0935235761314575</v>
      </c>
      <c r="M429" s="132">
        <f t="shared" ref="M429" si="2998">M408*AC429</f>
        <v>6.3306591023735956</v>
      </c>
      <c r="N429" s="132">
        <f t="shared" ref="N429" si="2999">N408*AD429</f>
        <v>6.5809367231438101</v>
      </c>
      <c r="O429" s="132">
        <f t="shared" ref="O429" si="3000">O408*AE429</f>
        <v>6.845177328564823</v>
      </c>
      <c r="P429" s="132">
        <f t="shared" ref="P429" si="3001">P408*AF429</f>
        <v>7.1242596510357723</v>
      </c>
      <c r="Q429" s="132">
        <f t="shared" ref="Q429" si="3002">Q408*AG429</f>
        <v>7.4191246892159626</v>
      </c>
      <c r="R429" s="68">
        <f t="shared" si="2950"/>
        <v>3.8914767626856049E-2</v>
      </c>
      <c r="S429" s="134" t="s">
        <v>80</v>
      </c>
      <c r="T429" s="116">
        <v>4.0000000000000029E-2</v>
      </c>
      <c r="U429" s="116">
        <v>3.7093103024844219E-2</v>
      </c>
      <c r="V429" s="116">
        <v>3.4397457300292665E-2</v>
      </c>
      <c r="W429" s="116">
        <v>3.1897710685810869E-2</v>
      </c>
      <c r="X429" s="116">
        <v>2.9579626718136409E-2</v>
      </c>
      <c r="Y429" s="116">
        <v>2.7430003532306693E-2</v>
      </c>
      <c r="Z429" s="116">
        <v>2.543659867489231E-2</v>
      </c>
      <c r="AA429" s="116">
        <v>2.3588059381234896E-2</v>
      </c>
      <c r="AB429" s="116">
        <v>2.1873857919607213E-2</v>
      </c>
      <c r="AC429" s="116">
        <v>2.0284231634069862E-2</v>
      </c>
      <c r="AD429" s="116">
        <v>1.8810127344558929E-2</v>
      </c>
      <c r="AE429" s="116">
        <v>1.7443149787554083E-2</v>
      </c>
      <c r="AF429" s="116">
        <v>1.617551380368832E-2</v>
      </c>
      <c r="AG429" s="116">
        <v>1.5000000000000005E-2</v>
      </c>
    </row>
    <row r="430" spans="1:33" s="117" customFormat="1" x14ac:dyDescent="0.35">
      <c r="A430" s="149"/>
      <c r="B430" s="128" t="s">
        <v>81</v>
      </c>
      <c r="C430" s="129"/>
      <c r="D430" s="132">
        <f>D408*T430</f>
        <v>2.2935821999999972</v>
      </c>
      <c r="E430" s="132">
        <f t="shared" ref="E430" si="3003">E408*U430</f>
        <v>2.5761623544094507</v>
      </c>
      <c r="F430" s="132">
        <f t="shared" ref="F430" si="3004">F408*V430</f>
        <v>2.8952877971781397</v>
      </c>
      <c r="G430" s="132">
        <f t="shared" ref="G430" si="3005">G408*W430</f>
        <v>3.2558897119860211</v>
      </c>
      <c r="H430" s="132">
        <f t="shared" ref="H430" si="3006">H408*X430</f>
        <v>3.6635903909739982</v>
      </c>
      <c r="I430" s="132">
        <f t="shared" ref="I430" si="3007">I408*Y430</f>
        <v>4.1248034856721523</v>
      </c>
      <c r="J430" s="132">
        <f t="shared" ref="J430" si="3008">J408*Z430</f>
        <v>4.6468492665909409</v>
      </c>
      <c r="K430" s="132">
        <f t="shared" ref="K430" si="3009">K408*AA430</f>
        <v>5.2380872050443843</v>
      </c>
      <c r="L430" s="132">
        <f t="shared" ref="L430" si="3010">L408*AB430</f>
        <v>5.9080685572488525</v>
      </c>
      <c r="M430" s="132">
        <f t="shared" ref="M430" si="3011">M408*AC430</f>
        <v>6.6677120567657067</v>
      </c>
      <c r="N430" s="132">
        <f t="shared" ref="N430" si="3012">N408*AD430</f>
        <v>7.5295063168427454</v>
      </c>
      <c r="O430" s="132">
        <f t="shared" ref="O430" si="3013">O408*AE430</f>
        <v>8.507743120757425</v>
      </c>
      <c r="P430" s="132">
        <f t="shared" ref="P430" si="3014">P408*AF430</f>
        <v>9.6187864494552322</v>
      </c>
      <c r="Q430" s="132">
        <f t="shared" ref="Q430" si="3015">Q408*AG430</f>
        <v>10.881382877516744</v>
      </c>
      <c r="R430" s="68">
        <f t="shared" si="2950"/>
        <v>0.12857596726825893</v>
      </c>
      <c r="S430" s="134" t="s">
        <v>81</v>
      </c>
      <c r="T430" s="116">
        <v>2.0000000000000004E-2</v>
      </c>
      <c r="U430" s="116">
        <v>2.0147169878464571E-2</v>
      </c>
      <c r="V430" s="116">
        <v>2.0295422705585511E-2</v>
      </c>
      <c r="W430" s="116">
        <v>2.0444766450233912E-2</v>
      </c>
      <c r="X430" s="116">
        <v>2.0595209139919784E-2</v>
      </c>
      <c r="Y430" s="116">
        <v>2.0746758861223506E-2</v>
      </c>
      <c r="Z430" s="116">
        <v>2.0899423760230504E-2</v>
      </c>
      <c r="AA430" s="116">
        <v>2.1053212042969137E-2</v>
      </c>
      <c r="AB430" s="116">
        <v>2.1208131975851766E-2</v>
      </c>
      <c r="AC430" s="116">
        <v>2.1364191886119096E-2</v>
      </c>
      <c r="AD430" s="116">
        <v>2.1521400162287797E-2</v>
      </c>
      <c r="AE430" s="116">
        <v>2.1679765254601358E-2</v>
      </c>
      <c r="AF430" s="116">
        <v>2.1839295675484361E-2</v>
      </c>
      <c r="AG430" s="116">
        <v>2.2000000000000006E-2</v>
      </c>
    </row>
    <row r="431" spans="1:33" s="117" customFormat="1" x14ac:dyDescent="0.35">
      <c r="A431" s="149"/>
      <c r="B431" s="128" t="s">
        <v>82</v>
      </c>
      <c r="C431" s="129"/>
      <c r="D431" s="132">
        <f>D408*T431</f>
        <v>3.4403732999999854</v>
      </c>
      <c r="E431" s="132">
        <f t="shared" ref="E431" si="3016">E408*U431</f>
        <v>4.0253278012952283</v>
      </c>
      <c r="F431" s="132">
        <f t="shared" ref="F431" si="3017">F408*V431</f>
        <v>4.6711748738449499</v>
      </c>
      <c r="G431" s="132">
        <f t="shared" ref="G431" si="3018">G408*W431</f>
        <v>5.3836893713484137</v>
      </c>
      <c r="H431" s="132">
        <f t="shared" ref="H431" si="3019">H408*X431</f>
        <v>6.1691176549214726</v>
      </c>
      <c r="I431" s="132">
        <f t="shared" ref="I431" si="3020">I408*Y431</f>
        <v>7.0342008553607025</v>
      </c>
      <c r="J431" s="132">
        <f t="shared" ref="J431" si="3021">J408*Z431</f>
        <v>7.9861954877401624</v>
      </c>
      <c r="K431" s="132">
        <f t="shared" ref="K431" si="3022">K408*AA431</f>
        <v>9.0328901566606898</v>
      </c>
      <c r="L431" s="132">
        <f t="shared" ref="L431" si="3023">L408*AB431</f>
        <v>10.182616768384182</v>
      </c>
      <c r="M431" s="132">
        <f t="shared" ref="M431" si="3024">M408*AC431</f>
        <v>11.444254273663494</v>
      </c>
      <c r="N431" s="132">
        <f t="shared" ref="N431" si="3025">N408*AD431</f>
        <v>12.827222487889511</v>
      </c>
      <c r="O431" s="132">
        <f t="shared" ref="O431" si="3026">O408*AE431</f>
        <v>14.341462955915901</v>
      </c>
      <c r="P431" s="132">
        <f t="shared" ref="P431" si="3027">P408*AF431</f>
        <v>15.99740312682863</v>
      </c>
      <c r="Q431" s="132">
        <f t="shared" ref="Q431" si="3028">Q408*AG431</f>
        <v>17.805899254118209</v>
      </c>
      <c r="R431" s="68">
        <f>RATE(9,,-H431,Q431)</f>
        <v>0.12499083481838687</v>
      </c>
      <c r="S431" s="134" t="s">
        <v>82</v>
      </c>
      <c r="T431" s="116">
        <f>1-SUM(T425:T430)</f>
        <v>2.9999999999999916E-2</v>
      </c>
      <c r="U431" s="116">
        <f t="shared" ref="U431:AG431" si="3029">1-SUM(U425:U430)</f>
        <v>3.1480532618757273E-2</v>
      </c>
      <c r="V431" s="116">
        <f t="shared" si="3029"/>
        <v>3.2744056977269231E-2</v>
      </c>
      <c r="W431" s="116">
        <f t="shared" si="3029"/>
        <v>3.380589687440172E-2</v>
      </c>
      <c r="X431" s="116">
        <f t="shared" si="3029"/>
        <v>3.468026027825144E-2</v>
      </c>
      <c r="Y431" s="116">
        <f t="shared" si="3029"/>
        <v>3.5380320404233667E-2</v>
      </c>
      <c r="Z431" s="116">
        <f t="shared" si="3029"/>
        <v>3.5918290900959216E-2</v>
      </c>
      <c r="AA431" s="116">
        <f t="shared" si="3029"/>
        <v>3.6305495572102608E-2</v>
      </c>
      <c r="AB431" s="116">
        <f t="shared" si="3029"/>
        <v>3.655243303134148E-2</v>
      </c>
      <c r="AC431" s="116">
        <f t="shared" si="3029"/>
        <v>3.6668836658594883E-2</v>
      </c>
      <c r="AD431" s="116">
        <f t="shared" si="3029"/>
        <v>3.6663730199023692E-2</v>
      </c>
      <c r="AE431" s="116">
        <f t="shared" si="3029"/>
        <v>3.6545479321446361E-2</v>
      </c>
      <c r="AF431" s="116">
        <f t="shared" si="3029"/>
        <v>3.6321839429808267E-2</v>
      </c>
      <c r="AG431" s="116">
        <f t="shared" si="3029"/>
        <v>3.599999999999981E-2</v>
      </c>
    </row>
  </sheetData>
  <mergeCells count="85">
    <mergeCell ref="A425:A431"/>
    <mergeCell ref="A394:A395"/>
    <mergeCell ref="A397:A402"/>
    <mergeCell ref="A404:A406"/>
    <mergeCell ref="A409:A413"/>
    <mergeCell ref="A415:A417"/>
    <mergeCell ref="A419:A423"/>
    <mergeCell ref="A391:A392"/>
    <mergeCell ref="A339:A340"/>
    <mergeCell ref="A342:A343"/>
    <mergeCell ref="A345:A346"/>
    <mergeCell ref="A348:A353"/>
    <mergeCell ref="A355:A357"/>
    <mergeCell ref="A360:A364"/>
    <mergeCell ref="A366:A368"/>
    <mergeCell ref="A370:A374"/>
    <mergeCell ref="A376:A382"/>
    <mergeCell ref="A384:R384"/>
    <mergeCell ref="A388:A389"/>
    <mergeCell ref="A335:R335"/>
    <mergeCell ref="A278:A284"/>
    <mergeCell ref="A286:R286"/>
    <mergeCell ref="A290:A291"/>
    <mergeCell ref="A293:A294"/>
    <mergeCell ref="A296:A297"/>
    <mergeCell ref="A299:A304"/>
    <mergeCell ref="A306:A308"/>
    <mergeCell ref="A311:A315"/>
    <mergeCell ref="A317:A319"/>
    <mergeCell ref="A321:A325"/>
    <mergeCell ref="A327:A333"/>
    <mergeCell ref="A272:A276"/>
    <mergeCell ref="A219:A221"/>
    <mergeCell ref="A223:A227"/>
    <mergeCell ref="A229:A235"/>
    <mergeCell ref="A237:R237"/>
    <mergeCell ref="A241:A242"/>
    <mergeCell ref="A244:A245"/>
    <mergeCell ref="A247:A248"/>
    <mergeCell ref="A250:A255"/>
    <mergeCell ref="A257:A259"/>
    <mergeCell ref="A262:A266"/>
    <mergeCell ref="A268:A270"/>
    <mergeCell ref="A213:A217"/>
    <mergeCell ref="A159:A161"/>
    <mergeCell ref="A164:A168"/>
    <mergeCell ref="A170:A172"/>
    <mergeCell ref="A174:A178"/>
    <mergeCell ref="A180:A186"/>
    <mergeCell ref="A188:R188"/>
    <mergeCell ref="A192:A193"/>
    <mergeCell ref="A195:A196"/>
    <mergeCell ref="A198:A199"/>
    <mergeCell ref="A201:A206"/>
    <mergeCell ref="A208:A210"/>
    <mergeCell ref="A152:A157"/>
    <mergeCell ref="A99:A100"/>
    <mergeCell ref="A102:A107"/>
    <mergeCell ref="A109:A111"/>
    <mergeCell ref="A114:A118"/>
    <mergeCell ref="A120:A122"/>
    <mergeCell ref="A124:A128"/>
    <mergeCell ref="A130:A136"/>
    <mergeCell ref="A139:R139"/>
    <mergeCell ref="A143:A144"/>
    <mergeCell ref="A146:A147"/>
    <mergeCell ref="A149:A150"/>
    <mergeCell ref="A96:A97"/>
    <mergeCell ref="A43:A44"/>
    <mergeCell ref="A46:A47"/>
    <mergeCell ref="A49:A50"/>
    <mergeCell ref="A52:A57"/>
    <mergeCell ref="A59:A61"/>
    <mergeCell ref="A64:A68"/>
    <mergeCell ref="A70:A72"/>
    <mergeCell ref="A74:A78"/>
    <mergeCell ref="A80:A86"/>
    <mergeCell ref="A89:R89"/>
    <mergeCell ref="A93:A94"/>
    <mergeCell ref="A39:R39"/>
    <mergeCell ref="A2:R2"/>
    <mergeCell ref="A15:A19"/>
    <mergeCell ref="A21:A23"/>
    <mergeCell ref="A25:A29"/>
    <mergeCell ref="A31:A3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53D6-C553-4BA3-8EB2-C80AC29D0794}">
  <dimension ref="A2:AG284"/>
  <sheetViews>
    <sheetView showGridLines="0" zoomScale="71" zoomScaleNormal="71" workbookViewId="0">
      <selection activeCell="AG231" sqref="AG231"/>
    </sheetView>
  </sheetViews>
  <sheetFormatPr defaultRowHeight="14.5" x14ac:dyDescent="0.35"/>
  <cols>
    <col min="1" max="1" width="17.1796875" customWidth="1"/>
    <col min="2" max="2" width="27.81640625" customWidth="1"/>
    <col min="17" max="17" width="11.7265625" customWidth="1"/>
    <col min="18" max="18" width="26.453125" customWidth="1"/>
    <col min="19" max="19" width="28.90625" customWidth="1"/>
  </cols>
  <sheetData>
    <row r="2" spans="1:33" ht="25" x14ac:dyDescent="0.5">
      <c r="A2" s="146" t="s">
        <v>97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63"/>
    </row>
    <row r="3" spans="1:33" ht="25" x14ac:dyDescent="0.5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63"/>
    </row>
    <row r="4" spans="1:33" ht="25" x14ac:dyDescent="0.5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63"/>
    </row>
    <row r="5" spans="1:33" ht="25" x14ac:dyDescent="0.5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63"/>
    </row>
    <row r="6" spans="1:33" ht="25" x14ac:dyDescent="0.5">
      <c r="A6" s="96"/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63"/>
    </row>
    <row r="7" spans="1:33" ht="25" x14ac:dyDescent="0.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63"/>
    </row>
    <row r="8" spans="1:33" ht="25" x14ac:dyDescent="0.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63"/>
    </row>
    <row r="9" spans="1:33" ht="25" x14ac:dyDescent="0.5">
      <c r="A9" s="96"/>
      <c r="B9" s="96"/>
      <c r="C9" s="97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63"/>
    </row>
    <row r="10" spans="1:33" ht="25" x14ac:dyDescent="0.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63"/>
    </row>
    <row r="11" spans="1:33" ht="25" x14ac:dyDescent="0.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63"/>
    </row>
    <row r="12" spans="1:33" ht="25.5" thickBot="1" x14ac:dyDescent="0.55000000000000004">
      <c r="A12" s="96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63"/>
    </row>
    <row r="13" spans="1:33" ht="15.5" x14ac:dyDescent="0.35">
      <c r="A13" s="42"/>
      <c r="B13" s="43"/>
      <c r="C13" s="93"/>
      <c r="D13" s="91">
        <v>2023</v>
      </c>
      <c r="E13" s="65">
        <v>2024</v>
      </c>
      <c r="F13" s="65">
        <v>2025</v>
      </c>
      <c r="G13" s="65">
        <v>2026</v>
      </c>
      <c r="H13" s="65">
        <v>2027</v>
      </c>
      <c r="I13" s="65">
        <v>2028</v>
      </c>
      <c r="J13" s="65">
        <v>2029</v>
      </c>
      <c r="K13" s="65">
        <v>2030</v>
      </c>
      <c r="L13" s="65">
        <v>2031</v>
      </c>
      <c r="M13" s="65">
        <v>2032</v>
      </c>
      <c r="N13" s="65">
        <v>2033</v>
      </c>
      <c r="O13" s="65">
        <v>2034</v>
      </c>
      <c r="P13" s="65">
        <v>2035</v>
      </c>
      <c r="Q13" s="65">
        <v>2036</v>
      </c>
      <c r="R13" s="66" t="s">
        <v>84</v>
      </c>
    </row>
    <row r="14" spans="1:33" ht="16" thickBot="1" x14ac:dyDescent="0.4">
      <c r="A14" s="1"/>
      <c r="C14" s="21"/>
      <c r="D14" s="92">
        <f>SUM(D63+D113+D163+D212)</f>
        <v>390.06500000000028</v>
      </c>
      <c r="E14" s="92">
        <f t="shared" ref="E14:Q14" si="0">SUM(E63+E113+E163+E212)</f>
        <v>415.08376910000038</v>
      </c>
      <c r="F14" s="92">
        <f t="shared" si="0"/>
        <v>442.08441390744565</v>
      </c>
      <c r="G14" s="92">
        <f t="shared" si="0"/>
        <v>471.25407763850853</v>
      </c>
      <c r="H14" s="92">
        <f t="shared" si="0"/>
        <v>502.80097874010471</v>
      </c>
      <c r="I14" s="92">
        <f t="shared" si="0"/>
        <v>536.95723062875891</v>
      </c>
      <c r="J14" s="92">
        <f t="shared" si="0"/>
        <v>573.98210463608325</v>
      </c>
      <c r="K14" s="92">
        <f t="shared" si="0"/>
        <v>614.16581661410839</v>
      </c>
      <c r="L14" s="92">
        <f t="shared" si="0"/>
        <v>657.83393420034645</v>
      </c>
      <c r="M14" s="92">
        <f t="shared" si="0"/>
        <v>705.35252207645499</v>
      </c>
      <c r="N14" s="92">
        <f t="shared" si="0"/>
        <v>757.13416762613792</v>
      </c>
      <c r="O14" s="92">
        <f t="shared" si="0"/>
        <v>813.64506041634797</v>
      </c>
      <c r="P14" s="92">
        <f t="shared" si="0"/>
        <v>875.41333743374048</v>
      </c>
      <c r="Q14" s="92">
        <f t="shared" si="0"/>
        <v>943.03895398135433</v>
      </c>
      <c r="R14" s="131">
        <f t="shared" ref="R14:R19" si="1">RATE(9,,-H14,Q14)</f>
        <v>7.2378673826955203E-2</v>
      </c>
      <c r="T14" s="65">
        <v>2023</v>
      </c>
      <c r="U14" s="65">
        <v>2024</v>
      </c>
      <c r="V14" s="65">
        <v>2025</v>
      </c>
      <c r="W14" s="65">
        <v>2026</v>
      </c>
      <c r="X14" s="65">
        <v>2027</v>
      </c>
      <c r="Y14" s="65">
        <v>2028</v>
      </c>
      <c r="Z14" s="65">
        <v>2029</v>
      </c>
      <c r="AA14" s="65">
        <v>2030</v>
      </c>
      <c r="AB14" s="65">
        <v>2031</v>
      </c>
      <c r="AC14" s="65">
        <v>2032</v>
      </c>
      <c r="AD14" s="65">
        <v>2033</v>
      </c>
      <c r="AE14" s="65">
        <v>2034</v>
      </c>
      <c r="AF14" s="65">
        <v>2035</v>
      </c>
      <c r="AG14" s="65">
        <v>2036</v>
      </c>
    </row>
    <row r="15" spans="1:33" s="121" customFormat="1" x14ac:dyDescent="0.35">
      <c r="A15" s="147" t="s">
        <v>59</v>
      </c>
      <c r="B15" s="118" t="s">
        <v>60</v>
      </c>
      <c r="C15" s="119"/>
      <c r="D15" s="120">
        <f>D14*T15</f>
        <v>117.01950000000011</v>
      </c>
      <c r="E15" s="120">
        <f>E14*U15</f>
        <v>126.01050712935464</v>
      </c>
      <c r="F15" s="120">
        <f>F14*V15</f>
        <v>135.80819106309468</v>
      </c>
      <c r="G15" s="120">
        <f t="shared" ref="G15:Q15" si="2">G14*W15</f>
        <v>146.49595556613639</v>
      </c>
      <c r="H15" s="120">
        <f t="shared" si="2"/>
        <v>158.16718355525123</v>
      </c>
      <c r="I15" s="120">
        <f t="shared" si="2"/>
        <v>170.92662400205137</v>
      </c>
      <c r="J15" s="120">
        <f t="shared" si="2"/>
        <v>184.89200216352876</v>
      </c>
      <c r="K15" s="120">
        <f t="shared" si="2"/>
        <v>200.19589440602834</v>
      </c>
      <c r="L15" s="120">
        <f t="shared" si="2"/>
        <v>216.98791751335341</v>
      </c>
      <c r="M15" s="120">
        <f t="shared" si="2"/>
        <v>235.43729300180831</v>
      </c>
      <c r="N15" s="120">
        <f t="shared" si="2"/>
        <v>255.73586011716458</v>
      </c>
      <c r="O15" s="120">
        <f t="shared" si="2"/>
        <v>278.10162751562189</v>
      </c>
      <c r="P15" s="120">
        <f t="shared" si="2"/>
        <v>302.78297397205432</v>
      </c>
      <c r="Q15" s="120">
        <f t="shared" si="2"/>
        <v>330.06363389347371</v>
      </c>
      <c r="R15" s="131">
        <f t="shared" si="1"/>
        <v>8.5170356629711508E-2</v>
      </c>
      <c r="S15" s="118" t="s">
        <v>60</v>
      </c>
      <c r="T15" s="136">
        <v>0.30000000000000004</v>
      </c>
      <c r="U15" s="136">
        <v>0.30357849790796487</v>
      </c>
      <c r="V15" s="136">
        <v>0.3071996813068541</v>
      </c>
      <c r="W15" s="136">
        <v>0.31086405936313422</v>
      </c>
      <c r="X15" s="136">
        <v>0.31457214731677569</v>
      </c>
      <c r="Y15" s="136">
        <v>0.31832446655369928</v>
      </c>
      <c r="Z15" s="136">
        <v>0.32212154467908749</v>
      </c>
      <c r="AA15" s="136">
        <v>0.32596391559156912</v>
      </c>
      <c r="AB15" s="136">
        <v>0.32985211955829069</v>
      </c>
      <c r="AC15" s="136">
        <v>0.33378670329088106</v>
      </c>
      <c r="AD15" s="136">
        <v>0.33776822002232409</v>
      </c>
      <c r="AE15" s="136">
        <v>0.34179722958474706</v>
      </c>
      <c r="AF15" s="136">
        <v>0.34587429848813767</v>
      </c>
      <c r="AG15" s="136">
        <v>0.3499999999999997</v>
      </c>
    </row>
    <row r="16" spans="1:33" s="117" customFormat="1" x14ac:dyDescent="0.35">
      <c r="A16" s="148"/>
      <c r="B16" s="113" t="s">
        <v>61</v>
      </c>
      <c r="C16" s="114"/>
      <c r="D16" s="115">
        <f>D14*T16</f>
        <v>78.013000000000062</v>
      </c>
      <c r="E16" s="115">
        <f t="shared" ref="E16:Q16" si="3">E14*U16</f>
        <v>83.3289085372556</v>
      </c>
      <c r="F16" s="115">
        <f t="shared" si="3"/>
        <v>89.083052807321906</v>
      </c>
      <c r="G16" s="115">
        <f t="shared" si="3"/>
        <v>95.318007406597943</v>
      </c>
      <c r="H16" s="115">
        <f t="shared" si="3"/>
        <v>102.08123001720213</v>
      </c>
      <c r="I16" s="115">
        <f t="shared" si="3"/>
        <v>109.42572205110419</v>
      </c>
      <c r="J16" s="115">
        <f t="shared" si="3"/>
        <v>117.41079386736085</v>
      </c>
      <c r="K16" s="115">
        <f t="shared" si="3"/>
        <v>126.10295364654284</v>
      </c>
      <c r="L16" s="115">
        <f t="shared" si="3"/>
        <v>135.57694295120763</v>
      </c>
      <c r="M16" s="115">
        <f t="shared" si="3"/>
        <v>145.91694685376856</v>
      </c>
      <c r="N16" s="115">
        <f t="shared" si="3"/>
        <v>157.21801250242484</v>
      </c>
      <c r="O16" s="115">
        <f t="shared" si="3"/>
        <v>169.58771741372087</v>
      </c>
      <c r="P16" s="115">
        <f t="shared" si="3"/>
        <v>183.14813799964543</v>
      </c>
      <c r="Q16" s="115">
        <f t="shared" si="3"/>
        <v>198.03818033608451</v>
      </c>
      <c r="R16" s="131">
        <f t="shared" si="1"/>
        <v>7.6410969072358448E-2</v>
      </c>
      <c r="S16" s="113" t="s">
        <v>61</v>
      </c>
      <c r="T16" s="135">
        <v>0.2</v>
      </c>
      <c r="U16" s="135">
        <v>0.20075202824223254</v>
      </c>
      <c r="V16" s="135">
        <v>0.20150688421685059</v>
      </c>
      <c r="W16" s="135">
        <v>0.20226457855652732</v>
      </c>
      <c r="X16" s="135">
        <v>0.20302512193391614</v>
      </c>
      <c r="Y16" s="135">
        <v>0.20378852506180117</v>
      </c>
      <c r="Z16" s="135">
        <v>0.20455479869324805</v>
      </c>
      <c r="AA16" s="135">
        <v>0.20532395362175559</v>
      </c>
      <c r="AB16" s="135">
        <v>0.20609600068140757</v>
      </c>
      <c r="AC16" s="135">
        <v>0.20687095074702552</v>
      </c>
      <c r="AD16" s="135">
        <v>0.20764881473432178</v>
      </c>
      <c r="AE16" s="135">
        <v>0.20842960360005336</v>
      </c>
      <c r="AF16" s="135">
        <v>0.20921332834217618</v>
      </c>
      <c r="AG16" s="135">
        <v>0.2100000000000001</v>
      </c>
    </row>
    <row r="17" spans="1:33" s="117" customFormat="1" x14ac:dyDescent="0.35">
      <c r="A17" s="148"/>
      <c r="B17" s="113" t="s">
        <v>62</v>
      </c>
      <c r="C17" s="114"/>
      <c r="D17" s="115">
        <f>D14*T17</f>
        <v>39.006500000000059</v>
      </c>
      <c r="E17" s="115">
        <f t="shared" ref="E17:Q17" si="4">E14*U17</f>
        <v>42.094622260882495</v>
      </c>
      <c r="F17" s="115">
        <f t="shared" si="4"/>
        <v>45.466019502138558</v>
      </c>
      <c r="G17" s="115">
        <f t="shared" si="4"/>
        <v>49.150474661799691</v>
      </c>
      <c r="H17" s="115">
        <f t="shared" si="4"/>
        <v>53.181376584064374</v>
      </c>
      <c r="I17" s="115">
        <f t="shared" si="4"/>
        <v>57.596225095705805</v>
      </c>
      <c r="J17" s="115">
        <f t="shared" si="4"/>
        <v>62.437217824754626</v>
      </c>
      <c r="K17" s="115">
        <f t="shared" si="4"/>
        <v>67.751933919632265</v>
      </c>
      <c r="L17" s="115">
        <f t="shared" si="4"/>
        <v>73.594133004701092</v>
      </c>
      <c r="M17" s="115">
        <f t="shared" si="4"/>
        <v>80.024691627808735</v>
      </c>
      <c r="N17" s="115">
        <f t="shared" si="4"/>
        <v>87.112704306939349</v>
      </c>
      <c r="O17" s="115">
        <f t="shared" si="4"/>
        <v>94.936782309504125</v>
      </c>
      <c r="P17" s="115">
        <f t="shared" si="4"/>
        <v>103.58659081069706</v>
      </c>
      <c r="Q17" s="115">
        <f t="shared" si="4"/>
        <v>113.16467447776257</v>
      </c>
      <c r="R17" s="131">
        <f t="shared" si="1"/>
        <v>8.7524460267984786E-2</v>
      </c>
      <c r="S17" s="113" t="s">
        <v>62</v>
      </c>
      <c r="T17" s="135">
        <v>0.10000000000000007</v>
      </c>
      <c r="U17" s="135">
        <v>0.10141235431140461</v>
      </c>
      <c r="V17" s="135">
        <v>0.10284465606981855</v>
      </c>
      <c r="W17" s="135">
        <v>0.10429718700386978</v>
      </c>
      <c r="X17" s="135">
        <v>0.10577023282119258</v>
      </c>
      <c r="Y17" s="135">
        <v>0.1072640832646253</v>
      </c>
      <c r="Z17" s="135">
        <v>0.10877903216920175</v>
      </c>
      <c r="AA17" s="135">
        <v>0.11031537751994758</v>
      </c>
      <c r="AB17" s="135">
        <v>0.11187342151049273</v>
      </c>
      <c r="AC17" s="135">
        <v>0.11345347060251193</v>
      </c>
      <c r="AD17" s="135">
        <v>0.11505583558600457</v>
      </c>
      <c r="AE17" s="135">
        <v>0.11668083164042599</v>
      </c>
      <c r="AF17" s="135">
        <v>0.11832877839668221</v>
      </c>
      <c r="AG17" s="135">
        <v>0.12000000000000006</v>
      </c>
    </row>
    <row r="18" spans="1:33" s="117" customFormat="1" x14ac:dyDescent="0.35">
      <c r="A18" s="148"/>
      <c r="B18" s="113" t="s">
        <v>63</v>
      </c>
      <c r="C18" s="114"/>
      <c r="D18" s="115">
        <f>D14*T18</f>
        <v>27.304550000000024</v>
      </c>
      <c r="E18" s="115">
        <f>E14*U18</f>
        <v>29.210477404610685</v>
      </c>
      <c r="F18" s="115">
        <f t="shared" ref="F18:Q18" si="5">F14*V18</f>
        <v>31.276127176609251</v>
      </c>
      <c r="G18" s="115">
        <f t="shared" si="5"/>
        <v>33.517201561302279</v>
      </c>
      <c r="H18" s="115">
        <f t="shared" si="5"/>
        <v>35.951217936019958</v>
      </c>
      <c r="I18" s="115">
        <f t="shared" si="5"/>
        <v>38.597755580420547</v>
      </c>
      <c r="J18" s="115">
        <f t="shared" si="5"/>
        <v>41.478741628318588</v>
      </c>
      <c r="K18" s="115">
        <f t="shared" si="5"/>
        <v>44.618783367789185</v>
      </c>
      <c r="L18" s="115">
        <f t="shared" si="5"/>
        <v>48.045555540808671</v>
      </c>
      <c r="M18" s="115">
        <f t="shared" si="5"/>
        <v>51.790253120546978</v>
      </c>
      <c r="N18" s="115">
        <f t="shared" si="5"/>
        <v>55.888122300231984</v>
      </c>
      <c r="O18" s="115">
        <f t="shared" si="5"/>
        <v>60.379085222618862</v>
      </c>
      <c r="P18" s="115">
        <f t="shared" si="5"/>
        <v>65.308477454617673</v>
      </c>
      <c r="Q18" s="115">
        <f t="shared" si="5"/>
        <v>70.727921548601472</v>
      </c>
      <c r="R18" s="131">
        <f t="shared" si="1"/>
        <v>7.808507077041929E-2</v>
      </c>
      <c r="S18" s="113" t="s">
        <v>63</v>
      </c>
      <c r="T18" s="135">
        <v>7.0000000000000007E-2</v>
      </c>
      <c r="U18" s="135">
        <v>7.0372487625680713E-2</v>
      </c>
      <c r="V18" s="135">
        <v>7.0746957351808359E-2</v>
      </c>
      <c r="W18" s="135">
        <v>7.1123419725638515E-2</v>
      </c>
      <c r="X18" s="135">
        <v>7.1501885350551325E-2</v>
      </c>
      <c r="Y18" s="135">
        <v>7.1882364886350206E-2</v>
      </c>
      <c r="Z18" s="135">
        <v>7.2264869049562072E-2</v>
      </c>
      <c r="AA18" s="135">
        <v>7.2649408613739211E-2</v>
      </c>
      <c r="AB18" s="135">
        <v>7.3035994409762647E-2</v>
      </c>
      <c r="AC18" s="135">
        <v>7.3424637326147249E-2</v>
      </c>
      <c r="AD18" s="135">
        <v>7.3815348309348452E-2</v>
      </c>
      <c r="AE18" s="135">
        <v>7.4208138364070517E-2</v>
      </c>
      <c r="AF18" s="135">
        <v>7.4603018553576511E-2</v>
      </c>
      <c r="AG18" s="135">
        <v>7.4999999999999886E-2</v>
      </c>
    </row>
    <row r="19" spans="1:33" s="117" customFormat="1" x14ac:dyDescent="0.35">
      <c r="A19" s="148"/>
      <c r="B19" s="113" t="s">
        <v>64</v>
      </c>
      <c r="C19" s="114"/>
      <c r="D19" s="115">
        <f>D14*T19</f>
        <v>128.72145000000003</v>
      </c>
      <c r="E19" s="115">
        <f>E14*U19</f>
        <v>134.43925376789699</v>
      </c>
      <c r="F19" s="115">
        <f t="shared" ref="F19:Q19" si="6">F14*V19</f>
        <v>140.4510233582813</v>
      </c>
      <c r="G19" s="115">
        <f t="shared" si="6"/>
        <v>146.77243844267221</v>
      </c>
      <c r="H19" s="115">
        <f t="shared" si="6"/>
        <v>153.419970647567</v>
      </c>
      <c r="I19" s="115">
        <f t="shared" si="6"/>
        <v>160.41090389947695</v>
      </c>
      <c r="J19" s="115">
        <f t="shared" si="6"/>
        <v>167.76334915212041</v>
      </c>
      <c r="K19" s="115">
        <f t="shared" si="6"/>
        <v>175.49625127411574</v>
      </c>
      <c r="L19" s="115">
        <f t="shared" si="6"/>
        <v>183.62938519027566</v>
      </c>
      <c r="M19" s="115">
        <f t="shared" si="6"/>
        <v>192.1833374725224</v>
      </c>
      <c r="N19" s="115">
        <f t="shared" si="6"/>
        <v>201.17946839937727</v>
      </c>
      <c r="O19" s="115">
        <f t="shared" si="6"/>
        <v>210.6398479548823</v>
      </c>
      <c r="P19" s="115">
        <f t="shared" si="6"/>
        <v>220.58715719672594</v>
      </c>
      <c r="Q19" s="115">
        <f t="shared" si="6"/>
        <v>231.04454372543202</v>
      </c>
      <c r="R19" s="131">
        <f t="shared" si="1"/>
        <v>4.6543033960955348E-2</v>
      </c>
      <c r="S19" s="113" t="s">
        <v>64</v>
      </c>
      <c r="T19" s="135">
        <f>1-SUM(T15:T18)</f>
        <v>0.32999999999999985</v>
      </c>
      <c r="U19" s="135">
        <f t="shared" ref="U19:AG19" si="7">1-SUM(U15:U18)</f>
        <v>0.32388463191271732</v>
      </c>
      <c r="V19" s="135">
        <f t="shared" si="7"/>
        <v>0.31770182105466849</v>
      </c>
      <c r="W19" s="135">
        <f t="shared" si="7"/>
        <v>0.31145075535083011</v>
      </c>
      <c r="X19" s="135">
        <f t="shared" si="7"/>
        <v>0.30513061257756424</v>
      </c>
      <c r="Y19" s="135">
        <f t="shared" si="7"/>
        <v>0.29874056023352391</v>
      </c>
      <c r="Z19" s="135">
        <f t="shared" si="7"/>
        <v>0.29227975540890061</v>
      </c>
      <c r="AA19" s="135">
        <f t="shared" si="7"/>
        <v>0.28574734465298846</v>
      </c>
      <c r="AB19" s="135">
        <f t="shared" si="7"/>
        <v>0.27914246384004637</v>
      </c>
      <c r="AC19" s="135">
        <f t="shared" si="7"/>
        <v>0.27246423803343423</v>
      </c>
      <c r="AD19" s="135">
        <f t="shared" si="7"/>
        <v>0.26571178134800122</v>
      </c>
      <c r="AE19" s="135">
        <f t="shared" si="7"/>
        <v>0.25888419681070318</v>
      </c>
      <c r="AF19" s="135">
        <f t="shared" si="7"/>
        <v>0.25198057621942738</v>
      </c>
      <c r="AG19" s="135">
        <f t="shared" si="7"/>
        <v>0.24500000000000022</v>
      </c>
    </row>
    <row r="20" spans="1:33" x14ac:dyDescent="0.35">
      <c r="A20" s="1"/>
      <c r="D20" s="81" t="b">
        <f>D14=SUM(D15:D19)</f>
        <v>1</v>
      </c>
      <c r="E20" s="81" t="b">
        <f>E14=SUM(E15:E19)</f>
        <v>1</v>
      </c>
      <c r="F20" s="81" t="b">
        <f t="shared" ref="F20:Q20" si="8">F14=SUM(F15:F19)</f>
        <v>1</v>
      </c>
      <c r="G20" s="81" t="b">
        <f t="shared" si="8"/>
        <v>1</v>
      </c>
      <c r="H20" s="81" t="b">
        <f t="shared" si="8"/>
        <v>1</v>
      </c>
      <c r="I20" s="81" t="b">
        <f t="shared" si="8"/>
        <v>1</v>
      </c>
      <c r="J20" s="81" t="b">
        <f t="shared" si="8"/>
        <v>1</v>
      </c>
      <c r="K20" s="81" t="b">
        <f t="shared" si="8"/>
        <v>1</v>
      </c>
      <c r="L20" s="81" t="b">
        <f t="shared" si="8"/>
        <v>1</v>
      </c>
      <c r="M20" s="81" t="b">
        <f t="shared" si="8"/>
        <v>1</v>
      </c>
      <c r="N20" s="81" t="b">
        <f t="shared" si="8"/>
        <v>1</v>
      </c>
      <c r="O20" s="81" t="b">
        <f t="shared" si="8"/>
        <v>1</v>
      </c>
      <c r="P20" s="81" t="b">
        <f t="shared" si="8"/>
        <v>1</v>
      </c>
      <c r="Q20" s="81" t="b">
        <f t="shared" si="8"/>
        <v>1</v>
      </c>
      <c r="R20" s="21"/>
      <c r="T20" s="12"/>
    </row>
    <row r="21" spans="1:33" s="117" customFormat="1" x14ac:dyDescent="0.35">
      <c r="A21" s="149" t="s">
        <v>65</v>
      </c>
      <c r="B21" s="122" t="s">
        <v>66</v>
      </c>
      <c r="C21" s="123"/>
      <c r="D21" s="124">
        <f>D14*T21</f>
        <v>273.04550000000017</v>
      </c>
      <c r="E21" s="124">
        <f t="shared" ref="E21:Q21" si="9">E14*U21</f>
        <v>290.59056789070024</v>
      </c>
      <c r="F21" s="124">
        <f t="shared" si="9"/>
        <v>309.52710272196691</v>
      </c>
      <c r="G21" s="124">
        <f t="shared" si="9"/>
        <v>329.98660528794949</v>
      </c>
      <c r="H21" s="124">
        <f t="shared" si="9"/>
        <v>352.11539311153177</v>
      </c>
      <c r="I21" s="124">
        <f t="shared" si="9"/>
        <v>376.07658345191152</v>
      </c>
      <c r="J21" s="124">
        <f t="shared" si="9"/>
        <v>402.05238806278254</v>
      </c>
      <c r="K21" s="124">
        <f t="shared" si="9"/>
        <v>430.24677630036035</v>
      </c>
      <c r="L21" s="124">
        <f t="shared" si="9"/>
        <v>460.88857482282731</v>
      </c>
      <c r="M21" s="124">
        <f t="shared" si="9"/>
        <v>494.23508643034057</v>
      </c>
      <c r="N21" s="124">
        <f t="shared" si="9"/>
        <v>530.57632823647043</v>
      </c>
      <c r="O21" s="124">
        <f t="shared" si="9"/>
        <v>570.24001118871888</v>
      </c>
      <c r="P21" s="124">
        <f t="shared" si="9"/>
        <v>613.59741005355716</v>
      </c>
      <c r="Q21" s="124">
        <f t="shared" si="9"/>
        <v>661.07030674092937</v>
      </c>
      <c r="R21" s="131">
        <f>RATE(9,,-H21,Q21)</f>
        <v>7.2496414138767784E-2</v>
      </c>
      <c r="S21" s="122" t="s">
        <v>66</v>
      </c>
      <c r="T21" s="135">
        <v>0.7</v>
      </c>
      <c r="U21" s="135">
        <v>0.70007692307692304</v>
      </c>
      <c r="V21" s="135">
        <v>0.70015384615384613</v>
      </c>
      <c r="W21" s="135">
        <v>0.70023076923076921</v>
      </c>
      <c r="X21" s="135">
        <v>0.7003076923076923</v>
      </c>
      <c r="Y21" s="135">
        <v>0.70038461538461538</v>
      </c>
      <c r="Z21" s="135">
        <v>0.70046153846153836</v>
      </c>
      <c r="AA21" s="135">
        <v>0.70053846153846144</v>
      </c>
      <c r="AB21" s="135">
        <v>0.70061538461538453</v>
      </c>
      <c r="AC21" s="135">
        <v>0.70069230769230761</v>
      </c>
      <c r="AD21" s="135">
        <v>0.7007692307692307</v>
      </c>
      <c r="AE21" s="135">
        <v>0.70084615384615379</v>
      </c>
      <c r="AF21" s="135">
        <v>0.70092307692307687</v>
      </c>
      <c r="AG21" s="135">
        <v>0.70099999999999996</v>
      </c>
    </row>
    <row r="22" spans="1:33" s="117" customFormat="1" x14ac:dyDescent="0.35">
      <c r="A22" s="149"/>
      <c r="B22" s="122" t="s">
        <v>67</v>
      </c>
      <c r="C22" s="123"/>
      <c r="D22" s="124">
        <f>D14*T22</f>
        <v>78.013000000000062</v>
      </c>
      <c r="E22" s="124">
        <f t="shared" ref="E22:Q22" si="10">E14*U22</f>
        <v>83.048683340700066</v>
      </c>
      <c r="F22" s="124">
        <f t="shared" si="10"/>
        <v>88.484895768244115</v>
      </c>
      <c r="G22" s="124">
        <f t="shared" si="10"/>
        <v>94.359566468695206</v>
      </c>
      <c r="H22" s="124">
        <f t="shared" si="10"/>
        <v>100.71490374147943</v>
      </c>
      <c r="I22" s="124">
        <f t="shared" si="10"/>
        <v>107.59796813753208</v>
      </c>
      <c r="J22" s="124">
        <f t="shared" si="10"/>
        <v>115.061335744741</v>
      </c>
      <c r="K22" s="124">
        <f t="shared" si="10"/>
        <v>123.16386799330621</v>
      </c>
      <c r="L22" s="124">
        <f t="shared" si="10"/>
        <v>131.97160772265411</v>
      </c>
      <c r="M22" s="124">
        <f t="shared" si="10"/>
        <v>141.55882539211316</v>
      </c>
      <c r="N22" s="124">
        <f t="shared" si="10"/>
        <v>152.00924442340155</v>
      </c>
      <c r="O22" s="124">
        <f t="shared" si="10"/>
        <v>163.41748098054495</v>
      </c>
      <c r="P22" s="124">
        <f t="shared" si="10"/>
        <v>175.89074133668694</v>
      </c>
      <c r="Q22" s="124">
        <f t="shared" si="10"/>
        <v>189.55082975025223</v>
      </c>
      <c r="R22" s="131">
        <f>RATE(9,,-H22,Q22)</f>
        <v>7.2789862371705372E-2</v>
      </c>
      <c r="S22" s="122" t="s">
        <v>67</v>
      </c>
      <c r="T22" s="135">
        <v>0.2</v>
      </c>
      <c r="U22" s="135">
        <v>0.20007692307692307</v>
      </c>
      <c r="V22" s="135">
        <v>0.20015384615384615</v>
      </c>
      <c r="W22" s="135">
        <v>0.20023076923076924</v>
      </c>
      <c r="X22" s="135">
        <v>0.2003076923076923</v>
      </c>
      <c r="Y22" s="135">
        <v>0.20038461538461538</v>
      </c>
      <c r="Z22" s="135">
        <v>0.20046153846153847</v>
      </c>
      <c r="AA22" s="135">
        <v>0.20053846153846155</v>
      </c>
      <c r="AB22" s="135">
        <v>0.20061538461538461</v>
      </c>
      <c r="AC22" s="135">
        <v>0.2006923076923077</v>
      </c>
      <c r="AD22" s="135">
        <v>0.20076923076923078</v>
      </c>
      <c r="AE22" s="135">
        <v>0.20084615384615384</v>
      </c>
      <c r="AF22" s="135">
        <v>0.20092307692307693</v>
      </c>
      <c r="AG22" s="135">
        <v>0.20100000000000001</v>
      </c>
    </row>
    <row r="23" spans="1:33" s="117" customFormat="1" x14ac:dyDescent="0.35">
      <c r="A23" s="149"/>
      <c r="B23" s="122" t="s">
        <v>68</v>
      </c>
      <c r="C23" s="123"/>
      <c r="D23" s="124">
        <f>D14*T23</f>
        <v>39.006500000000059</v>
      </c>
      <c r="E23" s="124">
        <f t="shared" ref="E23:L23" si="11">E14*U23</f>
        <v>41.444517868600066</v>
      </c>
      <c r="F23" s="124">
        <f t="shared" si="11"/>
        <v>44.072415417234609</v>
      </c>
      <c r="G23" s="124">
        <f t="shared" si="11"/>
        <v>46.907905881863869</v>
      </c>
      <c r="H23" s="124">
        <f t="shared" si="11"/>
        <v>49.970681887093491</v>
      </c>
      <c r="I23" s="124">
        <f t="shared" si="11"/>
        <v>53.282679039315312</v>
      </c>
      <c r="J23" s="124">
        <f t="shared" si="11"/>
        <v>56.868380828559687</v>
      </c>
      <c r="K23" s="124">
        <f t="shared" si="11"/>
        <v>60.755172320441851</v>
      </c>
      <c r="L23" s="124">
        <f t="shared" si="11"/>
        <v>64.973751654865026</v>
      </c>
      <c r="M23" s="124">
        <f>M14*AC23</f>
        <v>69.558610254001209</v>
      </c>
      <c r="N23" s="124">
        <f t="shared" ref="N23:Q23" si="12">N14*AD23</f>
        <v>74.54859496626591</v>
      </c>
      <c r="O23" s="124">
        <f t="shared" si="12"/>
        <v>79.987568247084155</v>
      </c>
      <c r="P23" s="124">
        <f t="shared" si="12"/>
        <v>85.925186043496467</v>
      </c>
      <c r="Q23" s="124">
        <f t="shared" si="12"/>
        <v>92.417817490172808</v>
      </c>
      <c r="R23" s="131">
        <f>RATE(9,,-H23,Q23)</f>
        <v>7.0708275021136774E-2</v>
      </c>
      <c r="S23" s="122" t="s">
        <v>68</v>
      </c>
      <c r="T23" s="135">
        <f>1-SUM(T21:T22)</f>
        <v>0.10000000000000009</v>
      </c>
      <c r="U23" s="135">
        <f t="shared" ref="U23:AG23" si="13">1-SUM(U21:U22)</f>
        <v>9.9846153846153918E-2</v>
      </c>
      <c r="V23" s="135">
        <f t="shared" si="13"/>
        <v>9.9692307692307747E-2</v>
      </c>
      <c r="W23" s="135">
        <f t="shared" si="13"/>
        <v>9.9538461538461576E-2</v>
      </c>
      <c r="X23" s="135">
        <f t="shared" si="13"/>
        <v>9.9384615384615405E-2</v>
      </c>
      <c r="Y23" s="135">
        <f t="shared" si="13"/>
        <v>9.9230769230769234E-2</v>
      </c>
      <c r="Z23" s="135">
        <f t="shared" si="13"/>
        <v>9.9076923076923173E-2</v>
      </c>
      <c r="AA23" s="135">
        <f t="shared" si="13"/>
        <v>9.8923076923077002E-2</v>
      </c>
      <c r="AB23" s="135">
        <f t="shared" si="13"/>
        <v>9.8769230769230831E-2</v>
      </c>
      <c r="AC23" s="135">
        <f t="shared" si="13"/>
        <v>9.861538461538466E-2</v>
      </c>
      <c r="AD23" s="135">
        <f t="shared" si="13"/>
        <v>9.8461538461538489E-2</v>
      </c>
      <c r="AE23" s="135">
        <f t="shared" si="13"/>
        <v>9.8307692307692429E-2</v>
      </c>
      <c r="AF23" s="135">
        <f t="shared" si="13"/>
        <v>9.8153846153846258E-2</v>
      </c>
      <c r="AG23" s="135">
        <f t="shared" si="13"/>
        <v>9.8000000000000087E-2</v>
      </c>
    </row>
    <row r="24" spans="1:33" ht="15" thickBot="1" x14ac:dyDescent="0.4">
      <c r="A24" s="1"/>
      <c r="D24" s="81" t="b">
        <f>D14=SUM(D21:D23)</f>
        <v>1</v>
      </c>
      <c r="E24" s="81" t="b">
        <f t="shared" ref="E24:Q24" si="14">E14=SUM(E21:E23)</f>
        <v>1</v>
      </c>
      <c r="F24" s="81" t="b">
        <f t="shared" si="14"/>
        <v>1</v>
      </c>
      <c r="G24" s="81" t="b">
        <f t="shared" si="14"/>
        <v>1</v>
      </c>
      <c r="H24" s="81" t="b">
        <f t="shared" si="14"/>
        <v>1</v>
      </c>
      <c r="I24" s="81" t="b">
        <f t="shared" si="14"/>
        <v>1</v>
      </c>
      <c r="J24" s="81" t="b">
        <f t="shared" si="14"/>
        <v>1</v>
      </c>
      <c r="K24" s="81" t="b">
        <f t="shared" si="14"/>
        <v>1</v>
      </c>
      <c r="L24" s="81" t="b">
        <f t="shared" si="14"/>
        <v>1</v>
      </c>
      <c r="M24" s="81" t="b">
        <f t="shared" si="14"/>
        <v>1</v>
      </c>
      <c r="N24" s="81" t="b">
        <f t="shared" si="14"/>
        <v>1</v>
      </c>
      <c r="O24" s="81" t="b">
        <f t="shared" si="14"/>
        <v>1</v>
      </c>
      <c r="P24" s="81" t="b">
        <f t="shared" si="14"/>
        <v>1</v>
      </c>
      <c r="Q24" s="81" t="b">
        <f t="shared" si="14"/>
        <v>1</v>
      </c>
      <c r="R24" s="21"/>
    </row>
    <row r="25" spans="1:33" s="117" customFormat="1" x14ac:dyDescent="0.35">
      <c r="A25" s="149" t="s">
        <v>69</v>
      </c>
      <c r="B25" s="125" t="s">
        <v>70</v>
      </c>
      <c r="C25" s="126"/>
      <c r="D25" s="127">
        <f>D14*T25</f>
        <v>117.01950000000006</v>
      </c>
      <c r="E25" s="127">
        <f t="shared" ref="E25:Q25" si="15">E14*U25</f>
        <v>125.52880350954173</v>
      </c>
      <c r="F25" s="127">
        <f t="shared" si="15"/>
        <v>134.77186070137631</v>
      </c>
      <c r="G25" s="127">
        <f t="shared" si="15"/>
        <v>144.82232810324163</v>
      </c>
      <c r="H25" s="127">
        <f t="shared" si="15"/>
        <v>155.76249714091099</v>
      </c>
      <c r="I25" s="127">
        <f t="shared" si="15"/>
        <v>167.68447850741583</v>
      </c>
      <c r="J25" s="127">
        <f t="shared" si="15"/>
        <v>180.69157564365105</v>
      </c>
      <c r="K25" s="127">
        <f t="shared" si="15"/>
        <v>194.89988206324156</v>
      </c>
      <c r="L25" s="127">
        <f t="shared" si="15"/>
        <v>210.44014447569231</v>
      </c>
      <c r="M25" s="127">
        <f t="shared" si="15"/>
        <v>227.45994255463796</v>
      </c>
      <c r="N25" s="127">
        <f t="shared" si="15"/>
        <v>246.12624718706175</v>
      </c>
      <c r="O25" s="127">
        <f t="shared" si="15"/>
        <v>266.62843266622394</v>
      </c>
      <c r="P25" s="127">
        <f t="shared" si="15"/>
        <v>289.18183524882551</v>
      </c>
      <c r="Q25" s="127">
        <f t="shared" si="15"/>
        <v>314.03197167579083</v>
      </c>
      <c r="R25" s="131">
        <f>RATE(9,,-H25,Q25)</f>
        <v>8.1022047883001325E-2</v>
      </c>
      <c r="S25" s="125" t="s">
        <v>70</v>
      </c>
      <c r="T25" s="136">
        <v>0.29999999999999993</v>
      </c>
      <c r="U25" s="136">
        <v>0.30241800054412588</v>
      </c>
      <c r="V25" s="136">
        <v>0.30485549017702313</v>
      </c>
      <c r="W25" s="136">
        <v>0.30731262598078252</v>
      </c>
      <c r="X25" s="136">
        <v>0.30978956630357685</v>
      </c>
      <c r="Y25" s="136">
        <v>0.31228647076986549</v>
      </c>
      <c r="Z25" s="136">
        <v>0.31480350029068122</v>
      </c>
      <c r="AA25" s="136">
        <v>0.31734081707399991</v>
      </c>
      <c r="AB25" s="136">
        <v>0.31989858463519422</v>
      </c>
      <c r="AC25" s="136">
        <v>0.32247696780757096</v>
      </c>
      <c r="AD25" s="136">
        <v>0.32507613275299363</v>
      </c>
      <c r="AE25" s="136">
        <v>0.32769624697259059</v>
      </c>
      <c r="AF25" s="136">
        <v>0.33033747931754981</v>
      </c>
      <c r="AG25" s="136">
        <v>0.33299999999999985</v>
      </c>
    </row>
    <row r="26" spans="1:33" s="117" customFormat="1" x14ac:dyDescent="0.35">
      <c r="A26" s="149"/>
      <c r="B26" s="125" t="s">
        <v>71</v>
      </c>
      <c r="C26" s="126"/>
      <c r="D26" s="127">
        <f>D14*T26</f>
        <v>78.013000000000076</v>
      </c>
      <c r="E26" s="127">
        <f t="shared" ref="E26:Q26" si="16">E14*U26</f>
        <v>83.627632098510716</v>
      </c>
      <c r="F26" s="127">
        <f t="shared" si="16"/>
        <v>89.72290051802635</v>
      </c>
      <c r="G26" s="127">
        <f t="shared" si="16"/>
        <v>96.346795560397069</v>
      </c>
      <c r="H26" s="127">
        <f t="shared" si="16"/>
        <v>103.55291312908818</v>
      </c>
      <c r="I26" s="127">
        <f t="shared" si="16"/>
        <v>111.40122182645237</v>
      </c>
      <c r="J26" s="127">
        <f t="shared" si="16"/>
        <v>119.95895235578472</v>
      </c>
      <c r="K26" s="127">
        <f t="shared" si="16"/>
        <v>129.30163166720121</v>
      </c>
      <c r="L26" s="127">
        <f t="shared" si="16"/>
        <v>139.51428894714735</v>
      </c>
      <c r="M26" s="127">
        <f t="shared" si="16"/>
        <v>150.69286628999441</v>
      </c>
      <c r="N26" s="127">
        <f t="shared" si="16"/>
        <v>162.94587398022801</v>
      </c>
      <c r="O26" s="127">
        <f t="shared" si="16"/>
        <v>176.39633910392362</v>
      </c>
      <c r="P26" s="127">
        <f t="shared" si="16"/>
        <v>191.18410714478023</v>
      </c>
      <c r="Q26" s="127">
        <f t="shared" si="16"/>
        <v>207.468569875898</v>
      </c>
      <c r="R26" s="131">
        <f>RATE(9,,-H26,Q26)</f>
        <v>8.0269765781681518E-2</v>
      </c>
      <c r="S26" s="125" t="s">
        <v>71</v>
      </c>
      <c r="T26" s="135">
        <v>0.20000000000000004</v>
      </c>
      <c r="U26" s="135">
        <v>0.20147169878464574</v>
      </c>
      <c r="V26" s="135">
        <v>0.20295422705585509</v>
      </c>
      <c r="W26" s="135">
        <v>0.20444766450233912</v>
      </c>
      <c r="X26" s="135">
        <v>0.20595209139919785</v>
      </c>
      <c r="Y26" s="135">
        <v>0.20746758861223505</v>
      </c>
      <c r="Z26" s="135">
        <v>0.20899423760230507</v>
      </c>
      <c r="AA26" s="135">
        <v>0.21053212042969136</v>
      </c>
      <c r="AB26" s="135">
        <v>0.21208131975851768</v>
      </c>
      <c r="AC26" s="135">
        <v>0.21364191886119097</v>
      </c>
      <c r="AD26" s="135">
        <v>0.21521400162287799</v>
      </c>
      <c r="AE26" s="135">
        <v>0.21679765254601358</v>
      </c>
      <c r="AF26" s="135">
        <v>0.21839295675484363</v>
      </c>
      <c r="AG26" s="135">
        <v>0.22000000000000006</v>
      </c>
    </row>
    <row r="27" spans="1:33" s="117" customFormat="1" x14ac:dyDescent="0.35">
      <c r="A27" s="149"/>
      <c r="B27" s="125" t="s">
        <v>72</v>
      </c>
      <c r="C27" s="126"/>
      <c r="D27" s="127">
        <f>D14*T27</f>
        <v>58.509750000000039</v>
      </c>
      <c r="E27" s="127">
        <f t="shared" ref="E27:Q27" si="17">E14*U27</f>
        <v>62.720724073883027</v>
      </c>
      <c r="F27" s="127">
        <f t="shared" si="17"/>
        <v>67.292175388519752</v>
      </c>
      <c r="G27" s="127">
        <f t="shared" si="17"/>
        <v>72.260096670297784</v>
      </c>
      <c r="H27" s="127">
        <f t="shared" si="17"/>
        <v>77.664684846816129</v>
      </c>
      <c r="I27" s="127">
        <f t="shared" si="17"/>
        <v>83.550916369839271</v>
      </c>
      <c r="J27" s="127">
        <f t="shared" si="17"/>
        <v>89.96921426683852</v>
      </c>
      <c r="K27" s="127">
        <f t="shared" si="17"/>
        <v>96.976223750400905</v>
      </c>
      <c r="L27" s="127">
        <f t="shared" si="17"/>
        <v>104.63571671036048</v>
      </c>
      <c r="M27" s="127">
        <f t="shared" si="17"/>
        <v>113.0196497174958</v>
      </c>
      <c r="N27" s="127">
        <f t="shared" si="17"/>
        <v>122.20940548517098</v>
      </c>
      <c r="O27" s="127">
        <f t="shared" si="17"/>
        <v>132.29725432794271</v>
      </c>
      <c r="P27" s="127">
        <f t="shared" si="17"/>
        <v>143.38808035858514</v>
      </c>
      <c r="Q27" s="127">
        <f t="shared" si="17"/>
        <v>155.60142740692348</v>
      </c>
      <c r="R27" s="131">
        <f>RATE(9,,-H27,Q27)</f>
        <v>8.0269765781681351E-2</v>
      </c>
      <c r="S27" s="125" t="s">
        <v>72</v>
      </c>
      <c r="T27" s="135">
        <v>0.15</v>
      </c>
      <c r="U27" s="135">
        <v>0.15110377408848427</v>
      </c>
      <c r="V27" s="135">
        <v>0.15221567029189129</v>
      </c>
      <c r="W27" s="135">
        <v>0.15333574837675432</v>
      </c>
      <c r="X27" s="135">
        <v>0.15446406854939837</v>
      </c>
      <c r="Y27" s="135">
        <v>0.15560069145917627</v>
      </c>
      <c r="Z27" s="135">
        <v>0.15674567820172877</v>
      </c>
      <c r="AA27" s="135">
        <v>0.15789909032226851</v>
      </c>
      <c r="AB27" s="135">
        <v>0.15906098981888822</v>
      </c>
      <c r="AC27" s="135">
        <v>0.16023143914589322</v>
      </c>
      <c r="AD27" s="135">
        <v>0.16141050121715844</v>
      </c>
      <c r="AE27" s="135">
        <v>0.16259823940951015</v>
      </c>
      <c r="AF27" s="135">
        <v>0.1637947175661327</v>
      </c>
      <c r="AG27" s="135">
        <v>0.16500000000000001</v>
      </c>
    </row>
    <row r="28" spans="1:33" s="117" customFormat="1" x14ac:dyDescent="0.35">
      <c r="A28" s="149"/>
      <c r="B28" s="125" t="s">
        <v>73</v>
      </c>
      <c r="C28" s="126"/>
      <c r="D28" s="127">
        <f>D14*T28</f>
        <v>27.304550000000024</v>
      </c>
      <c r="E28" s="127">
        <f t="shared" ref="E28:Q28" si="18">E14*U28</f>
        <v>29.210477404610685</v>
      </c>
      <c r="F28" s="127">
        <f t="shared" si="18"/>
        <v>31.276127176609251</v>
      </c>
      <c r="G28" s="127">
        <f t="shared" si="18"/>
        <v>33.517201561302279</v>
      </c>
      <c r="H28" s="127">
        <f t="shared" si="18"/>
        <v>35.951217936019958</v>
      </c>
      <c r="I28" s="127">
        <f t="shared" si="18"/>
        <v>38.597755580420547</v>
      </c>
      <c r="J28" s="127">
        <f t="shared" si="18"/>
        <v>41.478741628318588</v>
      </c>
      <c r="K28" s="127">
        <f t="shared" si="18"/>
        <v>44.618783367789185</v>
      </c>
      <c r="L28" s="127">
        <f t="shared" si="18"/>
        <v>48.045555540808671</v>
      </c>
      <c r="M28" s="127">
        <f t="shared" si="18"/>
        <v>51.790253120546978</v>
      </c>
      <c r="N28" s="127">
        <f t="shared" si="18"/>
        <v>55.888122300231984</v>
      </c>
      <c r="O28" s="127">
        <f t="shared" si="18"/>
        <v>60.379085222618862</v>
      </c>
      <c r="P28" s="127">
        <f t="shared" si="18"/>
        <v>65.308477454617673</v>
      </c>
      <c r="Q28" s="127">
        <f t="shared" si="18"/>
        <v>70.727921548601472</v>
      </c>
      <c r="R28" s="131">
        <f>RATE(9,,-H28,Q28)</f>
        <v>7.808507077041929E-2</v>
      </c>
      <c r="S28" s="125" t="s">
        <v>73</v>
      </c>
      <c r="T28" s="135">
        <v>7.0000000000000007E-2</v>
      </c>
      <c r="U28" s="135">
        <v>7.0372487625680713E-2</v>
      </c>
      <c r="V28" s="135">
        <v>7.0746957351808359E-2</v>
      </c>
      <c r="W28" s="135">
        <v>7.1123419725638515E-2</v>
      </c>
      <c r="X28" s="135">
        <v>7.1501885350551325E-2</v>
      </c>
      <c r="Y28" s="135">
        <v>7.1882364886350206E-2</v>
      </c>
      <c r="Z28" s="135">
        <v>7.2264869049562072E-2</v>
      </c>
      <c r="AA28" s="135">
        <v>7.2649408613739211E-2</v>
      </c>
      <c r="AB28" s="135">
        <v>7.3035994409762647E-2</v>
      </c>
      <c r="AC28" s="135">
        <v>7.3424637326147249E-2</v>
      </c>
      <c r="AD28" s="135">
        <v>7.3815348309348452E-2</v>
      </c>
      <c r="AE28" s="135">
        <v>7.4208138364070517E-2</v>
      </c>
      <c r="AF28" s="135">
        <v>7.4603018553576511E-2</v>
      </c>
      <c r="AG28" s="135">
        <v>7.4999999999999886E-2</v>
      </c>
    </row>
    <row r="29" spans="1:33" s="117" customFormat="1" x14ac:dyDescent="0.35">
      <c r="A29" s="149"/>
      <c r="B29" s="125" t="s">
        <v>74</v>
      </c>
      <c r="C29" s="126"/>
      <c r="D29" s="127">
        <f>D14*T29</f>
        <v>109.2182000000001</v>
      </c>
      <c r="E29" s="127">
        <f t="shared" ref="E29:Q29" si="19">E14*U29</f>
        <v>113.99613201345421</v>
      </c>
      <c r="F29" s="127">
        <f t="shared" si="19"/>
        <v>119.021350122914</v>
      </c>
      <c r="G29" s="127">
        <f t="shared" si="19"/>
        <v>124.30765574326976</v>
      </c>
      <c r="H29" s="127">
        <f t="shared" si="19"/>
        <v>129.86966568726945</v>
      </c>
      <c r="I29" s="127">
        <f t="shared" si="19"/>
        <v>135.72285834463091</v>
      </c>
      <c r="J29" s="127">
        <f t="shared" si="19"/>
        <v>141.88362074149032</v>
      </c>
      <c r="K29" s="127">
        <f t="shared" si="19"/>
        <v>148.36929576547553</v>
      </c>
      <c r="L29" s="127">
        <f t="shared" si="19"/>
        <v>155.19822852633769</v>
      </c>
      <c r="M29" s="127">
        <f t="shared" si="19"/>
        <v>162.38981039377984</v>
      </c>
      <c r="N29" s="127">
        <f t="shared" si="19"/>
        <v>169.96451867344527</v>
      </c>
      <c r="O29" s="127">
        <f t="shared" si="19"/>
        <v>177.94394909563889</v>
      </c>
      <c r="P29" s="127">
        <f t="shared" si="19"/>
        <v>186.35083722693187</v>
      </c>
      <c r="Q29" s="127">
        <f t="shared" si="19"/>
        <v>195.20906347414052</v>
      </c>
      <c r="R29" s="131">
        <f>RATE(9,,-H29,Q29)</f>
        <v>4.6323082339611479E-2</v>
      </c>
      <c r="S29" s="125" t="s">
        <v>74</v>
      </c>
      <c r="T29" s="135">
        <f>1-SUM(T25:T28)</f>
        <v>0.28000000000000003</v>
      </c>
      <c r="U29" s="135">
        <f t="shared" ref="U29:AG29" si="20">1-SUM(U25:U28)</f>
        <v>0.2746340389570634</v>
      </c>
      <c r="V29" s="135">
        <f t="shared" si="20"/>
        <v>0.26922765512342217</v>
      </c>
      <c r="W29" s="135">
        <f t="shared" si="20"/>
        <v>0.26378054141448548</v>
      </c>
      <c r="X29" s="135">
        <f t="shared" si="20"/>
        <v>0.25829238839727564</v>
      </c>
      <c r="Y29" s="135">
        <f t="shared" si="20"/>
        <v>0.25276288427237303</v>
      </c>
      <c r="Z29" s="135">
        <f t="shared" si="20"/>
        <v>0.24719171485572278</v>
      </c>
      <c r="AA29" s="135">
        <f t="shared" si="20"/>
        <v>0.24157856356030094</v>
      </c>
      <c r="AB29" s="135">
        <f t="shared" si="20"/>
        <v>0.23592311137763733</v>
      </c>
      <c r="AC29" s="135">
        <f t="shared" si="20"/>
        <v>0.2302250368591976</v>
      </c>
      <c r="AD29" s="135">
        <f t="shared" si="20"/>
        <v>0.22448401609762159</v>
      </c>
      <c r="AE29" s="135">
        <f t="shared" si="20"/>
        <v>0.21869972270781524</v>
      </c>
      <c r="AF29" s="135">
        <f t="shared" si="20"/>
        <v>0.21287182780789726</v>
      </c>
      <c r="AG29" s="135">
        <f t="shared" si="20"/>
        <v>0.20700000000000018</v>
      </c>
    </row>
    <row r="30" spans="1:33" ht="15" thickBot="1" x14ac:dyDescent="0.4">
      <c r="A30" s="2"/>
      <c r="D30" s="81" t="b">
        <f>D14=SUM(D25:D29)</f>
        <v>1</v>
      </c>
      <c r="E30" s="81" t="b">
        <f t="shared" ref="E30:Q30" si="21">E14=SUM(E25:E29)</f>
        <v>1</v>
      </c>
      <c r="F30" s="81" t="b">
        <f t="shared" si="21"/>
        <v>1</v>
      </c>
      <c r="G30" s="81" t="b">
        <f t="shared" si="21"/>
        <v>1</v>
      </c>
      <c r="H30" s="81" t="b">
        <f t="shared" si="21"/>
        <v>1</v>
      </c>
      <c r="I30" s="81" t="b">
        <f t="shared" si="21"/>
        <v>1</v>
      </c>
      <c r="J30" s="81" t="b">
        <f t="shared" si="21"/>
        <v>1</v>
      </c>
      <c r="K30" s="81" t="b">
        <f t="shared" si="21"/>
        <v>1</v>
      </c>
      <c r="L30" s="81" t="b">
        <f t="shared" si="21"/>
        <v>1</v>
      </c>
      <c r="M30" s="81" t="b">
        <f t="shared" si="21"/>
        <v>1</v>
      </c>
      <c r="N30" s="81" t="b">
        <f t="shared" si="21"/>
        <v>1</v>
      </c>
      <c r="O30" s="81" t="b">
        <f t="shared" si="21"/>
        <v>1</v>
      </c>
      <c r="P30" s="81" t="b">
        <f t="shared" si="21"/>
        <v>1</v>
      </c>
      <c r="Q30" s="81" t="b">
        <f t="shared" si="21"/>
        <v>1</v>
      </c>
      <c r="R30" s="21"/>
    </row>
    <row r="31" spans="1:33" s="117" customFormat="1" x14ac:dyDescent="0.35">
      <c r="A31" s="149" t="s">
        <v>75</v>
      </c>
      <c r="B31" s="128" t="s">
        <v>76</v>
      </c>
      <c r="C31" s="129"/>
      <c r="D31" s="130">
        <f>D14*T31</f>
        <v>97.51625000000007</v>
      </c>
      <c r="E31" s="130">
        <f t="shared" ref="E31:Q31" si="22">E14*U31</f>
        <v>102.75552833995998</v>
      </c>
      <c r="F31" s="130">
        <f t="shared" si="22"/>
        <v>108.36875526274979</v>
      </c>
      <c r="G31" s="130">
        <f t="shared" si="22"/>
        <v>114.38878279062499</v>
      </c>
      <c r="H31" s="130">
        <f t="shared" si="22"/>
        <v>120.8520073284292</v>
      </c>
      <c r="I31" s="130">
        <f t="shared" si="22"/>
        <v>127.79883215770604</v>
      </c>
      <c r="J31" s="130">
        <f t="shared" si="22"/>
        <v>135.27420147034431</v>
      </c>
      <c r="K31" s="130">
        <f t="shared" si="22"/>
        <v>143.32821875954113</v>
      </c>
      <c r="L31" s="130">
        <f t="shared" si="22"/>
        <v>152.01686498767978</v>
      </c>
      <c r="M31" s="130">
        <f t="shared" si="22"/>
        <v>161.40283513965102</v>
      </c>
      <c r="N31" s="130">
        <f t="shared" si="22"/>
        <v>171.55651569130421</v>
      </c>
      <c r="O31" s="130">
        <f t="shared" si="22"/>
        <v>182.55713036003655</v>
      </c>
      <c r="P31" s="130">
        <f t="shared" si="22"/>
        <v>194.49408749193714</v>
      </c>
      <c r="Q31" s="130">
        <f t="shared" si="22"/>
        <v>207.46856987589786</v>
      </c>
      <c r="R31" s="131">
        <f t="shared" ref="R31:R37" si="23">RATE(9,,-H31,Q31)</f>
        <v>6.1885290756433259E-2</v>
      </c>
      <c r="S31" s="128" t="s">
        <v>76</v>
      </c>
      <c r="T31" s="136">
        <v>0.25</v>
      </c>
      <c r="U31" s="136">
        <v>0.2475537132245817</v>
      </c>
      <c r="V31" s="136">
        <v>0.24513136372511374</v>
      </c>
      <c r="W31" s="136">
        <v>0.24273271727182974</v>
      </c>
      <c r="X31" s="136">
        <v>0.24035754192693604</v>
      </c>
      <c r="Y31" s="136">
        <v>0.23800560802218437</v>
      </c>
      <c r="Z31" s="136">
        <v>0.23567668813666415</v>
      </c>
      <c r="AA31" s="136">
        <v>0.23337055707481172</v>
      </c>
      <c r="AB31" s="136">
        <v>0.23108699184463527</v>
      </c>
      <c r="AC31" s="136">
        <v>0.22882577163615236</v>
      </c>
      <c r="AD31" s="136">
        <v>0.22658667780003872</v>
      </c>
      <c r="AE31" s="136">
        <v>0.22436949382648591</v>
      </c>
      <c r="AF31" s="136">
        <v>0.22217400532426579</v>
      </c>
      <c r="AG31" s="136">
        <v>0.21999999999999989</v>
      </c>
    </row>
    <row r="32" spans="1:33" s="117" customFormat="1" x14ac:dyDescent="0.35">
      <c r="A32" s="149"/>
      <c r="B32" s="128" t="s">
        <v>77</v>
      </c>
      <c r="C32" s="129"/>
      <c r="D32" s="130">
        <f>D14*T32</f>
        <v>78.013000000000062</v>
      </c>
      <c r="E32" s="130">
        <f t="shared" ref="E32:Q32" si="24">E14*U32</f>
        <v>83.479873635150881</v>
      </c>
      <c r="F32" s="130">
        <f t="shared" si="24"/>
        <v>89.406124695191863</v>
      </c>
      <c r="G32" s="130">
        <f t="shared" si="24"/>
        <v>95.837002955518855</v>
      </c>
      <c r="H32" s="130">
        <f t="shared" si="24"/>
        <v>102.82299575445295</v>
      </c>
      <c r="I32" s="130">
        <f t="shared" si="24"/>
        <v>110.42054062918224</v>
      </c>
      <c r="J32" s="130">
        <f t="shared" si="24"/>
        <v>118.69285116053226</v>
      </c>
      <c r="K32" s="130">
        <f t="shared" si="24"/>
        <v>127.71087674162965</v>
      </c>
      <c r="L32" s="130">
        <f t="shared" si="24"/>
        <v>137.55442127789189</v>
      </c>
      <c r="M32" s="130">
        <f t="shared" si="24"/>
        <v>148.31345110837074</v>
      </c>
      <c r="N32" s="130">
        <f t="shared" si="24"/>
        <v>160.08962896190511</v>
      </c>
      <c r="O32" s="130">
        <f t="shared" si="24"/>
        <v>172.99811884514384</v>
      </c>
      <c r="P32" s="130">
        <f t="shared" si="24"/>
        <v>187.16971681165035</v>
      </c>
      <c r="Q32" s="130">
        <f t="shared" si="24"/>
        <v>202.75337510599149</v>
      </c>
      <c r="R32" s="131">
        <f t="shared" si="23"/>
        <v>7.8361078466251302E-2</v>
      </c>
      <c r="S32" s="128" t="s">
        <v>77</v>
      </c>
      <c r="T32" s="135">
        <v>0.2</v>
      </c>
      <c r="U32" s="135">
        <v>0.20111572614885656</v>
      </c>
      <c r="V32" s="135">
        <v>0.20223767652190933</v>
      </c>
      <c r="W32" s="135">
        <v>0.20336588584180673</v>
      </c>
      <c r="X32" s="135">
        <v>0.20450038902490211</v>
      </c>
      <c r="Y32" s="135">
        <v>0.20564122118233419</v>
      </c>
      <c r="Z32" s="135">
        <v>0.20678841762111386</v>
      </c>
      <c r="AA32" s="135">
        <v>0.20794201384521654</v>
      </c>
      <c r="AB32" s="135">
        <v>0.20910204555668152</v>
      </c>
      <c r="AC32" s="135">
        <v>0.21026854865671646</v>
      </c>
      <c r="AD32" s="135">
        <v>0.21144155924680855</v>
      </c>
      <c r="AE32" s="135">
        <v>0.21262111362984182</v>
      </c>
      <c r="AF32" s="135">
        <v>0.21380724831122089</v>
      </c>
      <c r="AG32" s="135">
        <v>0.21500000000000033</v>
      </c>
    </row>
    <row r="33" spans="1:33" s="117" customFormat="1" x14ac:dyDescent="0.35">
      <c r="A33" s="149"/>
      <c r="B33" s="128" t="s">
        <v>78</v>
      </c>
      <c r="C33" s="129"/>
      <c r="D33" s="132">
        <f>D14*T33</f>
        <v>70.211700000000064</v>
      </c>
      <c r="E33" s="132">
        <f t="shared" ref="E33:Q33" si="25">E14*U33</f>
        <v>74.778612310855792</v>
      </c>
      <c r="F33" s="132">
        <f t="shared" si="25"/>
        <v>79.710585376467193</v>
      </c>
      <c r="G33" s="132">
        <f t="shared" si="25"/>
        <v>85.042312405943179</v>
      </c>
      <c r="H33" s="132">
        <f t="shared" si="25"/>
        <v>90.812409502392597</v>
      </c>
      <c r="I33" s="132">
        <f t="shared" si="25"/>
        <v>97.063941808086994</v>
      </c>
      <c r="J33" s="132">
        <f t="shared" si="25"/>
        <v>103.84503247702622</v>
      </c>
      <c r="K33" s="132">
        <f t="shared" si="25"/>
        <v>111.2095695280309</v>
      </c>
      <c r="L33" s="132">
        <f t="shared" si="25"/>
        <v>119.21802873094657</v>
      </c>
      <c r="M33" s="132">
        <f t="shared" si="25"/>
        <v>127.93843448829594</v>
      </c>
      <c r="N33" s="132">
        <f t="shared" si="25"/>
        <v>137.44748537323832</v>
      </c>
      <c r="O33" s="132">
        <f t="shared" si="25"/>
        <v>147.83187679906104</v>
      </c>
      <c r="P33" s="132">
        <f t="shared" si="25"/>
        <v>159.18986051553034</v>
      </c>
      <c r="Q33" s="132">
        <f t="shared" si="25"/>
        <v>171.63308962460624</v>
      </c>
      <c r="R33" s="131">
        <f t="shared" si="23"/>
        <v>7.3290569681710813E-2</v>
      </c>
      <c r="S33" s="128" t="s">
        <v>78</v>
      </c>
      <c r="T33" s="135">
        <v>0.18000000000000002</v>
      </c>
      <c r="U33" s="135">
        <v>0.18015306277331314</v>
      </c>
      <c r="V33" s="135">
        <v>0.18030625570336284</v>
      </c>
      <c r="W33" s="135">
        <v>0.18045957890082762</v>
      </c>
      <c r="X33" s="135">
        <v>0.18061303247648028</v>
      </c>
      <c r="Y33" s="135">
        <v>0.18076661654118778</v>
      </c>
      <c r="Z33" s="135">
        <v>0.18092033120591131</v>
      </c>
      <c r="AA33" s="135">
        <v>0.18107417658170627</v>
      </c>
      <c r="AB33" s="135">
        <v>0.1812281527797229</v>
      </c>
      <c r="AC33" s="135">
        <v>0.1813822599112056</v>
      </c>
      <c r="AD33" s="135">
        <v>0.18153649808749345</v>
      </c>
      <c r="AE33" s="135">
        <v>0.18169086742002025</v>
      </c>
      <c r="AF33" s="135">
        <v>0.18184536802031454</v>
      </c>
      <c r="AG33" s="135">
        <v>0.18199999999999975</v>
      </c>
    </row>
    <row r="34" spans="1:33" s="117" customFormat="1" x14ac:dyDescent="0.35">
      <c r="A34" s="149"/>
      <c r="B34" s="128" t="s">
        <v>79</v>
      </c>
      <c r="C34" s="129"/>
      <c r="D34" s="132">
        <f>D14*T34</f>
        <v>46.807800000000029</v>
      </c>
      <c r="E34" s="132">
        <f t="shared" ref="E34:Q34" si="26">E14*U34</f>
        <v>49.904752996470734</v>
      </c>
      <c r="F34" s="132">
        <f t="shared" si="26"/>
        <v>53.252043146904633</v>
      </c>
      <c r="G34" s="132">
        <f t="shared" si="26"/>
        <v>56.87365055884041</v>
      </c>
      <c r="H34" s="132">
        <f t="shared" si="26"/>
        <v>60.796280678157558</v>
      </c>
      <c r="I34" s="132">
        <f t="shared" si="26"/>
        <v>65.049730944350742</v>
      </c>
      <c r="J34" s="132">
        <f t="shared" si="26"/>
        <v>69.667315278259323</v>
      </c>
      <c r="K34" s="132">
        <f t="shared" si="26"/>
        <v>74.686356928347436</v>
      </c>
      <c r="L34" s="132">
        <f t="shared" si="26"/>
        <v>80.148762372015867</v>
      </c>
      <c r="M34" s="132">
        <f t="shared" si="26"/>
        <v>86.101691636930354</v>
      </c>
      <c r="N34" s="132">
        <f t="shared" si="26"/>
        <v>92.598343699339566</v>
      </c>
      <c r="O34" s="132">
        <f t="shared" si="26"/>
        <v>99.698879691384192</v>
      </c>
      <c r="P34" s="132">
        <f t="shared" si="26"/>
        <v>107.47151171123957</v>
      </c>
      <c r="Q34" s="132">
        <f t="shared" si="26"/>
        <v>115.99379133970632</v>
      </c>
      <c r="R34" s="131">
        <f t="shared" si="23"/>
        <v>7.4417519626082534E-2</v>
      </c>
      <c r="S34" s="128" t="s">
        <v>79</v>
      </c>
      <c r="T34" s="135">
        <v>0.11999999999999998</v>
      </c>
      <c r="U34" s="135">
        <v>0.1202281484161041</v>
      </c>
      <c r="V34" s="135">
        <v>0.12045673059637299</v>
      </c>
      <c r="W34" s="135">
        <v>0.12068574736549501</v>
      </c>
      <c r="X34" s="135">
        <v>0.12091519954972652</v>
      </c>
      <c r="Y34" s="135">
        <v>0.1211450879768947</v>
      </c>
      <c r="Z34" s="135">
        <v>0.12137541347640074</v>
      </c>
      <c r="AA34" s="135">
        <v>0.12160617687922258</v>
      </c>
      <c r="AB34" s="135">
        <v>0.12183737901791819</v>
      </c>
      <c r="AC34" s="135">
        <v>0.12206902072662833</v>
      </c>
      <c r="AD34" s="135">
        <v>0.1223011028410797</v>
      </c>
      <c r="AE34" s="135">
        <v>0.12253362619858783</v>
      </c>
      <c r="AF34" s="135">
        <v>0.12276659163806038</v>
      </c>
      <c r="AG34" s="135">
        <v>0.12299999999999972</v>
      </c>
    </row>
    <row r="35" spans="1:33" s="117" customFormat="1" x14ac:dyDescent="0.35">
      <c r="A35" s="149"/>
      <c r="B35" s="128" t="s">
        <v>80</v>
      </c>
      <c r="C35" s="129"/>
      <c r="D35" s="132">
        <f>D14*T35</f>
        <v>39.006500000000017</v>
      </c>
      <c r="E35" s="132">
        <f t="shared" ref="E35:Q35" si="27">E14*U35</f>
        <v>41.664454268627793</v>
      </c>
      <c r="F35" s="132">
        <f t="shared" si="27"/>
        <v>44.541526403660939</v>
      </c>
      <c r="G35" s="132">
        <f t="shared" si="27"/>
        <v>47.659003703298957</v>
      </c>
      <c r="H35" s="132">
        <f t="shared" si="27"/>
        <v>51.040615008601051</v>
      </c>
      <c r="I35" s="132">
        <f t="shared" si="27"/>
        <v>54.71286102555208</v>
      </c>
      <c r="J35" s="132">
        <f t="shared" si="27"/>
        <v>58.705396933680412</v>
      </c>
      <c r="K35" s="132">
        <f t="shared" si="27"/>
        <v>63.051476823271408</v>
      </c>
      <c r="L35" s="132">
        <f t="shared" si="27"/>
        <v>67.788471475603799</v>
      </c>
      <c r="M35" s="132">
        <f t="shared" si="27"/>
        <v>72.958473426884254</v>
      </c>
      <c r="N35" s="132">
        <f t="shared" si="27"/>
        <v>78.609006251212406</v>
      </c>
      <c r="O35" s="132">
        <f t="shared" si="27"/>
        <v>84.793858706860419</v>
      </c>
      <c r="P35" s="132">
        <f t="shared" si="27"/>
        <v>91.574068999822686</v>
      </c>
      <c r="Q35" s="132">
        <f t="shared" si="27"/>
        <v>99.019090168042226</v>
      </c>
      <c r="R35" s="131">
        <f t="shared" si="23"/>
        <v>7.6410969072358254E-2</v>
      </c>
      <c r="S35" s="128" t="s">
        <v>80</v>
      </c>
      <c r="T35" s="135">
        <v>9.9999999999999978E-2</v>
      </c>
      <c r="U35" s="135">
        <v>0.10037601412111624</v>
      </c>
      <c r="V35" s="135">
        <v>0.10075344210842527</v>
      </c>
      <c r="W35" s="135">
        <v>0.10113228927826363</v>
      </c>
      <c r="X35" s="135">
        <v>0.10151256096695804</v>
      </c>
      <c r="Y35" s="135">
        <v>0.10189426253090056</v>
      </c>
      <c r="Z35" s="135">
        <v>0.102277399346624</v>
      </c>
      <c r="AA35" s="135">
        <v>0.10266197681087777</v>
      </c>
      <c r="AB35" s="135">
        <v>0.10304800034070376</v>
      </c>
      <c r="AC35" s="135">
        <v>0.10343547537351272</v>
      </c>
      <c r="AD35" s="135">
        <v>0.10382440736716086</v>
      </c>
      <c r="AE35" s="135">
        <v>0.10421480180002665</v>
      </c>
      <c r="AF35" s="135">
        <v>0.10460666417108806</v>
      </c>
      <c r="AG35" s="135">
        <v>0.10500000000000002</v>
      </c>
    </row>
    <row r="36" spans="1:33" s="117" customFormat="1" x14ac:dyDescent="0.35">
      <c r="A36" s="149"/>
      <c r="B36" s="128" t="s">
        <v>81</v>
      </c>
      <c r="C36" s="129"/>
      <c r="D36" s="132">
        <f>D14*T36</f>
        <v>50.708450000000063</v>
      </c>
      <c r="E36" s="132">
        <f t="shared" ref="E36:Q36" si="28">E14*U36</f>
        <v>54.086829306552595</v>
      </c>
      <c r="F36" s="132">
        <f t="shared" si="28"/>
        <v>57.739549874199525</v>
      </c>
      <c r="G36" s="132">
        <f t="shared" si="28"/>
        <v>61.692977353498513</v>
      </c>
      <c r="H36" s="132">
        <f t="shared" si="28"/>
        <v>65.976480185472866</v>
      </c>
      <c r="I36" s="132">
        <f t="shared" si="28"/>
        <v>70.622834104603271</v>
      </c>
      <c r="J36" s="132">
        <f t="shared" si="28"/>
        <v>75.668690495886707</v>
      </c>
      <c r="K36" s="132">
        <f t="shared" si="28"/>
        <v>81.155120235196875</v>
      </c>
      <c r="L36" s="132">
        <f t="shared" si="28"/>
        <v>87.12824704141083</v>
      </c>
      <c r="M36" s="132">
        <f t="shared" si="28"/>
        <v>93.639987318973922</v>
      </c>
      <c r="N36" s="132">
        <f t="shared" si="28"/>
        <v>100.74891710951682</v>
      </c>
      <c r="O36" s="132">
        <f t="shared" si="28"/>
        <v>108.52129127744979</v>
      </c>
      <c r="P36" s="132">
        <f t="shared" si="28"/>
        <v>117.03224565274122</v>
      </c>
      <c r="Q36" s="132">
        <f t="shared" si="28"/>
        <v>126.36721983350162</v>
      </c>
      <c r="R36" s="131">
        <f t="shared" si="23"/>
        <v>7.488149846189654E-2</v>
      </c>
      <c r="S36" s="128" t="s">
        <v>81</v>
      </c>
      <c r="T36" s="133">
        <v>0.13000000000000006</v>
      </c>
      <c r="U36" s="133">
        <v>0.13030340700583309</v>
      </c>
      <c r="V36" s="133">
        <v>0.13060752213329063</v>
      </c>
      <c r="W36" s="133">
        <v>0.13091234703505783</v>
      </c>
      <c r="X36" s="133">
        <v>0.13121788336767692</v>
      </c>
      <c r="Y36" s="133">
        <v>0.13152413279155642</v>
      </c>
      <c r="Z36" s="133">
        <v>0.13183109697098006</v>
      </c>
      <c r="AA36" s="133">
        <v>0.13213877757411582</v>
      </c>
      <c r="AB36" s="133">
        <v>0.13244717627302502</v>
      </c>
      <c r="AC36" s="133">
        <v>0.13275629474367151</v>
      </c>
      <c r="AD36" s="133">
        <v>0.13306613466593045</v>
      </c>
      <c r="AE36" s="133">
        <v>0.13337669772359789</v>
      </c>
      <c r="AF36" s="133">
        <v>0.13368798560439951</v>
      </c>
      <c r="AG36" s="133">
        <v>0.13400000000000015</v>
      </c>
    </row>
    <row r="37" spans="1:33" s="117" customFormat="1" x14ac:dyDescent="0.35">
      <c r="A37" s="149"/>
      <c r="B37" s="128" t="s">
        <v>82</v>
      </c>
      <c r="C37" s="129"/>
      <c r="D37" s="132">
        <f>D14*T37</f>
        <v>7.8013000000000128</v>
      </c>
      <c r="E37" s="132">
        <f t="shared" ref="E37:Q37" si="29">E14*U37</f>
        <v>8.4137182423826467</v>
      </c>
      <c r="F37" s="132">
        <f t="shared" si="29"/>
        <v>9.0658291482716855</v>
      </c>
      <c r="G37" s="132">
        <f t="shared" si="29"/>
        <v>9.7603478707836135</v>
      </c>
      <c r="H37" s="132">
        <f t="shared" si="29"/>
        <v>10.500190282598487</v>
      </c>
      <c r="I37" s="132">
        <f t="shared" si="29"/>
        <v>11.28848995927752</v>
      </c>
      <c r="J37" s="132">
        <f t="shared" si="29"/>
        <v>12.128616820354079</v>
      </c>
      <c r="K37" s="132">
        <f t="shared" si="29"/>
        <v>13.024197598090932</v>
      </c>
      <c r="L37" s="132">
        <f t="shared" si="29"/>
        <v>13.979138314797767</v>
      </c>
      <c r="M37" s="132">
        <f t="shared" si="29"/>
        <v>14.997648957348877</v>
      </c>
      <c r="N37" s="132">
        <f t="shared" si="29"/>
        <v>16.084270539621539</v>
      </c>
      <c r="O37" s="132">
        <f t="shared" si="29"/>
        <v>17.243904736412212</v>
      </c>
      <c r="P37" s="132">
        <f t="shared" si="29"/>
        <v>18.481846250819078</v>
      </c>
      <c r="Q37" s="132">
        <f t="shared" si="29"/>
        <v>19.803818033608565</v>
      </c>
      <c r="R37" s="131">
        <f t="shared" si="23"/>
        <v>7.3042348223609221E-2</v>
      </c>
      <c r="S37" s="128" t="s">
        <v>82</v>
      </c>
      <c r="T37" s="133">
        <f>1-SUM(T31:T36)</f>
        <v>2.0000000000000018E-2</v>
      </c>
      <c r="U37" s="133">
        <f t="shared" ref="U37:AG37" si="30">1-SUM(U31:U36)</f>
        <v>2.0269928310195251E-2</v>
      </c>
      <c r="V37" s="133">
        <f t="shared" si="30"/>
        <v>2.0507009211525151E-2</v>
      </c>
      <c r="W37" s="133">
        <f t="shared" si="30"/>
        <v>2.0711434306719401E-2</v>
      </c>
      <c r="X37" s="133">
        <f t="shared" si="30"/>
        <v>2.088339268732009E-2</v>
      </c>
      <c r="Y37" s="133">
        <f t="shared" si="30"/>
        <v>2.1023070954941936E-2</v>
      </c>
      <c r="Z37" s="133">
        <f t="shared" si="30"/>
        <v>2.1130653242306008E-2</v>
      </c>
      <c r="AA37" s="133">
        <f t="shared" si="30"/>
        <v>2.1206321234049197E-2</v>
      </c>
      <c r="AB37" s="133">
        <f t="shared" si="30"/>
        <v>2.1250254187313411E-2</v>
      </c>
      <c r="AC37" s="133">
        <f t="shared" si="30"/>
        <v>2.1262628952113172E-2</v>
      </c>
      <c r="AD37" s="133">
        <f t="shared" si="30"/>
        <v>2.1243619991488383E-2</v>
      </c>
      <c r="AE37" s="133">
        <f t="shared" si="30"/>
        <v>2.1193399401439716E-2</v>
      </c>
      <c r="AF37" s="133">
        <f t="shared" si="30"/>
        <v>2.1112136930650727E-2</v>
      </c>
      <c r="AG37" s="133">
        <f t="shared" si="30"/>
        <v>2.100000000000013E-2</v>
      </c>
    </row>
    <row r="38" spans="1:33" x14ac:dyDescent="0.35">
      <c r="D38" t="b">
        <f>D14=SUM(D31:D37)</f>
        <v>1</v>
      </c>
      <c r="E38" t="b">
        <f t="shared" ref="E38:Q38" si="31">E14=SUM(E31:E37)</f>
        <v>1</v>
      </c>
      <c r="F38" t="b">
        <f t="shared" si="31"/>
        <v>1</v>
      </c>
      <c r="G38" t="b">
        <f t="shared" si="31"/>
        <v>1</v>
      </c>
      <c r="H38" t="b">
        <f t="shared" si="31"/>
        <v>1</v>
      </c>
      <c r="I38" t="b">
        <f t="shared" si="31"/>
        <v>1</v>
      </c>
      <c r="J38" t="b">
        <f t="shared" si="31"/>
        <v>1</v>
      </c>
      <c r="K38" t="b">
        <f t="shared" si="31"/>
        <v>1</v>
      </c>
      <c r="L38" t="b">
        <f t="shared" si="31"/>
        <v>0</v>
      </c>
      <c r="M38" t="b">
        <f t="shared" si="31"/>
        <v>1</v>
      </c>
      <c r="N38" t="b">
        <f t="shared" si="31"/>
        <v>1</v>
      </c>
      <c r="O38" t="b">
        <f t="shared" si="31"/>
        <v>1</v>
      </c>
      <c r="P38" t="b">
        <f t="shared" si="31"/>
        <v>1</v>
      </c>
      <c r="Q38" t="b">
        <f t="shared" si="31"/>
        <v>1</v>
      </c>
    </row>
    <row r="39" spans="1:33" ht="25" x14ac:dyDescent="0.5">
      <c r="A39" s="146" t="s">
        <v>98</v>
      </c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63"/>
    </row>
    <row r="40" spans="1:33" ht="23.5" thickBot="1" x14ac:dyDescent="0.55000000000000004">
      <c r="A40" s="63"/>
      <c r="B40" s="63"/>
      <c r="C40" s="63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</row>
    <row r="41" spans="1:33" ht="15.5" hidden="1" customHeight="1" x14ac:dyDescent="0.35">
      <c r="A41" s="42"/>
      <c r="B41" s="43"/>
      <c r="C41" s="93"/>
      <c r="D41" s="91">
        <v>2023</v>
      </c>
      <c r="E41" s="65">
        <v>2024</v>
      </c>
      <c r="F41" s="65">
        <v>2025</v>
      </c>
      <c r="G41" s="65">
        <v>2026</v>
      </c>
      <c r="H41" s="65">
        <v>2027</v>
      </c>
      <c r="I41" s="65">
        <v>2028</v>
      </c>
      <c r="J41" s="65">
        <v>2029</v>
      </c>
      <c r="K41" s="65">
        <v>2030</v>
      </c>
      <c r="L41" s="65">
        <v>2031</v>
      </c>
      <c r="M41" s="65">
        <v>2032</v>
      </c>
      <c r="N41" s="65">
        <v>2033</v>
      </c>
      <c r="O41" s="65">
        <v>2034</v>
      </c>
      <c r="P41" s="65">
        <v>2035</v>
      </c>
      <c r="Q41" s="65">
        <v>2036</v>
      </c>
      <c r="R41" s="66" t="s">
        <v>13</v>
      </c>
    </row>
    <row r="42" spans="1:33" ht="16" hidden="1" customHeight="1" thickBot="1" x14ac:dyDescent="0.4">
      <c r="A42" s="25"/>
      <c r="B42" s="94"/>
      <c r="C42" s="95"/>
      <c r="D42" s="92" t="e">
        <f>#REF!</f>
        <v>#REF!</v>
      </c>
      <c r="E42" s="92" t="e">
        <f>#REF!</f>
        <v>#REF!</v>
      </c>
      <c r="F42" s="92" t="e">
        <f>#REF!</f>
        <v>#REF!</v>
      </c>
      <c r="G42" s="92" t="e">
        <f>#REF!</f>
        <v>#REF!</v>
      </c>
      <c r="H42" s="92" t="e">
        <f>#REF!</f>
        <v>#REF!</v>
      </c>
      <c r="I42" s="92" t="e">
        <f>#REF!</f>
        <v>#REF!</v>
      </c>
      <c r="J42" s="92" t="e">
        <f>#REF!</f>
        <v>#REF!</v>
      </c>
      <c r="K42" s="92" t="e">
        <f>#REF!</f>
        <v>#REF!</v>
      </c>
      <c r="L42" s="92" t="e">
        <f>#REF!</f>
        <v>#REF!</v>
      </c>
      <c r="M42" s="92" t="e">
        <f>#REF!</f>
        <v>#REF!</v>
      </c>
      <c r="N42" s="92" t="e">
        <f>#REF!</f>
        <v>#REF!</v>
      </c>
      <c r="O42" s="92" t="e">
        <f>#REF!</f>
        <v>#REF!</v>
      </c>
      <c r="P42" s="92" t="e">
        <f>#REF!</f>
        <v>#REF!</v>
      </c>
      <c r="Q42" s="92" t="e">
        <f>#REF!</f>
        <v>#REF!</v>
      </c>
      <c r="R42" s="68" t="e">
        <f>RATE(12,,-E42,Q42)</f>
        <v>#REF!</v>
      </c>
      <c r="T42" s="65">
        <v>2023</v>
      </c>
      <c r="U42" s="65">
        <v>2024</v>
      </c>
      <c r="V42" s="65">
        <v>2025</v>
      </c>
      <c r="W42" s="65">
        <v>2026</v>
      </c>
      <c r="X42" s="65">
        <v>2027</v>
      </c>
      <c r="Y42" s="65">
        <v>2028</v>
      </c>
      <c r="Z42" s="65">
        <v>2029</v>
      </c>
      <c r="AA42" s="65">
        <v>2030</v>
      </c>
      <c r="AB42" s="65">
        <v>2031</v>
      </c>
      <c r="AC42" s="65">
        <v>2032</v>
      </c>
      <c r="AD42" s="65">
        <v>2033</v>
      </c>
      <c r="AE42" s="65">
        <v>2034</v>
      </c>
      <c r="AF42" s="65">
        <v>2035</v>
      </c>
      <c r="AG42" s="65">
        <v>2036</v>
      </c>
    </row>
    <row r="43" spans="1:33" ht="14.5" hidden="1" customHeight="1" x14ac:dyDescent="0.35">
      <c r="A43" s="152" t="s">
        <v>49</v>
      </c>
      <c r="B43" s="52" t="s">
        <v>34</v>
      </c>
      <c r="C43" s="45"/>
      <c r="D43" s="79" t="e">
        <f t="shared" ref="D43:Q43" si="32">D42*T43</f>
        <v>#REF!</v>
      </c>
      <c r="E43" s="79" t="e">
        <f t="shared" si="32"/>
        <v>#REF!</v>
      </c>
      <c r="F43" s="79" t="e">
        <f t="shared" si="32"/>
        <v>#REF!</v>
      </c>
      <c r="G43" s="79" t="e">
        <f t="shared" si="32"/>
        <v>#REF!</v>
      </c>
      <c r="H43" s="79" t="e">
        <f t="shared" si="32"/>
        <v>#REF!</v>
      </c>
      <c r="I43" s="79" t="e">
        <f t="shared" si="32"/>
        <v>#REF!</v>
      </c>
      <c r="J43" s="79" t="e">
        <f t="shared" si="32"/>
        <v>#REF!</v>
      </c>
      <c r="K43" s="79" t="e">
        <f t="shared" si="32"/>
        <v>#REF!</v>
      </c>
      <c r="L43" s="79" t="e">
        <f t="shared" si="32"/>
        <v>#REF!</v>
      </c>
      <c r="M43" s="79" t="e">
        <f t="shared" si="32"/>
        <v>#REF!</v>
      </c>
      <c r="N43" s="79" t="e">
        <f t="shared" si="32"/>
        <v>#REF!</v>
      </c>
      <c r="O43" s="79" t="e">
        <f t="shared" si="32"/>
        <v>#REF!</v>
      </c>
      <c r="P43" s="79" t="e">
        <f t="shared" si="32"/>
        <v>#REF!</v>
      </c>
      <c r="Q43" s="79" t="e">
        <f t="shared" si="32"/>
        <v>#REF!</v>
      </c>
      <c r="R43" s="77" t="e">
        <f>RATE(12,,-E43,Q43)</f>
        <v>#REF!</v>
      </c>
      <c r="S43" s="52"/>
      <c r="T43" s="12">
        <v>0.56000000000000005</v>
      </c>
      <c r="U43" s="12">
        <v>0.56092161367703952</v>
      </c>
      <c r="V43" s="12">
        <v>0.56184474408938223</v>
      </c>
      <c r="W43" s="12">
        <v>0.56276939373317769</v>
      </c>
      <c r="X43" s="12">
        <v>0.56369556510868446</v>
      </c>
      <c r="Y43" s="12">
        <v>0.56462326072027491</v>
      </c>
      <c r="Z43" s="12">
        <v>0.56555248307644368</v>
      </c>
      <c r="AA43" s="12">
        <v>0.56648323468981299</v>
      </c>
      <c r="AB43" s="12">
        <v>0.56741551807714108</v>
      </c>
      <c r="AC43" s="12">
        <v>0.56834933575932756</v>
      </c>
      <c r="AD43" s="12">
        <v>0.56928469026142059</v>
      </c>
      <c r="AE43" s="12">
        <v>0.57022158411262425</v>
      </c>
      <c r="AF43" s="12">
        <v>0.57116001984630527</v>
      </c>
      <c r="AG43" s="12">
        <v>0.57209999999999905</v>
      </c>
    </row>
    <row r="44" spans="1:33" ht="15" hidden="1" customHeight="1" thickBot="1" x14ac:dyDescent="0.4">
      <c r="A44" s="153"/>
      <c r="B44" s="53" t="s">
        <v>35</v>
      </c>
      <c r="C44" s="46"/>
      <c r="D44" s="80" t="e">
        <f t="shared" ref="D44:Q44" si="33">D42*T44</f>
        <v>#REF!</v>
      </c>
      <c r="E44" s="80" t="e">
        <f t="shared" si="33"/>
        <v>#REF!</v>
      </c>
      <c r="F44" s="80" t="e">
        <f t="shared" si="33"/>
        <v>#REF!</v>
      </c>
      <c r="G44" s="80" t="e">
        <f t="shared" si="33"/>
        <v>#REF!</v>
      </c>
      <c r="H44" s="80" t="e">
        <f t="shared" si="33"/>
        <v>#REF!</v>
      </c>
      <c r="I44" s="80" t="e">
        <f t="shared" si="33"/>
        <v>#REF!</v>
      </c>
      <c r="J44" s="80" t="e">
        <f t="shared" si="33"/>
        <v>#REF!</v>
      </c>
      <c r="K44" s="80" t="e">
        <f t="shared" si="33"/>
        <v>#REF!</v>
      </c>
      <c r="L44" s="80" t="e">
        <f t="shared" si="33"/>
        <v>#REF!</v>
      </c>
      <c r="M44" s="80" t="e">
        <f t="shared" si="33"/>
        <v>#REF!</v>
      </c>
      <c r="N44" s="80" t="e">
        <f t="shared" si="33"/>
        <v>#REF!</v>
      </c>
      <c r="O44" s="80" t="e">
        <f t="shared" si="33"/>
        <v>#REF!</v>
      </c>
      <c r="P44" s="80" t="e">
        <f t="shared" si="33"/>
        <v>#REF!</v>
      </c>
      <c r="Q44" s="80" t="e">
        <f t="shared" si="33"/>
        <v>#REF!</v>
      </c>
      <c r="R44" s="78" t="e">
        <f>RATE(12,,-E44,Q44)</f>
        <v>#REF!</v>
      </c>
      <c r="S44" s="53"/>
      <c r="T44" s="12">
        <f>1-T43</f>
        <v>0.43999999999999995</v>
      </c>
      <c r="U44" s="12">
        <f t="shared" ref="U44:AG44" si="34">1-U43</f>
        <v>0.43907838632296048</v>
      </c>
      <c r="V44" s="12">
        <f t="shared" si="34"/>
        <v>0.43815525591061777</v>
      </c>
      <c r="W44" s="12">
        <f t="shared" si="34"/>
        <v>0.43723060626682231</v>
      </c>
      <c r="X44" s="12">
        <f t="shared" si="34"/>
        <v>0.43630443489131554</v>
      </c>
      <c r="Y44" s="12">
        <f t="shared" si="34"/>
        <v>0.43537673927972509</v>
      </c>
      <c r="Z44" s="12">
        <f t="shared" si="34"/>
        <v>0.43444751692355632</v>
      </c>
      <c r="AA44" s="12">
        <f t="shared" si="34"/>
        <v>0.43351676531018701</v>
      </c>
      <c r="AB44" s="12">
        <f t="shared" si="34"/>
        <v>0.43258448192285892</v>
      </c>
      <c r="AC44" s="12">
        <f t="shared" si="34"/>
        <v>0.43165066424067244</v>
      </c>
      <c r="AD44" s="12">
        <f t="shared" si="34"/>
        <v>0.43071530973857941</v>
      </c>
      <c r="AE44" s="12">
        <f t="shared" si="34"/>
        <v>0.42977841588737575</v>
      </c>
      <c r="AF44" s="12">
        <f t="shared" si="34"/>
        <v>0.42883998015369473</v>
      </c>
      <c r="AG44" s="12">
        <f t="shared" si="34"/>
        <v>0.42790000000000095</v>
      </c>
    </row>
    <row r="45" spans="1:33" ht="15" hidden="1" customHeight="1" thickBot="1" x14ac:dyDescent="0.4">
      <c r="A45" s="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21"/>
    </row>
    <row r="46" spans="1:33" ht="14.5" hidden="1" customHeight="1" x14ac:dyDescent="0.35">
      <c r="A46" s="152" t="s">
        <v>15</v>
      </c>
      <c r="B46" s="57" t="s">
        <v>16</v>
      </c>
      <c r="C46" s="47"/>
      <c r="D46" s="82" t="e">
        <f t="shared" ref="D46:Q46" si="35">D42*T46</f>
        <v>#REF!</v>
      </c>
      <c r="E46" s="82" t="e">
        <f t="shared" si="35"/>
        <v>#REF!</v>
      </c>
      <c r="F46" s="82" t="e">
        <f t="shared" si="35"/>
        <v>#REF!</v>
      </c>
      <c r="G46" s="82" t="e">
        <f t="shared" si="35"/>
        <v>#REF!</v>
      </c>
      <c r="H46" s="82" t="e">
        <f t="shared" si="35"/>
        <v>#REF!</v>
      </c>
      <c r="I46" s="82" t="e">
        <f t="shared" si="35"/>
        <v>#REF!</v>
      </c>
      <c r="J46" s="82" t="e">
        <f t="shared" si="35"/>
        <v>#REF!</v>
      </c>
      <c r="K46" s="82" t="e">
        <f t="shared" si="35"/>
        <v>#REF!</v>
      </c>
      <c r="L46" s="82" t="e">
        <f t="shared" si="35"/>
        <v>#REF!</v>
      </c>
      <c r="M46" s="82" t="e">
        <f t="shared" si="35"/>
        <v>#REF!</v>
      </c>
      <c r="N46" s="82" t="e">
        <f t="shared" si="35"/>
        <v>#REF!</v>
      </c>
      <c r="O46" s="82" t="e">
        <f t="shared" si="35"/>
        <v>#REF!</v>
      </c>
      <c r="P46" s="82" t="e">
        <f t="shared" si="35"/>
        <v>#REF!</v>
      </c>
      <c r="Q46" s="82" t="e">
        <f t="shared" si="35"/>
        <v>#REF!</v>
      </c>
      <c r="R46" s="69" t="e">
        <f>RATE(12,,-E46,Q46)</f>
        <v>#REF!</v>
      </c>
      <c r="S46" s="57"/>
      <c r="T46" s="12">
        <v>0.47099999999999992</v>
      </c>
      <c r="U46" s="12">
        <v>0.47038461538461535</v>
      </c>
      <c r="V46" s="12">
        <v>0.46976923076923072</v>
      </c>
      <c r="W46" s="12">
        <v>0.46915384615384609</v>
      </c>
      <c r="X46" s="12">
        <v>0.46853846153846151</v>
      </c>
      <c r="Y46" s="12">
        <v>0.46792307692307689</v>
      </c>
      <c r="Z46" s="12">
        <v>0.46730769230769226</v>
      </c>
      <c r="AA46" s="12">
        <v>0.46669230769230763</v>
      </c>
      <c r="AB46" s="12">
        <v>0.46607692307692306</v>
      </c>
      <c r="AC46" s="12">
        <v>0.46546153846153843</v>
      </c>
      <c r="AD46" s="12">
        <v>0.4648461538461538</v>
      </c>
      <c r="AE46" s="12">
        <v>0.46423076923076922</v>
      </c>
      <c r="AF46" s="12">
        <v>0.4636153846153846</v>
      </c>
      <c r="AG46" s="12">
        <v>0.46299999999999997</v>
      </c>
    </row>
    <row r="47" spans="1:33" ht="15" hidden="1" customHeight="1" thickBot="1" x14ac:dyDescent="0.4">
      <c r="A47" s="153"/>
      <c r="B47" s="58" t="s">
        <v>17</v>
      </c>
      <c r="C47" s="48"/>
      <c r="D47" s="83" t="e">
        <f t="shared" ref="D47:Q47" si="36">D42*T47</f>
        <v>#REF!</v>
      </c>
      <c r="E47" s="83" t="e">
        <f t="shared" si="36"/>
        <v>#REF!</v>
      </c>
      <c r="F47" s="83" t="e">
        <f t="shared" si="36"/>
        <v>#REF!</v>
      </c>
      <c r="G47" s="83" t="e">
        <f t="shared" si="36"/>
        <v>#REF!</v>
      </c>
      <c r="H47" s="83" t="e">
        <f t="shared" si="36"/>
        <v>#REF!</v>
      </c>
      <c r="I47" s="83" t="e">
        <f t="shared" si="36"/>
        <v>#REF!</v>
      </c>
      <c r="J47" s="83" t="e">
        <f t="shared" si="36"/>
        <v>#REF!</v>
      </c>
      <c r="K47" s="83" t="e">
        <f t="shared" si="36"/>
        <v>#REF!</v>
      </c>
      <c r="L47" s="83" t="e">
        <f t="shared" si="36"/>
        <v>#REF!</v>
      </c>
      <c r="M47" s="83" t="e">
        <f t="shared" si="36"/>
        <v>#REF!</v>
      </c>
      <c r="N47" s="83" t="e">
        <f t="shared" si="36"/>
        <v>#REF!</v>
      </c>
      <c r="O47" s="83" t="e">
        <f t="shared" si="36"/>
        <v>#REF!</v>
      </c>
      <c r="P47" s="83" t="e">
        <f t="shared" si="36"/>
        <v>#REF!</v>
      </c>
      <c r="Q47" s="83" t="e">
        <f t="shared" si="36"/>
        <v>#REF!</v>
      </c>
      <c r="R47" s="70" t="e">
        <f>RATE(12,,-E47,Q47)</f>
        <v>#REF!</v>
      </c>
      <c r="S47" s="58"/>
      <c r="T47" s="12">
        <f>1-T46</f>
        <v>0.52900000000000014</v>
      </c>
      <c r="U47" s="12">
        <f t="shared" ref="U47:AG47" si="37">1-U46</f>
        <v>0.5296153846153846</v>
      </c>
      <c r="V47" s="12">
        <f t="shared" si="37"/>
        <v>0.53023076923076928</v>
      </c>
      <c r="W47" s="12">
        <f t="shared" si="37"/>
        <v>0.53084615384615397</v>
      </c>
      <c r="X47" s="12">
        <f t="shared" si="37"/>
        <v>0.53146153846153843</v>
      </c>
      <c r="Y47" s="12">
        <f t="shared" si="37"/>
        <v>0.53207692307692311</v>
      </c>
      <c r="Z47" s="12">
        <f t="shared" si="37"/>
        <v>0.5326923076923078</v>
      </c>
      <c r="AA47" s="12">
        <f t="shared" si="37"/>
        <v>0.53330769230769237</v>
      </c>
      <c r="AB47" s="12">
        <f t="shared" si="37"/>
        <v>0.53392307692307694</v>
      </c>
      <c r="AC47" s="12">
        <f t="shared" si="37"/>
        <v>0.53453846153846163</v>
      </c>
      <c r="AD47" s="12">
        <f t="shared" si="37"/>
        <v>0.5351538461538462</v>
      </c>
      <c r="AE47" s="12">
        <f t="shared" si="37"/>
        <v>0.53576923076923078</v>
      </c>
      <c r="AF47" s="12">
        <f t="shared" si="37"/>
        <v>0.53638461538461546</v>
      </c>
      <c r="AG47" s="12">
        <f t="shared" si="37"/>
        <v>0.53700000000000003</v>
      </c>
    </row>
    <row r="48" spans="1:33" ht="15" hidden="1" customHeight="1" thickBot="1" x14ac:dyDescent="0.4">
      <c r="A48" s="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21"/>
    </row>
    <row r="49" spans="1:33" ht="14.5" hidden="1" customHeight="1" x14ac:dyDescent="0.35">
      <c r="A49" s="152" t="s">
        <v>18</v>
      </c>
      <c r="B49" s="54" t="s">
        <v>19</v>
      </c>
      <c r="C49" s="49"/>
      <c r="D49" s="84" t="e">
        <f t="shared" ref="D49:Q49" si="38">D42*T49</f>
        <v>#REF!</v>
      </c>
      <c r="E49" s="84" t="e">
        <f t="shared" si="38"/>
        <v>#REF!</v>
      </c>
      <c r="F49" s="84" t="e">
        <f t="shared" si="38"/>
        <v>#REF!</v>
      </c>
      <c r="G49" s="84" t="e">
        <f t="shared" si="38"/>
        <v>#REF!</v>
      </c>
      <c r="H49" s="84" t="e">
        <f t="shared" si="38"/>
        <v>#REF!</v>
      </c>
      <c r="I49" s="84" t="e">
        <f t="shared" si="38"/>
        <v>#REF!</v>
      </c>
      <c r="J49" s="84" t="e">
        <f t="shared" si="38"/>
        <v>#REF!</v>
      </c>
      <c r="K49" s="84" t="e">
        <f t="shared" si="38"/>
        <v>#REF!</v>
      </c>
      <c r="L49" s="84" t="e">
        <f t="shared" si="38"/>
        <v>#REF!</v>
      </c>
      <c r="M49" s="84" t="e">
        <f t="shared" si="38"/>
        <v>#REF!</v>
      </c>
      <c r="N49" s="84" t="e">
        <f t="shared" si="38"/>
        <v>#REF!</v>
      </c>
      <c r="O49" s="84" t="e">
        <f t="shared" si="38"/>
        <v>#REF!</v>
      </c>
      <c r="P49" s="84" t="e">
        <f t="shared" si="38"/>
        <v>#REF!</v>
      </c>
      <c r="Q49" s="84" t="e">
        <f t="shared" si="38"/>
        <v>#REF!</v>
      </c>
      <c r="R49" s="71" t="e">
        <f>RATE(12,,-E49,Q49)</f>
        <v>#REF!</v>
      </c>
      <c r="S49" s="54"/>
      <c r="T49" s="12">
        <v>0.40099999999999997</v>
      </c>
      <c r="U49" s="12">
        <v>0.40265090533119946</v>
      </c>
      <c r="V49" s="12">
        <v>0.40430860739160734</v>
      </c>
      <c r="W49" s="12">
        <v>0.40597313416316017</v>
      </c>
      <c r="X49" s="12">
        <v>0.40764451374299493</v>
      </c>
      <c r="Y49" s="12">
        <v>0.40932277434392395</v>
      </c>
      <c r="Z49" s="12">
        <v>0.41100794429491083</v>
      </c>
      <c r="AA49" s="12">
        <v>0.4127000520415488</v>
      </c>
      <c r="AB49" s="12">
        <v>0.41439912614654062</v>
      </c>
      <c r="AC49" s="12">
        <v>0.41610519529018092</v>
      </c>
      <c r="AD49" s="12">
        <v>0.41781828827084017</v>
      </c>
      <c r="AE49" s="12">
        <v>0.4195384340054511</v>
      </c>
      <c r="AF49" s="12">
        <v>0.4212656615299965</v>
      </c>
      <c r="AG49" s="12">
        <v>0.42299999999999938</v>
      </c>
    </row>
    <row r="50" spans="1:33" ht="15" hidden="1" customHeight="1" thickBot="1" x14ac:dyDescent="0.4">
      <c r="A50" s="153"/>
      <c r="B50" s="56" t="s">
        <v>20</v>
      </c>
      <c r="C50" s="44"/>
      <c r="D50" s="85" t="e">
        <f t="shared" ref="D50:Q50" si="39">D42*T50</f>
        <v>#REF!</v>
      </c>
      <c r="E50" s="85" t="e">
        <f t="shared" si="39"/>
        <v>#REF!</v>
      </c>
      <c r="F50" s="85" t="e">
        <f t="shared" si="39"/>
        <v>#REF!</v>
      </c>
      <c r="G50" s="85" t="e">
        <f t="shared" si="39"/>
        <v>#REF!</v>
      </c>
      <c r="H50" s="85" t="e">
        <f t="shared" si="39"/>
        <v>#REF!</v>
      </c>
      <c r="I50" s="85" t="e">
        <f t="shared" si="39"/>
        <v>#REF!</v>
      </c>
      <c r="J50" s="85" t="e">
        <f t="shared" si="39"/>
        <v>#REF!</v>
      </c>
      <c r="K50" s="85" t="e">
        <f t="shared" si="39"/>
        <v>#REF!</v>
      </c>
      <c r="L50" s="85" t="e">
        <f t="shared" si="39"/>
        <v>#REF!</v>
      </c>
      <c r="M50" s="85" t="e">
        <f t="shared" si="39"/>
        <v>#REF!</v>
      </c>
      <c r="N50" s="85" t="e">
        <f t="shared" si="39"/>
        <v>#REF!</v>
      </c>
      <c r="O50" s="85" t="e">
        <f t="shared" si="39"/>
        <v>#REF!</v>
      </c>
      <c r="P50" s="85" t="e">
        <f t="shared" si="39"/>
        <v>#REF!</v>
      </c>
      <c r="Q50" s="85" t="e">
        <f t="shared" si="39"/>
        <v>#REF!</v>
      </c>
      <c r="R50" s="72" t="e">
        <f>RATE(12,,-E50,Q50)</f>
        <v>#REF!</v>
      </c>
      <c r="S50" s="56"/>
      <c r="T50" s="12">
        <f>1-T49</f>
        <v>0.59899999999999998</v>
      </c>
      <c r="U50" s="12">
        <f t="shared" ref="U50:AG50" si="40">1-U49</f>
        <v>0.59734909466880048</v>
      </c>
      <c r="V50" s="12">
        <f t="shared" si="40"/>
        <v>0.59569139260839266</v>
      </c>
      <c r="W50" s="12">
        <f t="shared" si="40"/>
        <v>0.59402686583683983</v>
      </c>
      <c r="X50" s="12">
        <f t="shared" si="40"/>
        <v>0.59235548625700507</v>
      </c>
      <c r="Y50" s="12">
        <f t="shared" si="40"/>
        <v>0.59067722565607605</v>
      </c>
      <c r="Z50" s="12">
        <f t="shared" si="40"/>
        <v>0.58899205570508917</v>
      </c>
      <c r="AA50" s="12">
        <f t="shared" si="40"/>
        <v>0.5872999479584512</v>
      </c>
      <c r="AB50" s="12">
        <f t="shared" si="40"/>
        <v>0.58560087385345938</v>
      </c>
      <c r="AC50" s="12">
        <f t="shared" si="40"/>
        <v>0.58389480470981914</v>
      </c>
      <c r="AD50" s="12">
        <f t="shared" si="40"/>
        <v>0.58218171172915989</v>
      </c>
      <c r="AE50" s="12">
        <f t="shared" si="40"/>
        <v>0.5804615659945489</v>
      </c>
      <c r="AF50" s="12">
        <f t="shared" si="40"/>
        <v>0.57873433847000344</v>
      </c>
      <c r="AG50" s="12">
        <f t="shared" si="40"/>
        <v>0.57700000000000062</v>
      </c>
    </row>
    <row r="51" spans="1:33" ht="15" hidden="1" customHeight="1" thickBot="1" x14ac:dyDescent="0.4">
      <c r="A51" s="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21"/>
    </row>
    <row r="52" spans="1:33" ht="14.5" hidden="1" customHeight="1" x14ac:dyDescent="0.35">
      <c r="A52" s="152" t="s">
        <v>14</v>
      </c>
      <c r="B52" s="59" t="s">
        <v>21</v>
      </c>
      <c r="C52" s="50"/>
      <c r="D52" s="86" t="e">
        <f t="shared" ref="D52:Q52" si="41">D42*T52</f>
        <v>#REF!</v>
      </c>
      <c r="E52" s="86" t="e">
        <f t="shared" si="41"/>
        <v>#REF!</v>
      </c>
      <c r="F52" s="86" t="e">
        <f t="shared" si="41"/>
        <v>#REF!</v>
      </c>
      <c r="G52" s="86" t="e">
        <f t="shared" si="41"/>
        <v>#REF!</v>
      </c>
      <c r="H52" s="86" t="e">
        <f t="shared" si="41"/>
        <v>#REF!</v>
      </c>
      <c r="I52" s="86" t="e">
        <f t="shared" si="41"/>
        <v>#REF!</v>
      </c>
      <c r="J52" s="86" t="e">
        <f t="shared" si="41"/>
        <v>#REF!</v>
      </c>
      <c r="K52" s="86" t="e">
        <f t="shared" si="41"/>
        <v>#REF!</v>
      </c>
      <c r="L52" s="86" t="e">
        <f t="shared" si="41"/>
        <v>#REF!</v>
      </c>
      <c r="M52" s="86" t="e">
        <f t="shared" si="41"/>
        <v>#REF!</v>
      </c>
      <c r="N52" s="86" t="e">
        <f t="shared" si="41"/>
        <v>#REF!</v>
      </c>
      <c r="O52" s="86" t="e">
        <f t="shared" si="41"/>
        <v>#REF!</v>
      </c>
      <c r="P52" s="86" t="e">
        <f t="shared" si="41"/>
        <v>#REF!</v>
      </c>
      <c r="Q52" s="86" t="e">
        <f t="shared" si="41"/>
        <v>#REF!</v>
      </c>
      <c r="R52" s="73" t="e">
        <f t="shared" ref="R52:R57" si="42">RATE(12,,-E52,Q52)</f>
        <v>#REF!</v>
      </c>
      <c r="S52" s="59"/>
      <c r="T52" s="12">
        <v>0.25</v>
      </c>
      <c r="U52" s="12">
        <v>0.25155593539307364</v>
      </c>
      <c r="V52" s="12">
        <v>0.25312155452593693</v>
      </c>
      <c r="W52" s="12">
        <v>0.25469691766768382</v>
      </c>
      <c r="X52" s="12">
        <v>0.25628208546250747</v>
      </c>
      <c r="Y52" s="12">
        <v>0.2578771189320348</v>
      </c>
      <c r="Z52" s="12">
        <v>0.25948207947767565</v>
      </c>
      <c r="AA52" s="12">
        <v>0.2610970288829863</v>
      </c>
      <c r="AB52" s="12">
        <v>0.26272202931604799</v>
      </c>
      <c r="AC52" s="12">
        <v>0.26435714333185978</v>
      </c>
      <c r="AD52" s="12">
        <v>0.26600243387474731</v>
      </c>
      <c r="AE52" s="12">
        <v>0.26765796428078514</v>
      </c>
      <c r="AF52" s="12">
        <v>0.26932379828023517</v>
      </c>
      <c r="AG52" s="12">
        <v>0.27100000000000013</v>
      </c>
    </row>
    <row r="53" spans="1:33" ht="14.5" hidden="1" customHeight="1" x14ac:dyDescent="0.35">
      <c r="A53" s="154"/>
      <c r="B53" s="60" t="s">
        <v>22</v>
      </c>
      <c r="C53" s="41"/>
      <c r="D53" s="87" t="e">
        <f t="shared" ref="D53:Q53" si="43">D42*T53</f>
        <v>#REF!</v>
      </c>
      <c r="E53" s="87" t="e">
        <f t="shared" si="43"/>
        <v>#REF!</v>
      </c>
      <c r="F53" s="87" t="e">
        <f t="shared" si="43"/>
        <v>#REF!</v>
      </c>
      <c r="G53" s="87" t="e">
        <f t="shared" si="43"/>
        <v>#REF!</v>
      </c>
      <c r="H53" s="87" t="e">
        <f t="shared" si="43"/>
        <v>#REF!</v>
      </c>
      <c r="I53" s="87" t="e">
        <f t="shared" si="43"/>
        <v>#REF!</v>
      </c>
      <c r="J53" s="87" t="e">
        <f t="shared" si="43"/>
        <v>#REF!</v>
      </c>
      <c r="K53" s="87" t="e">
        <f t="shared" si="43"/>
        <v>#REF!</v>
      </c>
      <c r="L53" s="87" t="e">
        <f t="shared" si="43"/>
        <v>#REF!</v>
      </c>
      <c r="M53" s="87" t="e">
        <f t="shared" si="43"/>
        <v>#REF!</v>
      </c>
      <c r="N53" s="87" t="e">
        <f t="shared" si="43"/>
        <v>#REF!</v>
      </c>
      <c r="O53" s="87" t="e">
        <f t="shared" si="43"/>
        <v>#REF!</v>
      </c>
      <c r="P53" s="87" t="e">
        <f t="shared" si="43"/>
        <v>#REF!</v>
      </c>
      <c r="Q53" s="87" t="e">
        <f t="shared" si="43"/>
        <v>#REF!</v>
      </c>
      <c r="R53" s="74" t="e">
        <f t="shared" si="42"/>
        <v>#REF!</v>
      </c>
      <c r="S53" s="60"/>
      <c r="T53" s="12">
        <v>0.38</v>
      </c>
      <c r="U53" s="12">
        <v>0.38090988938047371</v>
      </c>
      <c r="V53" s="12">
        <v>0.38182195744169661</v>
      </c>
      <c r="W53" s="12">
        <v>0.38273620940040159</v>
      </c>
      <c r="X53" s="12">
        <v>0.38365265048581265</v>
      </c>
      <c r="Y53" s="12">
        <v>0.38457128593967477</v>
      </c>
      <c r="Z53" s="12">
        <v>0.38549212101628438</v>
      </c>
      <c r="AA53" s="12">
        <v>0.38641516098251855</v>
      </c>
      <c r="AB53" s="12">
        <v>0.38734041111786593</v>
      </c>
      <c r="AC53" s="12">
        <v>0.38826787671445667</v>
      </c>
      <c r="AD53" s="12">
        <v>0.38919756307709236</v>
      </c>
      <c r="AE53" s="12">
        <v>0.39012947552327681</v>
      </c>
      <c r="AF53" s="12">
        <v>0.3910636193832463</v>
      </c>
      <c r="AG53" s="12">
        <v>0.39200000000000002</v>
      </c>
    </row>
    <row r="54" spans="1:33" ht="14.5" hidden="1" customHeight="1" x14ac:dyDescent="0.35">
      <c r="A54" s="154"/>
      <c r="B54" s="61" t="s">
        <v>23</v>
      </c>
      <c r="C54" s="41"/>
      <c r="D54" s="88" t="e">
        <f t="shared" ref="D54:Q54" si="44">D53*T54</f>
        <v>#REF!</v>
      </c>
      <c r="E54" s="88" t="e">
        <f t="shared" si="44"/>
        <v>#REF!</v>
      </c>
      <c r="F54" s="88" t="e">
        <f t="shared" si="44"/>
        <v>#REF!</v>
      </c>
      <c r="G54" s="88" t="e">
        <f t="shared" si="44"/>
        <v>#REF!</v>
      </c>
      <c r="H54" s="88" t="e">
        <f t="shared" si="44"/>
        <v>#REF!</v>
      </c>
      <c r="I54" s="88" t="e">
        <f t="shared" si="44"/>
        <v>#REF!</v>
      </c>
      <c r="J54" s="88" t="e">
        <f t="shared" si="44"/>
        <v>#REF!</v>
      </c>
      <c r="K54" s="88" t="e">
        <f t="shared" si="44"/>
        <v>#REF!</v>
      </c>
      <c r="L54" s="88" t="e">
        <f t="shared" si="44"/>
        <v>#REF!</v>
      </c>
      <c r="M54" s="88" t="e">
        <f t="shared" si="44"/>
        <v>#REF!</v>
      </c>
      <c r="N54" s="88" t="e">
        <f t="shared" si="44"/>
        <v>#REF!</v>
      </c>
      <c r="O54" s="88" t="e">
        <f t="shared" si="44"/>
        <v>#REF!</v>
      </c>
      <c r="P54" s="88" t="e">
        <f t="shared" si="44"/>
        <v>#REF!</v>
      </c>
      <c r="Q54" s="88" t="e">
        <f t="shared" si="44"/>
        <v>#REF!</v>
      </c>
      <c r="R54" s="74" t="e">
        <f t="shared" si="42"/>
        <v>#REF!</v>
      </c>
      <c r="S54" s="61"/>
      <c r="T54" s="67">
        <v>0.34999999999999987</v>
      </c>
      <c r="U54" s="67">
        <v>0.34938588387166564</v>
      </c>
      <c r="V54" s="67">
        <v>0.34877284528224306</v>
      </c>
      <c r="W54" s="67">
        <v>0.34816088234106346</v>
      </c>
      <c r="X54" s="67">
        <v>0.34754999316077562</v>
      </c>
      <c r="Y54" s="67">
        <v>0.34694017585733994</v>
      </c>
      <c r="Z54" s="67">
        <v>0.34633142855002247</v>
      </c>
      <c r="AA54" s="67">
        <v>0.34572374936138933</v>
      </c>
      <c r="AB54" s="67">
        <v>0.34511713641730069</v>
      </c>
      <c r="AC54" s="67">
        <v>0.34451158784690528</v>
      </c>
      <c r="AD54" s="67">
        <v>0.34390710178263434</v>
      </c>
      <c r="AE54" s="67">
        <v>0.34330367636019604</v>
      </c>
      <c r="AF54" s="67">
        <v>0.34270130971856966</v>
      </c>
      <c r="AG54" s="67">
        <v>0.34209999999999979</v>
      </c>
    </row>
    <row r="55" spans="1:33" ht="14.5" hidden="1" customHeight="1" x14ac:dyDescent="0.35">
      <c r="A55" s="154"/>
      <c r="B55" s="61" t="s">
        <v>24</v>
      </c>
      <c r="C55" s="41"/>
      <c r="D55" s="88" t="e">
        <f t="shared" ref="D55:Q55" si="45">D53*T55</f>
        <v>#REF!</v>
      </c>
      <c r="E55" s="88" t="e">
        <f t="shared" si="45"/>
        <v>#REF!</v>
      </c>
      <c r="F55" s="88" t="e">
        <f t="shared" si="45"/>
        <v>#REF!</v>
      </c>
      <c r="G55" s="88" t="e">
        <f t="shared" si="45"/>
        <v>#REF!</v>
      </c>
      <c r="H55" s="88" t="e">
        <f t="shared" si="45"/>
        <v>#REF!</v>
      </c>
      <c r="I55" s="88" t="e">
        <f t="shared" si="45"/>
        <v>#REF!</v>
      </c>
      <c r="J55" s="88" t="e">
        <f t="shared" si="45"/>
        <v>#REF!</v>
      </c>
      <c r="K55" s="88" t="e">
        <f t="shared" si="45"/>
        <v>#REF!</v>
      </c>
      <c r="L55" s="88" t="e">
        <f t="shared" si="45"/>
        <v>#REF!</v>
      </c>
      <c r="M55" s="88" t="e">
        <f t="shared" si="45"/>
        <v>#REF!</v>
      </c>
      <c r="N55" s="88" t="e">
        <f t="shared" si="45"/>
        <v>#REF!</v>
      </c>
      <c r="O55" s="88" t="e">
        <f t="shared" si="45"/>
        <v>#REF!</v>
      </c>
      <c r="P55" s="88" t="e">
        <f t="shared" si="45"/>
        <v>#REF!</v>
      </c>
      <c r="Q55" s="88" t="e">
        <f t="shared" si="45"/>
        <v>#REF!</v>
      </c>
      <c r="R55" s="74" t="e">
        <f t="shared" si="42"/>
        <v>#REF!</v>
      </c>
      <c r="S55" s="61"/>
      <c r="T55" s="67">
        <v>0.28000000000000003</v>
      </c>
      <c r="U55" s="67">
        <v>0.28097918830490543</v>
      </c>
      <c r="V55" s="67">
        <v>0.28196180093029821</v>
      </c>
      <c r="W55" s="67">
        <v>0.28294784985137333</v>
      </c>
      <c r="X55" s="67">
        <v>0.28393734708520407</v>
      </c>
      <c r="Y55" s="67">
        <v>0.28493030469088876</v>
      </c>
      <c r="Z55" s="67">
        <v>0.28592673476969749</v>
      </c>
      <c r="AA55" s="67">
        <v>0.28692664946521995</v>
      </c>
      <c r="AB55" s="67">
        <v>0.28793006096351298</v>
      </c>
      <c r="AC55" s="67">
        <v>0.28893698149324931</v>
      </c>
      <c r="AD55" s="67">
        <v>0.28994742332586665</v>
      </c>
      <c r="AE55" s="67">
        <v>0.29096139877571725</v>
      </c>
      <c r="AF55" s="67">
        <v>0.29197892020021765</v>
      </c>
      <c r="AG55" s="67">
        <v>0.29299999999999965</v>
      </c>
    </row>
    <row r="56" spans="1:33" ht="14.5" hidden="1" customHeight="1" x14ac:dyDescent="0.35">
      <c r="A56" s="154"/>
      <c r="B56" s="61" t="s">
        <v>25</v>
      </c>
      <c r="C56" s="41"/>
      <c r="D56" s="88" t="e">
        <f t="shared" ref="D56:Q56" si="46">D53*T56</f>
        <v>#REF!</v>
      </c>
      <c r="E56" s="88" t="e">
        <f t="shared" si="46"/>
        <v>#REF!</v>
      </c>
      <c r="F56" s="88" t="e">
        <f t="shared" si="46"/>
        <v>#REF!</v>
      </c>
      <c r="G56" s="88" t="e">
        <f t="shared" si="46"/>
        <v>#REF!</v>
      </c>
      <c r="H56" s="88" t="e">
        <f t="shared" si="46"/>
        <v>#REF!</v>
      </c>
      <c r="I56" s="88" t="e">
        <f t="shared" si="46"/>
        <v>#REF!</v>
      </c>
      <c r="J56" s="88" t="e">
        <f t="shared" si="46"/>
        <v>#REF!</v>
      </c>
      <c r="K56" s="88" t="e">
        <f t="shared" si="46"/>
        <v>#REF!</v>
      </c>
      <c r="L56" s="88" t="e">
        <f t="shared" si="46"/>
        <v>#REF!</v>
      </c>
      <c r="M56" s="88" t="e">
        <f t="shared" si="46"/>
        <v>#REF!</v>
      </c>
      <c r="N56" s="88" t="e">
        <f t="shared" si="46"/>
        <v>#REF!</v>
      </c>
      <c r="O56" s="88" t="e">
        <f t="shared" si="46"/>
        <v>#REF!</v>
      </c>
      <c r="P56" s="88" t="e">
        <f t="shared" si="46"/>
        <v>#REF!</v>
      </c>
      <c r="Q56" s="88" t="e">
        <f t="shared" si="46"/>
        <v>#REF!</v>
      </c>
      <c r="R56" s="74" t="e">
        <f t="shared" si="42"/>
        <v>#REF!</v>
      </c>
      <c r="S56" s="61"/>
      <c r="T56" s="67">
        <f>1-SUM(T54:T55)</f>
        <v>0.37000000000000011</v>
      </c>
      <c r="U56" s="67">
        <f t="shared" ref="U56:AG56" si="47">1-SUM(U54:U55)</f>
        <v>0.36963492782342899</v>
      </c>
      <c r="V56" s="67">
        <f t="shared" si="47"/>
        <v>0.36926535378745873</v>
      </c>
      <c r="W56" s="67">
        <f t="shared" si="47"/>
        <v>0.36889126780756321</v>
      </c>
      <c r="X56" s="67">
        <f t="shared" si="47"/>
        <v>0.36851265975402026</v>
      </c>
      <c r="Y56" s="67">
        <f t="shared" si="47"/>
        <v>0.3681295194517713</v>
      </c>
      <c r="Z56" s="67">
        <f t="shared" si="47"/>
        <v>0.36774183668028004</v>
      </c>
      <c r="AA56" s="67">
        <f t="shared" si="47"/>
        <v>0.36734960117339077</v>
      </c>
      <c r="AB56" s="67">
        <f t="shared" si="47"/>
        <v>0.36695280261918639</v>
      </c>
      <c r="AC56" s="67">
        <f t="shared" si="47"/>
        <v>0.36655143065984541</v>
      </c>
      <c r="AD56" s="67">
        <f t="shared" si="47"/>
        <v>0.36614547489149896</v>
      </c>
      <c r="AE56" s="67">
        <f t="shared" si="47"/>
        <v>0.36573492486408665</v>
      </c>
      <c r="AF56" s="67">
        <f t="shared" si="47"/>
        <v>0.36531977008121275</v>
      </c>
      <c r="AG56" s="67">
        <f t="shared" si="47"/>
        <v>0.36490000000000056</v>
      </c>
    </row>
    <row r="57" spans="1:33" ht="15" hidden="1" customHeight="1" thickBot="1" x14ac:dyDescent="0.4">
      <c r="A57" s="153"/>
      <c r="B57" s="62" t="s">
        <v>26</v>
      </c>
      <c r="C57" s="51"/>
      <c r="D57" s="89" t="e">
        <f t="shared" ref="D57:Q57" si="48">D42*T57</f>
        <v>#REF!</v>
      </c>
      <c r="E57" s="89" t="e">
        <f t="shared" si="48"/>
        <v>#REF!</v>
      </c>
      <c r="F57" s="89" t="e">
        <f t="shared" si="48"/>
        <v>#REF!</v>
      </c>
      <c r="G57" s="89" t="e">
        <f t="shared" si="48"/>
        <v>#REF!</v>
      </c>
      <c r="H57" s="89" t="e">
        <f t="shared" si="48"/>
        <v>#REF!</v>
      </c>
      <c r="I57" s="89" t="e">
        <f t="shared" si="48"/>
        <v>#REF!</v>
      </c>
      <c r="J57" s="89" t="e">
        <f t="shared" si="48"/>
        <v>#REF!</v>
      </c>
      <c r="K57" s="89" t="e">
        <f t="shared" si="48"/>
        <v>#REF!</v>
      </c>
      <c r="L57" s="89" t="e">
        <f t="shared" si="48"/>
        <v>#REF!</v>
      </c>
      <c r="M57" s="89" t="e">
        <f t="shared" si="48"/>
        <v>#REF!</v>
      </c>
      <c r="N57" s="89" t="e">
        <f t="shared" si="48"/>
        <v>#REF!</v>
      </c>
      <c r="O57" s="89" t="e">
        <f t="shared" si="48"/>
        <v>#REF!</v>
      </c>
      <c r="P57" s="89" t="e">
        <f t="shared" si="48"/>
        <v>#REF!</v>
      </c>
      <c r="Q57" s="89" t="e">
        <f t="shared" si="48"/>
        <v>#REF!</v>
      </c>
      <c r="R57" s="75" t="e">
        <f t="shared" si="42"/>
        <v>#REF!</v>
      </c>
      <c r="S57" s="62"/>
      <c r="T57" s="12">
        <f>1-SUM(T52+T53)</f>
        <v>0.37</v>
      </c>
      <c r="U57" s="12">
        <f t="shared" ref="U57:AG57" si="49">1-SUM(U52+U53)</f>
        <v>0.36753417522645271</v>
      </c>
      <c r="V57" s="12">
        <f t="shared" si="49"/>
        <v>0.36505648803236646</v>
      </c>
      <c r="W57" s="12">
        <f t="shared" si="49"/>
        <v>0.36256687293191459</v>
      </c>
      <c r="X57" s="12">
        <f t="shared" si="49"/>
        <v>0.36006526405167993</v>
      </c>
      <c r="Y57" s="12">
        <f t="shared" si="49"/>
        <v>0.35755159512829038</v>
      </c>
      <c r="Z57" s="12">
        <f t="shared" si="49"/>
        <v>0.35502579950603996</v>
      </c>
      <c r="AA57" s="12">
        <f t="shared" si="49"/>
        <v>0.35248781013449515</v>
      </c>
      <c r="AB57" s="12">
        <f t="shared" si="49"/>
        <v>0.34993755956608608</v>
      </c>
      <c r="AC57" s="12">
        <f t="shared" si="49"/>
        <v>0.3473749799536836</v>
      </c>
      <c r="AD57" s="12">
        <f t="shared" si="49"/>
        <v>0.34480000304816039</v>
      </c>
      <c r="AE57" s="12">
        <f t="shared" si="49"/>
        <v>0.34221256019593804</v>
      </c>
      <c r="AF57" s="12">
        <f t="shared" si="49"/>
        <v>0.33961258233651859</v>
      </c>
      <c r="AG57" s="12">
        <f t="shared" si="49"/>
        <v>0.33699999999999986</v>
      </c>
    </row>
    <row r="58" spans="1:33" ht="15" hidden="1" customHeight="1" thickBot="1" x14ac:dyDescent="0.4">
      <c r="A58" s="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21"/>
    </row>
    <row r="59" spans="1:33" ht="14.5" hidden="1" customHeight="1" x14ac:dyDescent="0.35">
      <c r="A59" s="152" t="s">
        <v>27</v>
      </c>
      <c r="B59" s="54" t="s">
        <v>28</v>
      </c>
      <c r="C59" s="49"/>
      <c r="D59" s="84" t="e">
        <f t="shared" ref="D59:Q59" si="50">D42*T59</f>
        <v>#REF!</v>
      </c>
      <c r="E59" s="84" t="e">
        <f t="shared" si="50"/>
        <v>#REF!</v>
      </c>
      <c r="F59" s="84" t="e">
        <f t="shared" si="50"/>
        <v>#REF!</v>
      </c>
      <c r="G59" s="84" t="e">
        <f t="shared" si="50"/>
        <v>#REF!</v>
      </c>
      <c r="H59" s="84" t="e">
        <f t="shared" si="50"/>
        <v>#REF!</v>
      </c>
      <c r="I59" s="84" t="e">
        <f t="shared" si="50"/>
        <v>#REF!</v>
      </c>
      <c r="J59" s="84" t="e">
        <f t="shared" si="50"/>
        <v>#REF!</v>
      </c>
      <c r="K59" s="84" t="e">
        <f t="shared" si="50"/>
        <v>#REF!</v>
      </c>
      <c r="L59" s="84" t="e">
        <f t="shared" si="50"/>
        <v>#REF!</v>
      </c>
      <c r="M59" s="84" t="e">
        <f t="shared" si="50"/>
        <v>#REF!</v>
      </c>
      <c r="N59" s="84" t="e">
        <f t="shared" si="50"/>
        <v>#REF!</v>
      </c>
      <c r="O59" s="84" t="e">
        <f t="shared" si="50"/>
        <v>#REF!</v>
      </c>
      <c r="P59" s="84" t="e">
        <f t="shared" si="50"/>
        <v>#REF!</v>
      </c>
      <c r="Q59" s="84" t="e">
        <f t="shared" si="50"/>
        <v>#REF!</v>
      </c>
      <c r="R59" s="71" t="e">
        <f>RATE(12,,-E59,Q59)</f>
        <v>#REF!</v>
      </c>
      <c r="S59" s="54"/>
      <c r="T59" s="12">
        <v>0.40099999999999997</v>
      </c>
      <c r="U59" s="12">
        <v>0.40265090533119946</v>
      </c>
      <c r="V59" s="12">
        <v>0.40430860739160734</v>
      </c>
      <c r="W59" s="12">
        <v>0.40597313416316017</v>
      </c>
      <c r="X59" s="12">
        <v>0.40764451374299493</v>
      </c>
      <c r="Y59" s="12">
        <v>0.40932277434392395</v>
      </c>
      <c r="Z59" s="12">
        <v>0.41100794429491083</v>
      </c>
      <c r="AA59" s="12">
        <v>0.4127000520415488</v>
      </c>
      <c r="AB59" s="12">
        <v>0.41439912614654062</v>
      </c>
      <c r="AC59" s="12">
        <v>0.41610519529018092</v>
      </c>
      <c r="AD59" s="12">
        <v>0.41781828827084017</v>
      </c>
      <c r="AE59" s="12">
        <v>0.4195384340054511</v>
      </c>
      <c r="AF59" s="12">
        <v>0.4212656615299965</v>
      </c>
      <c r="AG59" s="12">
        <v>0.42299999999999938</v>
      </c>
    </row>
    <row r="60" spans="1:33" ht="14.5" hidden="1" customHeight="1" x14ac:dyDescent="0.35">
      <c r="A60" s="154"/>
      <c r="B60" s="55" t="s">
        <v>29</v>
      </c>
      <c r="C60" s="40"/>
      <c r="D60" s="90" t="e">
        <f t="shared" ref="D60:Q60" si="51">D42*T60</f>
        <v>#REF!</v>
      </c>
      <c r="E60" s="90" t="e">
        <f t="shared" si="51"/>
        <v>#REF!</v>
      </c>
      <c r="F60" s="90" t="e">
        <f t="shared" si="51"/>
        <v>#REF!</v>
      </c>
      <c r="G60" s="90" t="e">
        <f t="shared" si="51"/>
        <v>#REF!</v>
      </c>
      <c r="H60" s="90" t="e">
        <f t="shared" si="51"/>
        <v>#REF!</v>
      </c>
      <c r="I60" s="90" t="e">
        <f t="shared" si="51"/>
        <v>#REF!</v>
      </c>
      <c r="J60" s="90" t="e">
        <f t="shared" si="51"/>
        <v>#REF!</v>
      </c>
      <c r="K60" s="90" t="e">
        <f t="shared" si="51"/>
        <v>#REF!</v>
      </c>
      <c r="L60" s="90" t="e">
        <f t="shared" si="51"/>
        <v>#REF!</v>
      </c>
      <c r="M60" s="90" t="e">
        <f t="shared" si="51"/>
        <v>#REF!</v>
      </c>
      <c r="N60" s="90" t="e">
        <f t="shared" si="51"/>
        <v>#REF!</v>
      </c>
      <c r="O60" s="90" t="e">
        <f t="shared" si="51"/>
        <v>#REF!</v>
      </c>
      <c r="P60" s="90" t="e">
        <f t="shared" si="51"/>
        <v>#REF!</v>
      </c>
      <c r="Q60" s="90" t="e">
        <f t="shared" si="51"/>
        <v>#REF!</v>
      </c>
      <c r="R60" s="76" t="e">
        <f>RATE(12,,-E60,Q60)</f>
        <v>#REF!</v>
      </c>
      <c r="S60" s="55"/>
      <c r="T60" s="12">
        <v>0.43099999999999999</v>
      </c>
      <c r="U60" s="12">
        <v>0.43183634674261745</v>
      </c>
      <c r="V60" s="12">
        <v>0.43267431639909548</v>
      </c>
      <c r="W60" s="12">
        <v>0.43351391211866536</v>
      </c>
      <c r="X60" s="12">
        <v>0.43435513705666956</v>
      </c>
      <c r="Y60" s="12">
        <v>0.43519799437457324</v>
      </c>
      <c r="Z60" s="12">
        <v>0.43604248723997657</v>
      </c>
      <c r="AA60" s="12">
        <v>0.43688861882662616</v>
      </c>
      <c r="AB60" s="12">
        <v>0.43773639231442729</v>
      </c>
      <c r="AC60" s="12">
        <v>0.43858581088945586</v>
      </c>
      <c r="AD60" s="12">
        <v>0.43943687774397006</v>
      </c>
      <c r="AE60" s="12">
        <v>0.44028959607642287</v>
      </c>
      <c r="AF60" s="12">
        <v>0.44114396909147369</v>
      </c>
      <c r="AG60" s="12">
        <v>0.44200000000000028</v>
      </c>
    </row>
    <row r="61" spans="1:33" ht="15" hidden="1" customHeight="1" thickBot="1" x14ac:dyDescent="0.4">
      <c r="A61" s="153"/>
      <c r="B61" s="56" t="s">
        <v>30</v>
      </c>
      <c r="C61" s="44"/>
      <c r="D61" s="85" t="e">
        <f t="shared" ref="D61:Q61" si="52">D42*T61</f>
        <v>#REF!</v>
      </c>
      <c r="E61" s="85" t="e">
        <f t="shared" si="52"/>
        <v>#REF!</v>
      </c>
      <c r="F61" s="85" t="e">
        <f t="shared" si="52"/>
        <v>#REF!</v>
      </c>
      <c r="G61" s="85" t="e">
        <f t="shared" si="52"/>
        <v>#REF!</v>
      </c>
      <c r="H61" s="85" t="e">
        <f t="shared" si="52"/>
        <v>#REF!</v>
      </c>
      <c r="I61" s="85" t="e">
        <f t="shared" si="52"/>
        <v>#REF!</v>
      </c>
      <c r="J61" s="85" t="e">
        <f t="shared" si="52"/>
        <v>#REF!</v>
      </c>
      <c r="K61" s="85" t="e">
        <f t="shared" si="52"/>
        <v>#REF!</v>
      </c>
      <c r="L61" s="85" t="e">
        <f t="shared" si="52"/>
        <v>#REF!</v>
      </c>
      <c r="M61" s="85" t="e">
        <f t="shared" si="52"/>
        <v>#REF!</v>
      </c>
      <c r="N61" s="85" t="e">
        <f t="shared" si="52"/>
        <v>#REF!</v>
      </c>
      <c r="O61" s="85" t="e">
        <f t="shared" si="52"/>
        <v>#REF!</v>
      </c>
      <c r="P61" s="85" t="e">
        <f t="shared" si="52"/>
        <v>#REF!</v>
      </c>
      <c r="Q61" s="85" t="e">
        <f t="shared" si="52"/>
        <v>#REF!</v>
      </c>
      <c r="R61" s="72" t="e">
        <f>RATE(12,,-E61,Q61)</f>
        <v>#REF!</v>
      </c>
      <c r="S61" s="56"/>
      <c r="T61" s="12">
        <f>1-SUM(T59:T60)</f>
        <v>0.16800000000000004</v>
      </c>
      <c r="U61" s="12">
        <f t="shared" ref="U61:AG61" si="53">1-SUM(U59:U60)</f>
        <v>0.16551274792618309</v>
      </c>
      <c r="V61" s="12">
        <f t="shared" si="53"/>
        <v>0.16301707620929717</v>
      </c>
      <c r="W61" s="12">
        <f t="shared" si="53"/>
        <v>0.16051295371817442</v>
      </c>
      <c r="X61" s="12">
        <f t="shared" si="53"/>
        <v>0.15800034920033545</v>
      </c>
      <c r="Y61" s="12">
        <f t="shared" si="53"/>
        <v>0.15547923128150276</v>
      </c>
      <c r="Z61" s="12">
        <f t="shared" si="53"/>
        <v>0.15294956846511254</v>
      </c>
      <c r="AA61" s="12">
        <f t="shared" si="53"/>
        <v>0.15041132913182498</v>
      </c>
      <c r="AB61" s="12">
        <f t="shared" si="53"/>
        <v>0.14786448153903209</v>
      </c>
      <c r="AC61" s="12">
        <f t="shared" si="53"/>
        <v>0.14530899382036322</v>
      </c>
      <c r="AD61" s="12">
        <f t="shared" si="53"/>
        <v>0.14274483398518978</v>
      </c>
      <c r="AE61" s="12">
        <f t="shared" si="53"/>
        <v>0.14017196991812608</v>
      </c>
      <c r="AF61" s="12">
        <f t="shared" si="53"/>
        <v>0.13759036937852986</v>
      </c>
      <c r="AG61" s="12">
        <f t="shared" si="53"/>
        <v>0.13500000000000034</v>
      </c>
    </row>
    <row r="62" spans="1:33" ht="15.5" x14ac:dyDescent="0.35">
      <c r="A62" s="42"/>
      <c r="B62" s="43"/>
      <c r="C62" s="93"/>
      <c r="D62" s="91">
        <v>2023</v>
      </c>
      <c r="E62" s="65">
        <v>2024</v>
      </c>
      <c r="F62" s="65">
        <v>2025</v>
      </c>
      <c r="G62" s="65">
        <v>2026</v>
      </c>
      <c r="H62" s="65">
        <v>2027</v>
      </c>
      <c r="I62" s="65">
        <v>2028</v>
      </c>
      <c r="J62" s="65">
        <v>2029</v>
      </c>
      <c r="K62" s="65">
        <v>2030</v>
      </c>
      <c r="L62" s="65">
        <v>2031</v>
      </c>
      <c r="M62" s="65">
        <v>2032</v>
      </c>
      <c r="N62" s="65">
        <v>2033</v>
      </c>
      <c r="O62" s="65">
        <v>2034</v>
      </c>
      <c r="P62" s="65">
        <v>2035</v>
      </c>
      <c r="Q62" s="65">
        <v>2036</v>
      </c>
      <c r="R62" s="66" t="s">
        <v>84</v>
      </c>
    </row>
    <row r="63" spans="1:33" ht="16" thickBot="1" x14ac:dyDescent="0.4">
      <c r="A63" s="1"/>
      <c r="C63" s="21"/>
      <c r="D63" s="92">
        <f>'Market Analysis '!C59</f>
        <v>58.509750000000047</v>
      </c>
      <c r="E63" s="92">
        <f>'Market Analysis '!D59</f>
        <v>61.727786250000044</v>
      </c>
      <c r="F63" s="92">
        <f>'Market Analysis '!E59</f>
        <v>65.211707042963695</v>
      </c>
      <c r="G63" s="92">
        <f>'Market Analysis '!F59</f>
        <v>68.988629083688409</v>
      </c>
      <c r="H63" s="92">
        <f>'Market Analysis '!G59</f>
        <v>73.088921669079653</v>
      </c>
      <c r="I63" s="92">
        <f>'Market Analysis '!H59</f>
        <v>77.546651755623017</v>
      </c>
      <c r="J63" s="92">
        <f>'Market Analysis '!I59</f>
        <v>82.400097132695322</v>
      </c>
      <c r="K63" s="92">
        <f>'Market Analysis '!J59</f>
        <v>87.692339193565658</v>
      </c>
      <c r="L63" s="92">
        <f>'Market Analysis '!K59</f>
        <v>93.471948911636389</v>
      </c>
      <c r="M63" s="92">
        <f>'Market Analysis '!L59</f>
        <v>99.79378216666862</v>
      </c>
      <c r="N63" s="92">
        <f>'Market Analysis '!M59</f>
        <v>106.7199036146953</v>
      </c>
      <c r="O63" s="92">
        <f>'Market Analysis '!N59</f>
        <v>114.32066196698119</v>
      </c>
      <c r="P63" s="92">
        <f>'Market Analysis '!O59</f>
        <v>122.6759439743816</v>
      </c>
      <c r="Q63" s="92">
        <f>'Market Analysis '!P59</f>
        <v>131.87663977246021</v>
      </c>
      <c r="R63" s="68">
        <f>RATE(9,,-H63,Q63)</f>
        <v>6.777461273705758E-2</v>
      </c>
      <c r="T63" s="65">
        <v>2023</v>
      </c>
      <c r="U63" s="65">
        <v>2024</v>
      </c>
      <c r="V63" s="65">
        <v>2025</v>
      </c>
      <c r="W63" s="65">
        <v>2026</v>
      </c>
      <c r="X63" s="65">
        <v>2027</v>
      </c>
      <c r="Y63" s="65">
        <v>2028</v>
      </c>
      <c r="Z63" s="65">
        <v>2029</v>
      </c>
      <c r="AA63" s="65">
        <v>2030</v>
      </c>
      <c r="AB63" s="65">
        <v>2031</v>
      </c>
      <c r="AC63" s="65">
        <v>2032</v>
      </c>
      <c r="AD63" s="65">
        <v>2033</v>
      </c>
      <c r="AE63" s="65">
        <v>2034</v>
      </c>
      <c r="AF63" s="65">
        <v>2035</v>
      </c>
      <c r="AG63" s="65">
        <v>2036</v>
      </c>
    </row>
    <row r="64" spans="1:33" s="121" customFormat="1" x14ac:dyDescent="0.35">
      <c r="A64" s="147" t="s">
        <v>59</v>
      </c>
      <c r="B64" s="118" t="s">
        <v>60</v>
      </c>
      <c r="C64" s="119"/>
      <c r="D64" s="120">
        <f>D63*T64</f>
        <v>33.350557500000029</v>
      </c>
      <c r="E64" s="120">
        <f>E63*U64</f>
        <v>35.231940867147138</v>
      </c>
      <c r="F64" s="120">
        <f>F63*V64</f>
        <v>37.270262000383653</v>
      </c>
      <c r="G64" s="120">
        <f t="shared" ref="G64:Q64" si="54">G63*W64</f>
        <v>39.481659833187678</v>
      </c>
      <c r="H64" s="120">
        <f t="shared" si="54"/>
        <v>41.884221976878635</v>
      </c>
      <c r="I64" s="120">
        <f t="shared" si="54"/>
        <v>44.498252869903496</v>
      </c>
      <c r="J64" s="120">
        <f t="shared" si="54"/>
        <v>47.346583162559128</v>
      </c>
      <c r="K64" s="120">
        <f t="shared" si="54"/>
        <v>50.454927325625931</v>
      </c>
      <c r="L64" s="120">
        <f t="shared" si="54"/>
        <v>53.85229776312385</v>
      </c>
      <c r="M64" s="120">
        <f t="shared" si="54"/>
        <v>57.571485259421031</v>
      </c>
      <c r="N64" s="120">
        <f t="shared" si="54"/>
        <v>61.649617454729778</v>
      </c>
      <c r="O64" s="120">
        <f t="shared" si="54"/>
        <v>66.128809288861831</v>
      </c>
      <c r="P64" s="120">
        <f t="shared" si="54"/>
        <v>71.056922065095165</v>
      </c>
      <c r="Q64" s="120">
        <f t="shared" si="54"/>
        <v>76.488451068027032</v>
      </c>
      <c r="R64" s="68">
        <f t="shared" ref="R64:R68" si="55">RATE(9,,-H64,Q64)</f>
        <v>6.9204065729795886E-2</v>
      </c>
      <c r="S64" s="118" t="s">
        <v>60</v>
      </c>
      <c r="T64" s="136">
        <v>0.57000000000000006</v>
      </c>
      <c r="U64" s="136">
        <v>0.57076307134126514</v>
      </c>
      <c r="V64" s="136">
        <v>0.57152716422265615</v>
      </c>
      <c r="W64" s="136">
        <v>0.57229228001173127</v>
      </c>
      <c r="X64" s="136">
        <v>0.57305842007787888</v>
      </c>
      <c r="Y64" s="136">
        <v>0.57382558579232101</v>
      </c>
      <c r="Z64" s="136">
        <v>0.57459377852811533</v>
      </c>
      <c r="AA64" s="136">
        <v>0.57536299966015747</v>
      </c>
      <c r="AB64" s="136">
        <v>0.57613325056518361</v>
      </c>
      <c r="AC64" s="136">
        <v>0.57690453262177344</v>
      </c>
      <c r="AD64" s="136">
        <v>0.57767684721035151</v>
      </c>
      <c r="AE64" s="136">
        <v>0.57845019571319112</v>
      </c>
      <c r="AF64" s="136">
        <v>0.57922457951441542</v>
      </c>
      <c r="AG64" s="136">
        <v>0.58000000000000085</v>
      </c>
    </row>
    <row r="65" spans="1:33" s="117" customFormat="1" x14ac:dyDescent="0.35">
      <c r="A65" s="148"/>
      <c r="B65" s="113" t="s">
        <v>61</v>
      </c>
      <c r="C65" s="114"/>
      <c r="D65" s="115">
        <f>D63*T65</f>
        <v>8.19136500000001</v>
      </c>
      <c r="E65" s="115">
        <f t="shared" ref="E65:Q65" si="56">E63*U65</f>
        <v>8.6513246101465331</v>
      </c>
      <c r="F65" s="115">
        <f t="shared" si="56"/>
        <v>9.1495839092309499</v>
      </c>
      <c r="G65" s="115">
        <f t="shared" si="56"/>
        <v>9.6900754869316366</v>
      </c>
      <c r="H65" s="115">
        <f t="shared" si="56"/>
        <v>10.277206189261525</v>
      </c>
      <c r="I65" s="115">
        <f t="shared" si="56"/>
        <v>10.915922311283294</v>
      </c>
      <c r="J65" s="115">
        <f t="shared" si="56"/>
        <v>11.611784805925442</v>
      </c>
      <c r="K65" s="115">
        <f t="shared" si="56"/>
        <v>12.371056205026852</v>
      </c>
      <c r="L65" s="115">
        <f t="shared" si="56"/>
        <v>13.200801262016332</v>
      </c>
      <c r="M65" s="115">
        <f t="shared" si="56"/>
        <v>14.10900370151036</v>
      </c>
      <c r="N65" s="115">
        <f t="shared" si="56"/>
        <v>15.104701913030414</v>
      </c>
      <c r="O65" s="115">
        <f t="shared" si="56"/>
        <v>16.198146970529141</v>
      </c>
      <c r="P65" s="115">
        <f t="shared" si="56"/>
        <v>17.400987016840457</v>
      </c>
      <c r="Q65" s="115">
        <f t="shared" si="56"/>
        <v>18.726482847689354</v>
      </c>
      <c r="R65" s="68">
        <f t="shared" si="55"/>
        <v>6.8940324985693996E-2</v>
      </c>
      <c r="S65" s="113" t="s">
        <v>61</v>
      </c>
      <c r="T65" s="135">
        <v>0.14000000000000007</v>
      </c>
      <c r="U65" s="135">
        <v>0.14015284097680608</v>
      </c>
      <c r="V65" s="135">
        <v>0.14030584881335637</v>
      </c>
      <c r="W65" s="135">
        <v>0.14045902369181512</v>
      </c>
      <c r="X65" s="135">
        <v>0.1406123657945457</v>
      </c>
      <c r="Y65" s="135">
        <v>0.14076587530411028</v>
      </c>
      <c r="Z65" s="135">
        <v>0.14091955240327056</v>
      </c>
      <c r="AA65" s="135">
        <v>0.14107339727498758</v>
      </c>
      <c r="AB65" s="135">
        <v>0.14122741010242224</v>
      </c>
      <c r="AC65" s="135">
        <v>0.14138159106893539</v>
      </c>
      <c r="AD65" s="135">
        <v>0.141535940358088</v>
      </c>
      <c r="AE65" s="135">
        <v>0.14169045815364148</v>
      </c>
      <c r="AF65" s="135">
        <v>0.14184514463955789</v>
      </c>
      <c r="AG65" s="135">
        <v>0.14200000000000004</v>
      </c>
    </row>
    <row r="66" spans="1:33" s="117" customFormat="1" x14ac:dyDescent="0.35">
      <c r="A66" s="148"/>
      <c r="B66" s="113" t="s">
        <v>62</v>
      </c>
      <c r="C66" s="114"/>
      <c r="D66" s="115">
        <f>D63*T66</f>
        <v>8.1913650000000064</v>
      </c>
      <c r="E66" s="115">
        <f t="shared" ref="E66:Q66" si="57">E63*U66</f>
        <v>8.6466227838450358</v>
      </c>
      <c r="F66" s="115">
        <f t="shared" si="57"/>
        <v>9.139641370715454</v>
      </c>
      <c r="G66" s="115">
        <f t="shared" si="57"/>
        <v>9.6742849704100173</v>
      </c>
      <c r="H66" s="115">
        <f t="shared" si="57"/>
        <v>10.254882551201332</v>
      </c>
      <c r="I66" s="115">
        <f t="shared" si="57"/>
        <v>10.886291581178277</v>
      </c>
      <c r="J66" s="115">
        <f t="shared" si="57"/>
        <v>11.57397154314754</v>
      </c>
      <c r="K66" s="115">
        <f t="shared" si="57"/>
        <v>12.32406887519978</v>
      </c>
      <c r="L66" s="115">
        <f t="shared" si="57"/>
        <v>13.143515293700268</v>
      </c>
      <c r="M66" s="115">
        <f t="shared" si="57"/>
        <v>14.040141820903798</v>
      </c>
      <c r="N66" s="115">
        <f t="shared" si="57"/>
        <v>15.022811278653187</v>
      </c>
      <c r="O66" s="115">
        <f t="shared" si="57"/>
        <v>16.101572538725435</v>
      </c>
      <c r="P66" s="115">
        <f t="shared" si="57"/>
        <v>17.28784045907997</v>
      </c>
      <c r="Q66" s="115">
        <f t="shared" si="57"/>
        <v>18.594606207916925</v>
      </c>
      <c r="R66" s="68">
        <f t="shared" si="55"/>
        <v>6.8359376753955189E-2</v>
      </c>
      <c r="S66" s="113" t="s">
        <v>62</v>
      </c>
      <c r="T66" s="135">
        <v>0.14000000000000001</v>
      </c>
      <c r="U66" s="135">
        <v>0.14007667063947282</v>
      </c>
      <c r="V66" s="135">
        <v>0.14015338326742385</v>
      </c>
      <c r="W66" s="135">
        <v>0.1402301379068481</v>
      </c>
      <c r="X66" s="135">
        <v>0.14030693458075291</v>
      </c>
      <c r="Y66" s="135">
        <v>0.14038377331215846</v>
      </c>
      <c r="Z66" s="135">
        <v>0.14046065412409731</v>
      </c>
      <c r="AA66" s="135">
        <v>0.14053757703961495</v>
      </c>
      <c r="AB66" s="135">
        <v>0.14061454208176913</v>
      </c>
      <c r="AC66" s="135">
        <v>0.14069154927363042</v>
      </c>
      <c r="AD66" s="135">
        <v>0.14076859863828203</v>
      </c>
      <c r="AE66" s="135">
        <v>0.14084569019881982</v>
      </c>
      <c r="AF66" s="135">
        <v>0.14092282397835218</v>
      </c>
      <c r="AG66" s="135">
        <v>0.14100000000000026</v>
      </c>
    </row>
    <row r="67" spans="1:33" s="117" customFormat="1" x14ac:dyDescent="0.35">
      <c r="A67" s="148"/>
      <c r="B67" s="113" t="s">
        <v>63</v>
      </c>
      <c r="C67" s="114"/>
      <c r="D67" s="115">
        <f>D63*T67</f>
        <v>5.850975000000008</v>
      </c>
      <c r="E67" s="115">
        <f t="shared" ref="E67:Q67" si="58">E63*U67</f>
        <v>6.1959891442952548</v>
      </c>
      <c r="F67" s="115">
        <f t="shared" si="58"/>
        <v>6.5703039503448366</v>
      </c>
      <c r="G67" s="115">
        <f t="shared" si="58"/>
        <v>6.9769779934024134</v>
      </c>
      <c r="H67" s="115">
        <f t="shared" si="58"/>
        <v>7.4194436169416749</v>
      </c>
      <c r="I67" s="115">
        <f t="shared" si="58"/>
        <v>7.9015588923797786</v>
      </c>
      <c r="J67" s="115">
        <f t="shared" si="58"/>
        <v>8.4276676406412943</v>
      </c>
      <c r="K67" s="115">
        <f t="shared" si="58"/>
        <v>9.0026688927814735</v>
      </c>
      <c r="L67" s="115">
        <f t="shared" si="58"/>
        <v>9.6320974232925582</v>
      </c>
      <c r="M67" s="115">
        <f t="shared" si="58"/>
        <v>10.322217297730155</v>
      </c>
      <c r="N67" s="115">
        <f t="shared" si="58"/>
        <v>11.080130747076277</v>
      </c>
      <c r="O67" s="115">
        <f t="shared" si="58"/>
        <v>11.913905128536799</v>
      </c>
      <c r="P67" s="115">
        <f t="shared" si="58"/>
        <v>12.832721273199359</v>
      </c>
      <c r="Q67" s="115">
        <f t="shared" si="58"/>
        <v>13.847047176108337</v>
      </c>
      <c r="R67" s="68">
        <f t="shared" si="55"/>
        <v>7.1789596062481087E-2</v>
      </c>
      <c r="S67" s="113" t="s">
        <v>63</v>
      </c>
      <c r="T67" s="135">
        <v>0.10000000000000006</v>
      </c>
      <c r="U67" s="135">
        <v>0.10037601412111632</v>
      </c>
      <c r="V67" s="135">
        <v>0.10075344210842535</v>
      </c>
      <c r="W67" s="135">
        <v>0.10113228927826372</v>
      </c>
      <c r="X67" s="135">
        <v>0.10151256096695813</v>
      </c>
      <c r="Y67" s="135">
        <v>0.10189426253090064</v>
      </c>
      <c r="Z67" s="135">
        <v>0.10227739934662408</v>
      </c>
      <c r="AA67" s="135">
        <v>0.10266197681087785</v>
      </c>
      <c r="AB67" s="135">
        <v>0.10304800034070384</v>
      </c>
      <c r="AC67" s="135">
        <v>0.10343547537351282</v>
      </c>
      <c r="AD67" s="135">
        <v>0.10382440736716095</v>
      </c>
      <c r="AE67" s="135">
        <v>0.10421480180002674</v>
      </c>
      <c r="AF67" s="135">
        <v>0.10460666417108815</v>
      </c>
      <c r="AG67" s="135">
        <v>0.10500000000000011</v>
      </c>
    </row>
    <row r="68" spans="1:33" s="117" customFormat="1" x14ac:dyDescent="0.35">
      <c r="A68" s="148"/>
      <c r="B68" s="113" t="s">
        <v>64</v>
      </c>
      <c r="C68" s="114"/>
      <c r="D68" s="115">
        <f>D63*T68</f>
        <v>2.9254874999999854</v>
      </c>
      <c r="E68" s="115">
        <f t="shared" ref="E68:Q68" si="59">E63*U68</f>
        <v>3.0019088445660791</v>
      </c>
      <c r="F68" s="115">
        <f t="shared" si="59"/>
        <v>3.0819158122887997</v>
      </c>
      <c r="G68" s="115">
        <f t="shared" si="59"/>
        <v>3.1656307997566646</v>
      </c>
      <c r="H68" s="115">
        <f>H63*X68</f>
        <v>3.2531673347964811</v>
      </c>
      <c r="I68" s="115">
        <f t="shared" si="59"/>
        <v>3.3446261008781781</v>
      </c>
      <c r="J68" s="115">
        <f t="shared" si="59"/>
        <v>3.4400899804219147</v>
      </c>
      <c r="K68" s="115">
        <f t="shared" si="59"/>
        <v>3.5396178949316282</v>
      </c>
      <c r="L68" s="115">
        <f t="shared" si="59"/>
        <v>3.6432371695033789</v>
      </c>
      <c r="M68" s="115">
        <f t="shared" si="59"/>
        <v>3.7509340871032761</v>
      </c>
      <c r="N68" s="115">
        <f t="shared" si="59"/>
        <v>3.8626422212056428</v>
      </c>
      <c r="O68" s="115">
        <f t="shared" si="59"/>
        <v>3.9782280403279766</v>
      </c>
      <c r="P68" s="115">
        <f t="shared" si="59"/>
        <v>4.0974731601666461</v>
      </c>
      <c r="Q68" s="115">
        <f t="shared" si="59"/>
        <v>4.2200524727185691</v>
      </c>
      <c r="R68" s="68">
        <f t="shared" si="55"/>
        <v>2.9335207236372358E-2</v>
      </c>
      <c r="S68" s="113" t="s">
        <v>64</v>
      </c>
      <c r="T68" s="135">
        <f>1-SUM(T64:T67)</f>
        <v>4.9999999999999711E-2</v>
      </c>
      <c r="U68" s="135">
        <f t="shared" ref="U68:AG68" si="60">1-SUM(U64:U67)</f>
        <v>4.8631402921339606E-2</v>
      </c>
      <c r="V68" s="135">
        <f t="shared" si="60"/>
        <v>4.7260161588138283E-2</v>
      </c>
      <c r="W68" s="135">
        <f t="shared" si="60"/>
        <v>4.5886269111341749E-2</v>
      </c>
      <c r="X68" s="135">
        <f t="shared" si="60"/>
        <v>4.4509718579864299E-2</v>
      </c>
      <c r="Y68" s="135">
        <f t="shared" si="60"/>
        <v>4.3130503060509695E-2</v>
      </c>
      <c r="Z68" s="135">
        <f t="shared" si="60"/>
        <v>4.1748615597892669E-2</v>
      </c>
      <c r="AA68" s="135">
        <f t="shared" si="60"/>
        <v>4.0364049214362208E-2</v>
      </c>
      <c r="AB68" s="135">
        <f t="shared" si="60"/>
        <v>3.8976796909921174E-2</v>
      </c>
      <c r="AC68" s="135">
        <f t="shared" si="60"/>
        <v>3.7586851662147924E-2</v>
      </c>
      <c r="AD68" s="135">
        <f t="shared" si="60"/>
        <v>3.6194206426117481E-2</v>
      </c>
      <c r="AE68" s="135">
        <f t="shared" si="60"/>
        <v>3.4798854134320822E-2</v>
      </c>
      <c r="AF68" s="135">
        <f t="shared" si="60"/>
        <v>3.3400787696586387E-2</v>
      </c>
      <c r="AG68" s="135">
        <f t="shared" si="60"/>
        <v>3.1999999999998807E-2</v>
      </c>
    </row>
    <row r="69" spans="1:33" x14ac:dyDescent="0.35">
      <c r="A69" s="1"/>
      <c r="D69" s="81" t="b">
        <f>D63=SUM(D64:D68)</f>
        <v>1</v>
      </c>
      <c r="E69" s="81" t="b">
        <f t="shared" ref="E69:Q69" si="61">E63=SUM(E64:E68)</f>
        <v>1</v>
      </c>
      <c r="F69" s="81" t="b">
        <f t="shared" si="61"/>
        <v>1</v>
      </c>
      <c r="G69" s="81" t="b">
        <f t="shared" si="61"/>
        <v>1</v>
      </c>
      <c r="H69" s="81" t="b">
        <f t="shared" si="61"/>
        <v>1</v>
      </c>
      <c r="I69" s="81" t="b">
        <f t="shared" si="61"/>
        <v>1</v>
      </c>
      <c r="J69" s="81" t="b">
        <f t="shared" si="61"/>
        <v>1</v>
      </c>
      <c r="K69" s="81" t="b">
        <f t="shared" si="61"/>
        <v>1</v>
      </c>
      <c r="L69" s="81" t="b">
        <f t="shared" si="61"/>
        <v>1</v>
      </c>
      <c r="M69" s="81" t="b">
        <f t="shared" si="61"/>
        <v>1</v>
      </c>
      <c r="N69" s="81" t="b">
        <f t="shared" si="61"/>
        <v>1</v>
      </c>
      <c r="O69" s="81" t="b">
        <f t="shared" si="61"/>
        <v>1</v>
      </c>
      <c r="P69" s="81" t="b">
        <f t="shared" si="61"/>
        <v>1</v>
      </c>
      <c r="Q69" s="81" t="b">
        <f t="shared" si="61"/>
        <v>1</v>
      </c>
      <c r="R69" s="21"/>
    </row>
    <row r="70" spans="1:33" s="117" customFormat="1" x14ac:dyDescent="0.35">
      <c r="A70" s="149" t="s">
        <v>65</v>
      </c>
      <c r="B70" s="122" t="s">
        <v>66</v>
      </c>
      <c r="C70" s="123"/>
      <c r="D70" s="124">
        <f>D63*T70</f>
        <v>27.558092250000016</v>
      </c>
      <c r="E70" s="124">
        <f t="shared" ref="E70:Q70" si="62">E63*U70</f>
        <v>28.996596919952669</v>
      </c>
      <c r="F70" s="124">
        <f t="shared" si="62"/>
        <v>30.551836451486974</v>
      </c>
      <c r="G70" s="124">
        <f t="shared" si="62"/>
        <v>32.235520631699814</v>
      </c>
      <c r="H70" s="124">
        <f t="shared" si="62"/>
        <v>34.060745610500767</v>
      </c>
      <c r="I70" s="124">
        <f t="shared" si="62"/>
        <v>36.042181507881679</v>
      </c>
      <c r="J70" s="124">
        <f t="shared" si="62"/>
        <v>38.196288451798324</v>
      </c>
      <c r="K70" s="124">
        <f t="shared" si="62"/>
        <v>40.541565802450343</v>
      </c>
      <c r="L70" s="124">
        <f t="shared" si="62"/>
        <v>43.098840187445511</v>
      </c>
      <c r="M70" s="124">
        <f t="shared" si="62"/>
        <v>45.891599012854051</v>
      </c>
      <c r="N70" s="124">
        <f t="shared" si="62"/>
        <v>48.946377364051941</v>
      </c>
      <c r="O70" s="124">
        <f t="shared" si="62"/>
        <v>52.293207712387456</v>
      </c>
      <c r="P70" s="124">
        <f t="shared" si="62"/>
        <v>55.966143654282796</v>
      </c>
      <c r="Q70" s="124">
        <f t="shared" si="62"/>
        <v>60.003871096469346</v>
      </c>
      <c r="R70" s="68">
        <f>RATE(9,,-H70,Q70)</f>
        <v>6.49396895606177E-2</v>
      </c>
      <c r="S70" s="122" t="s">
        <v>66</v>
      </c>
      <c r="T70" s="135">
        <v>0.47099999999999986</v>
      </c>
      <c r="U70" s="135">
        <v>0.46974950312514485</v>
      </c>
      <c r="V70" s="135">
        <v>0.46850232629792044</v>
      </c>
      <c r="W70" s="135">
        <v>0.4672584607036574</v>
      </c>
      <c r="X70" s="135">
        <v>0.46601789755108947</v>
      </c>
      <c r="Y70" s="135">
        <v>0.46478062807229081</v>
      </c>
      <c r="Z70" s="135">
        <v>0.46354664352261449</v>
      </c>
      <c r="AA70" s="135">
        <v>0.46231593518063024</v>
      </c>
      <c r="AB70" s="135">
        <v>0.46108849434806326</v>
      </c>
      <c r="AC70" s="135">
        <v>0.45986431234973235</v>
      </c>
      <c r="AD70" s="135">
        <v>0.4586433805334888</v>
      </c>
      <c r="AE70" s="135">
        <v>0.45742569027015528</v>
      </c>
      <c r="AF70" s="135">
        <v>0.45621123295346477</v>
      </c>
      <c r="AG70" s="135">
        <v>0.45499999999999963</v>
      </c>
    </row>
    <row r="71" spans="1:33" s="117" customFormat="1" x14ac:dyDescent="0.35">
      <c r="A71" s="149"/>
      <c r="B71" s="122" t="s">
        <v>67</v>
      </c>
      <c r="C71" s="123"/>
      <c r="D71" s="124">
        <f>D63*T71</f>
        <v>29.25487500000002</v>
      </c>
      <c r="E71" s="124">
        <f t="shared" ref="E71:Q71" si="63">E63*U71</f>
        <v>30.910943272111954</v>
      </c>
      <c r="F71" s="124">
        <f t="shared" si="63"/>
        <v>32.705340616515919</v>
      </c>
      <c r="G71" s="124">
        <f t="shared" si="63"/>
        <v>34.652308667836984</v>
      </c>
      <c r="H71" s="124">
        <f t="shared" si="63"/>
        <v>36.767810232792144</v>
      </c>
      <c r="I71" s="124">
        <f t="shared" si="63"/>
        <v>39.069766318310656</v>
      </c>
      <c r="J71" s="124">
        <f t="shared" si="63"/>
        <v>41.578329634243865</v>
      </c>
      <c r="K71" s="124">
        <f t="shared" si="63"/>
        <v>44.316200756052574</v>
      </c>
      <c r="L71" s="124">
        <f t="shared" si="63"/>
        <v>47.308994276786905</v>
      </c>
      <c r="M71" s="124">
        <f t="shared" si="63"/>
        <v>50.58566365044495</v>
      </c>
      <c r="N71" s="124">
        <f t="shared" si="63"/>
        <v>54.178995079610985</v>
      </c>
      <c r="O71" s="124">
        <f t="shared" si="63"/>
        <v>58.126182789634278</v>
      </c>
      <c r="P71" s="124">
        <f t="shared" si="63"/>
        <v>62.469500434087024</v>
      </c>
      <c r="Q71" s="124">
        <f t="shared" si="63"/>
        <v>67.257086283954607</v>
      </c>
      <c r="R71" s="68">
        <f>RATE(9,,-H71,Q71)</f>
        <v>6.9402370855752141E-2</v>
      </c>
      <c r="S71" s="122" t="s">
        <v>67</v>
      </c>
      <c r="T71" s="135">
        <v>0.49999999999999994</v>
      </c>
      <c r="U71" s="135">
        <v>0.50076221990079761</v>
      </c>
      <c r="V71" s="135">
        <v>0.50152560175994976</v>
      </c>
      <c r="W71" s="135">
        <v>0.50229014734879163</v>
      </c>
      <c r="X71" s="135">
        <v>0.50305585844135947</v>
      </c>
      <c r="Y71" s="135">
        <v>0.50382273681439316</v>
      </c>
      <c r="Z71" s="135">
        <v>0.50459078424734172</v>
      </c>
      <c r="AA71" s="135">
        <v>0.50536000252236668</v>
      </c>
      <c r="AB71" s="135">
        <v>0.50613039342434607</v>
      </c>
      <c r="AC71" s="135">
        <v>0.50690195874087929</v>
      </c>
      <c r="AD71" s="135">
        <v>0.50767470026229067</v>
      </c>
      <c r="AE71" s="135">
        <v>0.50844861978163358</v>
      </c>
      <c r="AF71" s="135">
        <v>0.50922371909469488</v>
      </c>
      <c r="AG71" s="135">
        <v>0.50999999999999923</v>
      </c>
    </row>
    <row r="72" spans="1:33" s="117" customFormat="1" x14ac:dyDescent="0.35">
      <c r="A72" s="149"/>
      <c r="B72" s="122" t="s">
        <v>68</v>
      </c>
      <c r="C72" s="123"/>
      <c r="D72" s="124">
        <f>D63*T72</f>
        <v>1.6967827500000094</v>
      </c>
      <c r="E72" s="124">
        <f t="shared" ref="E72:Q72" si="64">E63*U72</f>
        <v>1.8202460579354218</v>
      </c>
      <c r="F72" s="124">
        <f t="shared" si="64"/>
        <v>1.9545299749608009</v>
      </c>
      <c r="G72" s="124">
        <f t="shared" si="64"/>
        <v>2.1007997841516102</v>
      </c>
      <c r="H72" s="124">
        <f t="shared" si="64"/>
        <v>2.2603658257867436</v>
      </c>
      <c r="I72" s="124">
        <f t="shared" si="64"/>
        <v>2.4347039294306838</v>
      </c>
      <c r="J72" s="124">
        <f t="shared" si="64"/>
        <v>2.6254790466531337</v>
      </c>
      <c r="K72" s="124">
        <f t="shared" si="64"/>
        <v>2.8345726350627456</v>
      </c>
      <c r="L72" s="124">
        <f t="shared" si="64"/>
        <v>3.0641144474039792</v>
      </c>
      <c r="M72" s="124">
        <f>M63*AC72</f>
        <v>3.3165195033696193</v>
      </c>
      <c r="N72" s="124">
        <f t="shared" si="64"/>
        <v>3.5945311710323757</v>
      </c>
      <c r="O72" s="124">
        <f t="shared" si="64"/>
        <v>3.9012714649594593</v>
      </c>
      <c r="P72" s="124">
        <f t="shared" si="64"/>
        <v>4.2402998860117798</v>
      </c>
      <c r="Q72" s="124">
        <f t="shared" si="64"/>
        <v>4.6156823920362582</v>
      </c>
      <c r="R72" s="68">
        <f>RATE(9,,-H72,Q72)</f>
        <v>8.2557064036329453E-2</v>
      </c>
      <c r="S72" s="122" t="s">
        <v>68</v>
      </c>
      <c r="T72" s="135">
        <f>1-SUM(T70:T71)</f>
        <v>2.9000000000000137E-2</v>
      </c>
      <c r="U72" s="135">
        <f t="shared" ref="U72:AG72" si="65">1-SUM(U70:U71)</f>
        <v>2.9488276974057537E-2</v>
      </c>
      <c r="V72" s="135">
        <f t="shared" si="65"/>
        <v>2.9972071942129808E-2</v>
      </c>
      <c r="W72" s="135">
        <f t="shared" si="65"/>
        <v>3.0451391947550976E-2</v>
      </c>
      <c r="X72" s="135">
        <f t="shared" si="65"/>
        <v>3.0926244007551063E-2</v>
      </c>
      <c r="Y72" s="135">
        <f t="shared" si="65"/>
        <v>3.1396635113316029E-2</v>
      </c>
      <c r="Z72" s="135">
        <f t="shared" si="65"/>
        <v>3.1862572230043851E-2</v>
      </c>
      <c r="AA72" s="135">
        <f t="shared" si="65"/>
        <v>3.2324062297003131E-2</v>
      </c>
      <c r="AB72" s="135">
        <f t="shared" si="65"/>
        <v>3.2781112227590725E-2</v>
      </c>
      <c r="AC72" s="135">
        <f t="shared" si="65"/>
        <v>3.323372890938836E-2</v>
      </c>
      <c r="AD72" s="135">
        <f t="shared" si="65"/>
        <v>3.3681919204220589E-2</v>
      </c>
      <c r="AE72" s="135">
        <f t="shared" si="65"/>
        <v>3.4125689948211191E-2</v>
      </c>
      <c r="AF72" s="135">
        <f t="shared" si="65"/>
        <v>3.4565047951840344E-2</v>
      </c>
      <c r="AG72" s="135">
        <f t="shared" si="65"/>
        <v>3.5000000000001141E-2</v>
      </c>
    </row>
    <row r="73" spans="1:33" x14ac:dyDescent="0.35">
      <c r="A73" s="1"/>
      <c r="D73" s="81" t="b">
        <f>D63=SUM(D70:D72)</f>
        <v>1</v>
      </c>
      <c r="E73" s="81" t="b">
        <f t="shared" ref="E73:Q73" si="66">E63=SUM(E70:E72)</f>
        <v>1</v>
      </c>
      <c r="F73" s="81" t="b">
        <f t="shared" si="66"/>
        <v>1</v>
      </c>
      <c r="G73" s="81" t="b">
        <f t="shared" si="66"/>
        <v>1</v>
      </c>
      <c r="H73" s="81" t="b">
        <f t="shared" si="66"/>
        <v>1</v>
      </c>
      <c r="I73" s="81" t="b">
        <f t="shared" si="66"/>
        <v>1</v>
      </c>
      <c r="J73" s="81" t="b">
        <f t="shared" si="66"/>
        <v>1</v>
      </c>
      <c r="K73" s="81" t="b">
        <f t="shared" si="66"/>
        <v>1</v>
      </c>
      <c r="L73" s="81" t="b">
        <f t="shared" si="66"/>
        <v>1</v>
      </c>
      <c r="M73" s="81" t="b">
        <f t="shared" si="66"/>
        <v>1</v>
      </c>
      <c r="N73" s="81" t="b">
        <f t="shared" si="66"/>
        <v>1</v>
      </c>
      <c r="O73" s="81" t="b">
        <f t="shared" si="66"/>
        <v>1</v>
      </c>
      <c r="P73" s="81" t="b">
        <f t="shared" si="66"/>
        <v>1</v>
      </c>
      <c r="Q73" s="81" t="b">
        <f t="shared" si="66"/>
        <v>1</v>
      </c>
      <c r="R73" s="21"/>
    </row>
    <row r="74" spans="1:33" s="117" customFormat="1" x14ac:dyDescent="0.35">
      <c r="A74" s="149" t="s">
        <v>69</v>
      </c>
      <c r="B74" s="125" t="s">
        <v>70</v>
      </c>
      <c r="C74" s="126"/>
      <c r="D74" s="127">
        <f>D63*T74</f>
        <v>32.765460000000026</v>
      </c>
      <c r="E74" s="127">
        <f t="shared" ref="E74:Q74" si="67">E63*U74</f>
        <v>34.572308591250028</v>
      </c>
      <c r="F74" s="127">
        <f t="shared" si="67"/>
        <v>36.528588514373979</v>
      </c>
      <c r="G74" s="127">
        <f t="shared" si="67"/>
        <v>38.649552739730979</v>
      </c>
      <c r="H74" s="127">
        <f t="shared" si="67"/>
        <v>40.952285033659713</v>
      </c>
      <c r="I74" s="127">
        <f t="shared" si="67"/>
        <v>43.455950618439523</v>
      </c>
      <c r="J74" s="127">
        <f t="shared" si="67"/>
        <v>46.182085208370623</v>
      </c>
      <c r="K74" s="127">
        <f t="shared" si="67"/>
        <v>49.154928900270228</v>
      </c>
      <c r="L74" s="127">
        <f t="shared" si="67"/>
        <v>52.401812589846614</v>
      </c>
      <c r="M74" s="127">
        <f t="shared" si="67"/>
        <v>55.953606016372895</v>
      </c>
      <c r="N74" s="127">
        <f t="shared" si="67"/>
        <v>59.845238257779137</v>
      </c>
      <c r="O74" s="127">
        <f t="shared" si="67"/>
        <v>64.116303569327684</v>
      </c>
      <c r="P74" s="127">
        <f t="shared" si="67"/>
        <v>68.811767958553133</v>
      </c>
      <c r="Q74" s="127">
        <f t="shared" si="67"/>
        <v>73.982794912350187</v>
      </c>
      <c r="R74" s="68">
        <f>RATE(9,,-H74,Q74)</f>
        <v>6.792112409088151E-2</v>
      </c>
      <c r="S74" s="125" t="s">
        <v>70</v>
      </c>
      <c r="T74" s="135">
        <v>0.56000000000000005</v>
      </c>
      <c r="U74" s="135">
        <v>0.56007692307692314</v>
      </c>
      <c r="V74" s="135">
        <v>0.56015384615384622</v>
      </c>
      <c r="W74" s="135">
        <v>0.56023076923076931</v>
      </c>
      <c r="X74" s="135">
        <v>0.5603076923076924</v>
      </c>
      <c r="Y74" s="135">
        <v>0.56038461538461548</v>
      </c>
      <c r="Z74" s="135">
        <v>0.56046153846153846</v>
      </c>
      <c r="AA74" s="135">
        <v>0.56053846153846154</v>
      </c>
      <c r="AB74" s="135">
        <v>0.56061538461538463</v>
      </c>
      <c r="AC74" s="135">
        <v>0.56069230769230771</v>
      </c>
      <c r="AD74" s="135">
        <v>0.5607692307692308</v>
      </c>
      <c r="AE74" s="135">
        <v>0.56084615384615388</v>
      </c>
      <c r="AF74" s="135">
        <v>0.56092307692307697</v>
      </c>
      <c r="AG74" s="135">
        <v>0.56100000000000005</v>
      </c>
    </row>
    <row r="75" spans="1:33" s="117" customFormat="1" x14ac:dyDescent="0.35">
      <c r="A75" s="149"/>
      <c r="B75" s="125" t="s">
        <v>71</v>
      </c>
      <c r="C75" s="126"/>
      <c r="D75" s="127">
        <f>D63*T75</f>
        <v>14.627437500000012</v>
      </c>
      <c r="E75" s="127">
        <f t="shared" ref="E75:Q75" si="68">E63*U75</f>
        <v>15.446191436250013</v>
      </c>
      <c r="F75" s="127">
        <f t="shared" si="68"/>
        <v>16.333024471683832</v>
      </c>
      <c r="G75" s="127">
        <f t="shared" si="68"/>
        <v>17.294918629518502</v>
      </c>
      <c r="H75" s="127">
        <f t="shared" si="68"/>
        <v>18.339697114195218</v>
      </c>
      <c r="I75" s="127">
        <f t="shared" si="68"/>
        <v>19.476139844777627</v>
      </c>
      <c r="J75" s="127">
        <f t="shared" si="68"/>
        <v>20.714116725357563</v>
      </c>
      <c r="K75" s="127">
        <f t="shared" si="68"/>
        <v>22.06474165401179</v>
      </c>
      <c r="L75" s="127">
        <f t="shared" si="68"/>
        <v>23.54055082589981</v>
      </c>
      <c r="M75" s="127">
        <f t="shared" si="68"/>
        <v>25.155709550782547</v>
      </c>
      <c r="N75" s="127">
        <f t="shared" si="68"/>
        <v>26.926252604323118</v>
      </c>
      <c r="O75" s="127">
        <f t="shared" si="68"/>
        <v>28.870364095199943</v>
      </c>
      <c r="P75" s="127">
        <f t="shared" si="68"/>
        <v>31.00870399229369</v>
      </c>
      <c r="Q75" s="127">
        <f t="shared" si="68"/>
        <v>33.364789862432431</v>
      </c>
      <c r="R75" s="68">
        <f>RATE(9,,-H75,Q75)</f>
        <v>6.875303111230778E-2</v>
      </c>
      <c r="S75" s="125" t="s">
        <v>71</v>
      </c>
      <c r="T75" s="135">
        <v>0.25</v>
      </c>
      <c r="U75" s="135">
        <v>0.25023076923076926</v>
      </c>
      <c r="V75" s="135">
        <v>0.25046153846153846</v>
      </c>
      <c r="W75" s="135">
        <v>0.25069230769230771</v>
      </c>
      <c r="X75" s="135">
        <v>0.25092307692307692</v>
      </c>
      <c r="Y75" s="135">
        <v>0.25115384615384617</v>
      </c>
      <c r="Z75" s="135">
        <v>0.25138461538461537</v>
      </c>
      <c r="AA75" s="135">
        <v>0.25161538461538463</v>
      </c>
      <c r="AB75" s="135">
        <v>0.25184615384615383</v>
      </c>
      <c r="AC75" s="135">
        <v>0.25207692307692309</v>
      </c>
      <c r="AD75" s="135">
        <v>0.25230769230769229</v>
      </c>
      <c r="AE75" s="135">
        <v>0.25253846153846154</v>
      </c>
      <c r="AF75" s="135">
        <v>0.2527692307692308</v>
      </c>
      <c r="AG75" s="135">
        <v>0.253</v>
      </c>
    </row>
    <row r="76" spans="1:33" s="117" customFormat="1" x14ac:dyDescent="0.35">
      <c r="A76" s="149"/>
      <c r="B76" s="125" t="s">
        <v>72</v>
      </c>
      <c r="C76" s="126"/>
      <c r="D76" s="127">
        <f>D63*T76</f>
        <v>7.6062675000000066</v>
      </c>
      <c r="E76" s="127">
        <f t="shared" ref="E76:Q76" si="69">E63*U76</f>
        <v>8.034108795000007</v>
      </c>
      <c r="F76" s="127">
        <f t="shared" si="69"/>
        <v>8.4975870562138862</v>
      </c>
      <c r="G76" s="127">
        <f t="shared" si="69"/>
        <v>9.000362686610428</v>
      </c>
      <c r="H76" s="127">
        <f t="shared" si="69"/>
        <v>9.5465376149305587</v>
      </c>
      <c r="I76" s="127">
        <f t="shared" si="69"/>
        <v>10.140715998812242</v>
      </c>
      <c r="J76" s="127">
        <f t="shared" si="69"/>
        <v>10.788074255372882</v>
      </c>
      <c r="K76" s="127">
        <f t="shared" si="69"/>
        <v>11.494441998910453</v>
      </c>
      <c r="L76" s="127">
        <f t="shared" si="69"/>
        <v>12.266395757173207</v>
      </c>
      <c r="M76" s="127">
        <f t="shared" si="69"/>
        <v>13.111367687743849</v>
      </c>
      <c r="N76" s="127">
        <f t="shared" si="69"/>
        <v>14.037771937009921</v>
      </c>
      <c r="O76" s="127">
        <f t="shared" si="69"/>
        <v>15.055151791343988</v>
      </c>
      <c r="P76" s="127">
        <f t="shared" si="69"/>
        <v>16.174351382468469</v>
      </c>
      <c r="Q76" s="127">
        <f t="shared" si="69"/>
        <v>17.407716449964749</v>
      </c>
      <c r="R76" s="68">
        <f>RATE(9,,-H76,Q76)</f>
        <v>6.9026411553600925E-2</v>
      </c>
      <c r="S76" s="125" t="s">
        <v>72</v>
      </c>
      <c r="T76" s="135">
        <v>0.13</v>
      </c>
      <c r="U76" s="135">
        <v>0.13015384615384618</v>
      </c>
      <c r="V76" s="135">
        <v>0.13030769230769232</v>
      </c>
      <c r="W76" s="135">
        <v>0.13046153846153849</v>
      </c>
      <c r="X76" s="135">
        <v>0.13061538461538463</v>
      </c>
      <c r="Y76" s="135">
        <v>0.13076923076923078</v>
      </c>
      <c r="Z76" s="135">
        <v>0.13092307692307695</v>
      </c>
      <c r="AA76" s="135">
        <v>0.13107692307692309</v>
      </c>
      <c r="AB76" s="135">
        <v>0.13123076923076923</v>
      </c>
      <c r="AC76" s="135">
        <v>0.13138461538461541</v>
      </c>
      <c r="AD76" s="135">
        <v>0.13153846153846155</v>
      </c>
      <c r="AE76" s="135">
        <v>0.13169230769230772</v>
      </c>
      <c r="AF76" s="135">
        <v>0.13184615384615386</v>
      </c>
      <c r="AG76" s="135">
        <v>0.13200000000000001</v>
      </c>
    </row>
    <row r="77" spans="1:33" s="117" customFormat="1" x14ac:dyDescent="0.35">
      <c r="A77" s="149"/>
      <c r="B77" s="125" t="s">
        <v>73</v>
      </c>
      <c r="C77" s="126"/>
      <c r="D77" s="127">
        <f>D63*T77</f>
        <v>1.170195000000001</v>
      </c>
      <c r="E77" s="127">
        <f t="shared" ref="E77:Q77" si="70">E63*U77</f>
        <v>1.2393040162500009</v>
      </c>
      <c r="F77" s="127">
        <f t="shared" si="70"/>
        <v>1.314266711173576</v>
      </c>
      <c r="G77" s="127">
        <f t="shared" si="70"/>
        <v>1.3956930345392347</v>
      </c>
      <c r="H77" s="127">
        <f t="shared" si="70"/>
        <v>1.4842673323566946</v>
      </c>
      <c r="I77" s="127">
        <f t="shared" si="70"/>
        <v>1.5807586704030845</v>
      </c>
      <c r="J77" s="127">
        <f t="shared" si="70"/>
        <v>1.6860327567151505</v>
      </c>
      <c r="K77" s="127">
        <f t="shared" si="70"/>
        <v>1.8010657357447715</v>
      </c>
      <c r="L77" s="127">
        <f t="shared" si="70"/>
        <v>1.9269601775629654</v>
      </c>
      <c r="M77" s="127">
        <f t="shared" si="70"/>
        <v>2.0649636463718353</v>
      </c>
      <c r="N77" s="127">
        <f t="shared" si="70"/>
        <v>2.2164903058436716</v>
      </c>
      <c r="O77" s="127">
        <f t="shared" si="70"/>
        <v>2.3831461071578386</v>
      </c>
      <c r="P77" s="127">
        <f t="shared" si="70"/>
        <v>2.5667582123870609</v>
      </c>
      <c r="Q77" s="127">
        <f t="shared" si="70"/>
        <v>2.7694094352216645</v>
      </c>
      <c r="R77" s="68">
        <f>RATE(9,,-H77,Q77)</f>
        <v>7.1759215554130618E-2</v>
      </c>
      <c r="S77" s="125" t="s">
        <v>73</v>
      </c>
      <c r="T77" s="135">
        <v>0.02</v>
      </c>
      <c r="U77" s="135">
        <v>2.0076923076923076E-2</v>
      </c>
      <c r="V77" s="135">
        <v>2.0153846153846154E-2</v>
      </c>
      <c r="W77" s="135">
        <v>2.0230769230769229E-2</v>
      </c>
      <c r="X77" s="135">
        <v>2.0307692307692308E-2</v>
      </c>
      <c r="Y77" s="135">
        <v>2.0384615384615383E-2</v>
      </c>
      <c r="Z77" s="135">
        <v>2.0461538461538462E-2</v>
      </c>
      <c r="AA77" s="135">
        <v>2.0538461538461537E-2</v>
      </c>
      <c r="AB77" s="135">
        <v>2.0615384615384615E-2</v>
      </c>
      <c r="AC77" s="135">
        <v>2.069230769230769E-2</v>
      </c>
      <c r="AD77" s="135">
        <v>2.0769230769230769E-2</v>
      </c>
      <c r="AE77" s="135">
        <v>2.0846153846153844E-2</v>
      </c>
      <c r="AF77" s="135">
        <v>2.0923076923076923E-2</v>
      </c>
      <c r="AG77" s="135">
        <v>2.1000000000000001E-2</v>
      </c>
    </row>
    <row r="78" spans="1:33" s="117" customFormat="1" x14ac:dyDescent="0.35">
      <c r="A78" s="149"/>
      <c r="B78" s="125" t="s">
        <v>74</v>
      </c>
      <c r="C78" s="126"/>
      <c r="D78" s="127">
        <f>D63*T78</f>
        <v>2.3403899999999975</v>
      </c>
      <c r="E78" s="127">
        <f t="shared" ref="E78:Q78" si="71">E63*U78</f>
        <v>2.4358734112499936</v>
      </c>
      <c r="F78" s="127">
        <f t="shared" si="71"/>
        <v>2.5382402895184204</v>
      </c>
      <c r="G78" s="127">
        <f t="shared" si="71"/>
        <v>2.6481019932892527</v>
      </c>
      <c r="H78" s="127">
        <f t="shared" si="71"/>
        <v>2.7661345739374612</v>
      </c>
      <c r="I78" s="127">
        <f t="shared" si="71"/>
        <v>2.8930866231905474</v>
      </c>
      <c r="J78" s="127">
        <f t="shared" si="71"/>
        <v>3.0297881868791054</v>
      </c>
      <c r="K78" s="127">
        <f t="shared" si="71"/>
        <v>3.1771609046284128</v>
      </c>
      <c r="L78" s="127">
        <f t="shared" si="71"/>
        <v>3.3362295611537909</v>
      </c>
      <c r="M78" s="127">
        <f t="shared" si="71"/>
        <v>3.5081352653974984</v>
      </c>
      <c r="N78" s="127">
        <f t="shared" si="71"/>
        <v>3.6941505097394511</v>
      </c>
      <c r="O78" s="127">
        <f t="shared" si="71"/>
        <v>3.8956964039517352</v>
      </c>
      <c r="P78" s="127">
        <f t="shared" si="71"/>
        <v>4.1143624286792573</v>
      </c>
      <c r="Q78" s="127">
        <f t="shared" si="71"/>
        <v>4.3519291124911765</v>
      </c>
      <c r="R78" s="68">
        <f>RATE(9,,-H78,Q78)</f>
        <v>5.1641248195242698E-2</v>
      </c>
      <c r="S78" s="125" t="s">
        <v>74</v>
      </c>
      <c r="T78" s="135">
        <f>1-SUM(T74:T77)</f>
        <v>3.9999999999999925E-2</v>
      </c>
      <c r="U78" s="135">
        <f t="shared" ref="U78:AG78" si="72">1-SUM(U74:U77)</f>
        <v>3.9461538461538326E-2</v>
      </c>
      <c r="V78" s="135">
        <f t="shared" si="72"/>
        <v>3.8923076923076727E-2</v>
      </c>
      <c r="W78" s="135">
        <f t="shared" si="72"/>
        <v>3.8384615384615128E-2</v>
      </c>
      <c r="X78" s="135">
        <f t="shared" si="72"/>
        <v>3.7846153846153641E-2</v>
      </c>
      <c r="Y78" s="135">
        <f t="shared" si="72"/>
        <v>3.7307692307692264E-2</v>
      </c>
      <c r="Z78" s="135">
        <f t="shared" si="72"/>
        <v>3.6769230769230776E-2</v>
      </c>
      <c r="AA78" s="135">
        <f t="shared" si="72"/>
        <v>3.6230769230769178E-2</v>
      </c>
      <c r="AB78" s="135">
        <f t="shared" si="72"/>
        <v>3.569230769230769E-2</v>
      </c>
      <c r="AC78" s="135">
        <f t="shared" si="72"/>
        <v>3.5153846153846091E-2</v>
      </c>
      <c r="AD78" s="135">
        <f t="shared" si="72"/>
        <v>3.4615384615384603E-2</v>
      </c>
      <c r="AE78" s="135">
        <f t="shared" si="72"/>
        <v>3.4076923076923005E-2</v>
      </c>
      <c r="AF78" s="135">
        <f t="shared" si="72"/>
        <v>3.3538461538461517E-2</v>
      </c>
      <c r="AG78" s="135">
        <f t="shared" si="72"/>
        <v>3.2999999999999918E-2</v>
      </c>
    </row>
    <row r="79" spans="1:33" x14ac:dyDescent="0.35">
      <c r="A79" s="2"/>
      <c r="D79" s="81" t="b">
        <f>D63=SUM(D74:D78)</f>
        <v>1</v>
      </c>
      <c r="E79" s="81" t="b">
        <f t="shared" ref="E79:Q79" si="73">E63=SUM(E74:E78)</f>
        <v>1</v>
      </c>
      <c r="F79" s="81" t="b">
        <f t="shared" si="73"/>
        <v>1</v>
      </c>
      <c r="G79" s="81" t="b">
        <f t="shared" si="73"/>
        <v>1</v>
      </c>
      <c r="H79" s="81" t="b">
        <f t="shared" si="73"/>
        <v>1</v>
      </c>
      <c r="I79" s="81" t="b">
        <f t="shared" si="73"/>
        <v>1</v>
      </c>
      <c r="J79" s="81" t="b">
        <f t="shared" si="73"/>
        <v>1</v>
      </c>
      <c r="K79" s="81" t="b">
        <f t="shared" si="73"/>
        <v>1</v>
      </c>
      <c r="L79" s="81" t="b">
        <f t="shared" si="73"/>
        <v>1</v>
      </c>
      <c r="M79" s="81" t="b">
        <f t="shared" si="73"/>
        <v>1</v>
      </c>
      <c r="N79" s="81" t="b">
        <f t="shared" si="73"/>
        <v>1</v>
      </c>
      <c r="O79" s="81" t="b">
        <f t="shared" si="73"/>
        <v>1</v>
      </c>
      <c r="P79" s="81" t="b">
        <f t="shared" si="73"/>
        <v>1</v>
      </c>
      <c r="Q79" s="81" t="b">
        <f t="shared" si="73"/>
        <v>1</v>
      </c>
      <c r="R79" s="21"/>
    </row>
    <row r="80" spans="1:33" s="117" customFormat="1" x14ac:dyDescent="0.35">
      <c r="A80" s="149" t="s">
        <v>75</v>
      </c>
      <c r="B80" s="128" t="s">
        <v>76</v>
      </c>
      <c r="C80" s="129"/>
      <c r="D80" s="130">
        <f>D63*T80</f>
        <v>14.627437500000012</v>
      </c>
      <c r="E80" s="130">
        <f t="shared" ref="E80:Q80" si="74">E63*U80</f>
        <v>15.441408259467659</v>
      </c>
      <c r="F80" s="130">
        <f t="shared" si="74"/>
        <v>16.322924321034186</v>
      </c>
      <c r="G80" s="130">
        <f t="shared" si="74"/>
        <v>17.278900664317668</v>
      </c>
      <c r="H80" s="130">
        <f t="shared" si="74"/>
        <v>18.317084220398637</v>
      </c>
      <c r="I80" s="130">
        <f t="shared" si="74"/>
        <v>19.44616800481591</v>
      </c>
      <c r="J80" s="130">
        <f t="shared" si="74"/>
        <v>20.675922754960858</v>
      </c>
      <c r="K80" s="130">
        <f t="shared" si="74"/>
        <v>22.017349031418117</v>
      </c>
      <c r="L80" s="130">
        <f t="shared" si="74"/>
        <v>23.482853288659317</v>
      </c>
      <c r="M80" s="130">
        <f t="shared" si="74"/>
        <v>25.086452075284075</v>
      </c>
      <c r="N80" s="130">
        <f t="shared" si="74"/>
        <v>26.844009311083745</v>
      </c>
      <c r="O80" s="130">
        <f t="shared" si="74"/>
        <v>28.77351253629994</v>
      </c>
      <c r="P80" s="130">
        <f t="shared" si="74"/>
        <v>30.895395172946852</v>
      </c>
      <c r="Q80" s="130">
        <f t="shared" si="74"/>
        <v>33.232913222659931</v>
      </c>
      <c r="R80" s="68">
        <f t="shared" ref="R80:R86" si="75">RATE(9,,-H80,Q80)</f>
        <v>6.8429290989982586E-2</v>
      </c>
      <c r="S80" s="128" t="s">
        <v>76</v>
      </c>
      <c r="T80" s="135">
        <v>0.25</v>
      </c>
      <c r="U80" s="135">
        <v>0.25015328100264811</v>
      </c>
      <c r="V80" s="135">
        <v>0.25030665598555929</v>
      </c>
      <c r="W80" s="135">
        <v>0.25046012500635517</v>
      </c>
      <c r="X80" s="135">
        <v>0.25061368812269258</v>
      </c>
      <c r="Y80" s="135">
        <v>0.2507673453922637</v>
      </c>
      <c r="Z80" s="135">
        <v>0.25092109687279618</v>
      </c>
      <c r="AA80" s="135">
        <v>0.2510749426220531</v>
      </c>
      <c r="AB80" s="135">
        <v>0.25122888269783278</v>
      </c>
      <c r="AC80" s="135">
        <v>0.25138291715796912</v>
      </c>
      <c r="AD80" s="135">
        <v>0.25153704606033145</v>
      </c>
      <c r="AE80" s="135">
        <v>0.25169126946282455</v>
      </c>
      <c r="AF80" s="135">
        <v>0.25184558742338869</v>
      </c>
      <c r="AG80" s="135">
        <v>0.25199999999999967</v>
      </c>
    </row>
    <row r="81" spans="1:33" s="117" customFormat="1" x14ac:dyDescent="0.35">
      <c r="A81" s="149"/>
      <c r="B81" s="128" t="s">
        <v>77</v>
      </c>
      <c r="C81" s="129"/>
      <c r="D81" s="130">
        <f>D63*T81</f>
        <v>11.701950000000011</v>
      </c>
      <c r="E81" s="130">
        <f t="shared" ref="E81:Q81" si="76">E63*U81</f>
        <v>12.436401958003007</v>
      </c>
      <c r="F81" s="130">
        <f t="shared" si="76"/>
        <v>13.234991597897558</v>
      </c>
      <c r="G81" s="130">
        <f t="shared" si="76"/>
        <v>14.104564093378242</v>
      </c>
      <c r="H81" s="130">
        <f t="shared" si="76"/>
        <v>15.052816275859104</v>
      </c>
      <c r="I81" s="130">
        <f t="shared" si="76"/>
        <v>16.088416844691849</v>
      </c>
      <c r="J81" s="130">
        <f t="shared" si="76"/>
        <v>17.221145478603543</v>
      </c>
      <c r="K81" s="130">
        <f t="shared" si="76"/>
        <v>18.462054115861108</v>
      </c>
      <c r="L81" s="130">
        <f t="shared" si="76"/>
        <v>19.823654285580584</v>
      </c>
      <c r="M81" s="130">
        <f t="shared" si="76"/>
        <v>21.320135112502783</v>
      </c>
      <c r="N81" s="130">
        <f t="shared" si="76"/>
        <v>22.967617509726416</v>
      </c>
      <c r="O81" s="130">
        <f t="shared" si="76"/>
        <v>24.784451151947856</v>
      </c>
      <c r="P81" s="130">
        <f t="shared" si="76"/>
        <v>26.791562127256739</v>
      </c>
      <c r="Q81" s="130">
        <f t="shared" si="76"/>
        <v>29.012860749941254</v>
      </c>
      <c r="R81" s="68">
        <f t="shared" si="75"/>
        <v>7.5631825736065916E-2</v>
      </c>
      <c r="S81" s="128" t="s">
        <v>77</v>
      </c>
      <c r="T81" s="135">
        <v>0.20000000000000004</v>
      </c>
      <c r="U81" s="135">
        <v>0.20147169878464574</v>
      </c>
      <c r="V81" s="135">
        <v>0.20295422705585509</v>
      </c>
      <c r="W81" s="135">
        <v>0.20444766450233912</v>
      </c>
      <c r="X81" s="135">
        <v>0.20595209139919785</v>
      </c>
      <c r="Y81" s="135">
        <v>0.20746758861223505</v>
      </c>
      <c r="Z81" s="135">
        <v>0.20899423760230507</v>
      </c>
      <c r="AA81" s="135">
        <v>0.21053212042969136</v>
      </c>
      <c r="AB81" s="135">
        <v>0.21208131975851768</v>
      </c>
      <c r="AC81" s="135">
        <v>0.21364191886119097</v>
      </c>
      <c r="AD81" s="135">
        <v>0.21521400162287799</v>
      </c>
      <c r="AE81" s="135">
        <v>0.21679765254601358</v>
      </c>
      <c r="AF81" s="135">
        <v>0.21839295675484363</v>
      </c>
      <c r="AG81" s="135">
        <v>0.22000000000000006</v>
      </c>
    </row>
    <row r="82" spans="1:33" s="117" customFormat="1" x14ac:dyDescent="0.35">
      <c r="A82" s="149"/>
      <c r="B82" s="128" t="s">
        <v>78</v>
      </c>
      <c r="C82" s="129"/>
      <c r="D82" s="132">
        <f>D63*T82</f>
        <v>10.531755000000009</v>
      </c>
      <c r="E82" s="132">
        <f t="shared" ref="E82:Q82" si="77">E63*U82</f>
        <v>11.120449751153913</v>
      </c>
      <c r="F82" s="132">
        <f t="shared" si="77"/>
        <v>11.758078724941399</v>
      </c>
      <c r="G82" s="132">
        <f t="shared" si="77"/>
        <v>12.449658953387798</v>
      </c>
      <c r="H82" s="132">
        <f t="shared" si="77"/>
        <v>13.200811783088406</v>
      </c>
      <c r="I82" s="132">
        <f t="shared" si="77"/>
        <v>14.017845861961732</v>
      </c>
      <c r="J82" s="132">
        <f t="shared" si="77"/>
        <v>14.9078528646465</v>
      </c>
      <c r="K82" s="132">
        <f t="shared" si="77"/>
        <v>15.878818111998589</v>
      </c>
      <c r="L82" s="132">
        <f t="shared" si="77"/>
        <v>16.939748637976493</v>
      </c>
      <c r="M82" s="132">
        <f t="shared" si="77"/>
        <v>18.100821734476924</v>
      </c>
      <c r="N82" s="132">
        <f t="shared" si="77"/>
        <v>19.373557578446619</v>
      </c>
      <c r="O82" s="132">
        <f t="shared" si="77"/>
        <v>20.771020236811729</v>
      </c>
      <c r="P82" s="132">
        <f t="shared" si="77"/>
        <v>22.308052179260908</v>
      </c>
      <c r="Q82" s="132">
        <f t="shared" si="77"/>
        <v>24.001548438587726</v>
      </c>
      <c r="R82" s="68">
        <f t="shared" si="75"/>
        <v>6.8682593534213895E-2</v>
      </c>
      <c r="S82" s="128" t="s">
        <v>78</v>
      </c>
      <c r="T82" s="133">
        <v>0.18000000000000002</v>
      </c>
      <c r="U82" s="133">
        <v>0.18015306277331314</v>
      </c>
      <c r="V82" s="133">
        <v>0.18030625570336284</v>
      </c>
      <c r="W82" s="133">
        <v>0.18045957890082762</v>
      </c>
      <c r="X82" s="133">
        <v>0.18061303247648028</v>
      </c>
      <c r="Y82" s="133">
        <v>0.18076661654118778</v>
      </c>
      <c r="Z82" s="133">
        <v>0.18092033120591131</v>
      </c>
      <c r="AA82" s="133">
        <v>0.18107417658170627</v>
      </c>
      <c r="AB82" s="133">
        <v>0.1812281527797229</v>
      </c>
      <c r="AC82" s="133">
        <v>0.1813822599112056</v>
      </c>
      <c r="AD82" s="133">
        <v>0.18153649808749345</v>
      </c>
      <c r="AE82" s="133">
        <v>0.18169086742002025</v>
      </c>
      <c r="AF82" s="133">
        <v>0.18184536802031454</v>
      </c>
      <c r="AG82" s="133">
        <v>0.18199999999999975</v>
      </c>
    </row>
    <row r="83" spans="1:33" s="117" customFormat="1" x14ac:dyDescent="0.35">
      <c r="A83" s="149"/>
      <c r="B83" s="128" t="s">
        <v>79</v>
      </c>
      <c r="C83" s="129"/>
      <c r="D83" s="132">
        <f>D63*T83</f>
        <v>5.8509750000000045</v>
      </c>
      <c r="E83" s="132">
        <f t="shared" ref="E83:Q83" si="78">E63*U83</f>
        <v>6.182188654422391</v>
      </c>
      <c r="F83" s="132">
        <f t="shared" si="78"/>
        <v>6.5410681233031829</v>
      </c>
      <c r="G83" s="132">
        <f t="shared" si="78"/>
        <v>6.9304617335673973</v>
      </c>
      <c r="H83" s="132">
        <f t="shared" si="78"/>
        <v>7.3535620465584284</v>
      </c>
      <c r="I83" s="132">
        <f t="shared" si="78"/>
        <v>7.8139532636621318</v>
      </c>
      <c r="J83" s="132">
        <f t="shared" si="78"/>
        <v>8.3156659268487729</v>
      </c>
      <c r="K83" s="132">
        <f t="shared" si="78"/>
        <v>8.8632401512105154</v>
      </c>
      <c r="L83" s="132">
        <f t="shared" si="78"/>
        <v>9.4617988553573813</v>
      </c>
      <c r="M83" s="132">
        <f t="shared" si="78"/>
        <v>10.117132730088992</v>
      </c>
      <c r="N83" s="132">
        <f t="shared" si="78"/>
        <v>10.835799015922197</v>
      </c>
      <c r="O83" s="132">
        <f t="shared" si="78"/>
        <v>11.625236557926854</v>
      </c>
      <c r="P83" s="132">
        <f t="shared" si="78"/>
        <v>12.493900086817403</v>
      </c>
      <c r="Q83" s="132">
        <f t="shared" si="78"/>
        <v>13.451417256790922</v>
      </c>
      <c r="R83" s="68">
        <f t="shared" si="75"/>
        <v>6.9402370855751891E-2</v>
      </c>
      <c r="S83" s="128" t="s">
        <v>79</v>
      </c>
      <c r="T83" s="133">
        <v>9.9999999999999992E-2</v>
      </c>
      <c r="U83" s="133">
        <v>0.10015244398015953</v>
      </c>
      <c r="V83" s="133">
        <v>0.10030512035198993</v>
      </c>
      <c r="W83" s="133">
        <v>0.10045802946975833</v>
      </c>
      <c r="X83" s="133">
        <v>0.10061117168827188</v>
      </c>
      <c r="Y83" s="133">
        <v>0.10076454736287864</v>
      </c>
      <c r="Z83" s="133">
        <v>0.10091815684946834</v>
      </c>
      <c r="AA83" s="133">
        <v>0.10107200050447333</v>
      </c>
      <c r="AB83" s="133">
        <v>0.10122607868486923</v>
      </c>
      <c r="AC83" s="133">
        <v>0.10138039174817587</v>
      </c>
      <c r="AD83" s="133">
        <v>0.10153494005245813</v>
      </c>
      <c r="AE83" s="133">
        <v>0.10168972395632671</v>
      </c>
      <c r="AF83" s="133">
        <v>0.10184474381893897</v>
      </c>
      <c r="AG83" s="133">
        <v>0.10199999999999985</v>
      </c>
    </row>
    <row r="84" spans="1:33" s="117" customFormat="1" x14ac:dyDescent="0.35">
      <c r="A84" s="149"/>
      <c r="B84" s="128" t="s">
        <v>80</v>
      </c>
      <c r="C84" s="129"/>
      <c r="D84" s="132">
        <f>D63*T84</f>
        <v>7.6062675000000075</v>
      </c>
      <c r="E84" s="132">
        <f t="shared" ref="E84:Q84" si="79">E63*U84</f>
        <v>8.0479423299588948</v>
      </c>
      <c r="F84" s="132">
        <f t="shared" si="79"/>
        <v>8.5268873139381416</v>
      </c>
      <c r="G84" s="132">
        <f t="shared" si="79"/>
        <v>9.0469725153984406</v>
      </c>
      <c r="H84" s="132">
        <f t="shared" si="79"/>
        <v>9.6125389323189321</v>
      </c>
      <c r="I84" s="132">
        <f t="shared" si="79"/>
        <v>10.228463729615576</v>
      </c>
      <c r="J84" s="132">
        <f t="shared" si="79"/>
        <v>10.900235560952956</v>
      </c>
      <c r="K84" s="132">
        <f t="shared" si="79"/>
        <v>11.634041698708415</v>
      </c>
      <c r="L84" s="132">
        <f t="shared" si="79"/>
        <v>12.436869010026344</v>
      </c>
      <c r="M84" s="132">
        <f t="shared" si="79"/>
        <v>13.316621200173016</v>
      </c>
      <c r="N84" s="132">
        <f t="shared" si="79"/>
        <v>14.282255205596401</v>
      </c>
      <c r="O84" s="132">
        <f t="shared" si="79"/>
        <v>15.343940175225429</v>
      </c>
      <c r="P84" s="132">
        <f t="shared" si="79"/>
        <v>16.513243150593667</v>
      </c>
      <c r="Q84" s="132">
        <f t="shared" si="79"/>
        <v>17.803346369282121</v>
      </c>
      <c r="R84" s="68">
        <f t="shared" si="75"/>
        <v>7.0878975474339204E-2</v>
      </c>
      <c r="S84" s="128" t="s">
        <v>80</v>
      </c>
      <c r="T84" s="133">
        <v>0.13000000000000003</v>
      </c>
      <c r="U84" s="133">
        <v>0.13037795163047644</v>
      </c>
      <c r="V84" s="133">
        <v>0.13075700208737578</v>
      </c>
      <c r="W84" s="133">
        <v>0.13113715456533831</v>
      </c>
      <c r="X84" s="133">
        <v>0.1315184122682922</v>
      </c>
      <c r="Y84" s="133">
        <v>0.13190077840948042</v>
      </c>
      <c r="Z84" s="133">
        <v>0.13228425621148787</v>
      </c>
      <c r="AA84" s="133">
        <v>0.13266884890626857</v>
      </c>
      <c r="AB84" s="133">
        <v>0.1330545597351728</v>
      </c>
      <c r="AC84" s="133">
        <v>0.13344139194897456</v>
      </c>
      <c r="AD84" s="133">
        <v>0.13382934880789885</v>
      </c>
      <c r="AE84" s="133">
        <v>0.13421843358164914</v>
      </c>
      <c r="AF84" s="133">
        <v>0.13460864954943511</v>
      </c>
      <c r="AG84" s="133">
        <v>0.13499999999999995</v>
      </c>
    </row>
    <row r="85" spans="1:33" s="117" customFormat="1" x14ac:dyDescent="0.35">
      <c r="A85" s="149"/>
      <c r="B85" s="128" t="s">
        <v>81</v>
      </c>
      <c r="C85" s="129"/>
      <c r="D85" s="132">
        <f>D63*T85</f>
        <v>1.1701950000000008</v>
      </c>
      <c r="E85" s="132">
        <f t="shared" ref="E85:Q85" si="80">E63*U85</f>
        <v>1.2478999358948635</v>
      </c>
      <c r="F85" s="132">
        <f t="shared" si="80"/>
        <v>1.3325812363273364</v>
      </c>
      <c r="G85" s="132">
        <f t="shared" si="80"/>
        <v>1.424999475475152</v>
      </c>
      <c r="H85" s="132">
        <f t="shared" si="80"/>
        <v>1.526011507918849</v>
      </c>
      <c r="I85" s="132">
        <f t="shared" si="80"/>
        <v>1.6365842593782849</v>
      </c>
      <c r="J85" s="132">
        <f t="shared" si="80"/>
        <v>1.7578107138209793</v>
      </c>
      <c r="K85" s="132">
        <f t="shared" si="80"/>
        <v>1.8909284810038562</v>
      </c>
      <c r="L85" s="132">
        <f t="shared" si="80"/>
        <v>2.037341401538876</v>
      </c>
      <c r="M85" s="132">
        <f t="shared" si="80"/>
        <v>2.1986447345882021</v>
      </c>
      <c r="N85" s="132">
        <f t="shared" si="80"/>
        <v>2.3766545795944727</v>
      </c>
      <c r="O85" s="132">
        <f t="shared" si="80"/>
        <v>2.5734423121097461</v>
      </c>
      <c r="P85" s="132">
        <f t="shared" si="80"/>
        <v>2.7913749698441919</v>
      </c>
      <c r="Q85" s="132">
        <f t="shared" si="80"/>
        <v>3.0331627147665796</v>
      </c>
      <c r="R85" s="68">
        <f t="shared" si="75"/>
        <v>7.931610036030419E-2</v>
      </c>
      <c r="S85" s="128" t="s">
        <v>81</v>
      </c>
      <c r="T85" s="133">
        <v>1.9999999999999997E-2</v>
      </c>
      <c r="U85" s="133">
        <v>2.0216178348609781E-2</v>
      </c>
      <c r="V85" s="133">
        <v>2.0434693351139947E-2</v>
      </c>
      <c r="W85" s="133">
        <v>2.065557026428979E-2</v>
      </c>
      <c r="X85" s="133">
        <v>2.0878834617756165E-2</v>
      </c>
      <c r="Y85" s="133">
        <v>2.1104512217184332E-2</v>
      </c>
      <c r="Z85" s="133">
        <v>2.1332629147150631E-2</v>
      </c>
      <c r="AA85" s="133">
        <v>2.1563211774177433E-2</v>
      </c>
      <c r="AB85" s="133">
        <v>2.179628674978067E-2</v>
      </c>
      <c r="AC85" s="133">
        <v>2.2031881013550313E-2</v>
      </c>
      <c r="AD85" s="133">
        <v>2.2270021796264142E-2</v>
      </c>
      <c r="AE85" s="133">
        <v>2.2510736623035158E-2</v>
      </c>
      <c r="AF85" s="133">
        <v>2.275405331649304E-2</v>
      </c>
      <c r="AG85" s="133">
        <v>2.2999999999999961E-2</v>
      </c>
    </row>
    <row r="86" spans="1:33" s="117" customFormat="1" x14ac:dyDescent="0.35">
      <c r="A86" s="149"/>
      <c r="B86" s="128" t="s">
        <v>82</v>
      </c>
      <c r="C86" s="129"/>
      <c r="D86" s="132">
        <f>D63*T86</f>
        <v>7.0211699999999988</v>
      </c>
      <c r="E86" s="132">
        <f t="shared" ref="E86:Q86" si="81">E63*U86</f>
        <v>7.2514953610993187</v>
      </c>
      <c r="F86" s="132">
        <f t="shared" si="81"/>
        <v>7.4951757255218974</v>
      </c>
      <c r="G86" s="132">
        <f t="shared" si="81"/>
        <v>7.7530716481637123</v>
      </c>
      <c r="H86" s="132">
        <f t="shared" si="81"/>
        <v>8.0260969029372919</v>
      </c>
      <c r="I86" s="132">
        <f t="shared" si="81"/>
        <v>8.3152197914975279</v>
      </c>
      <c r="J86" s="132">
        <f t="shared" si="81"/>
        <v>8.6214638328617106</v>
      </c>
      <c r="K86" s="132">
        <f t="shared" si="81"/>
        <v>8.94590760336507</v>
      </c>
      <c r="L86" s="132">
        <f t="shared" si="81"/>
        <v>9.2896834324973963</v>
      </c>
      <c r="M86" s="132">
        <f t="shared" si="81"/>
        <v>9.6539745795546335</v>
      </c>
      <c r="N86" s="132">
        <f t="shared" si="81"/>
        <v>10.040010414325446</v>
      </c>
      <c r="O86" s="132">
        <f t="shared" si="81"/>
        <v>10.449058996659645</v>
      </c>
      <c r="P86" s="132">
        <f t="shared" si="81"/>
        <v>10.882416287661835</v>
      </c>
      <c r="Q86" s="132">
        <f t="shared" si="81"/>
        <v>11.341391020431676</v>
      </c>
      <c r="R86" s="68">
        <f t="shared" si="75"/>
        <v>3.9165352835542254E-2</v>
      </c>
      <c r="S86" s="128" t="s">
        <v>82</v>
      </c>
      <c r="T86" s="133">
        <f>1-SUM(T80:T85)</f>
        <v>0.11999999999999988</v>
      </c>
      <c r="U86" s="133">
        <f t="shared" ref="U86:AG86" si="82">1-SUM(U80:U85)</f>
        <v>0.1174753834801473</v>
      </c>
      <c r="V86" s="133">
        <f t="shared" si="82"/>
        <v>0.11493604546471725</v>
      </c>
      <c r="W86" s="133">
        <f t="shared" si="82"/>
        <v>0.11238187729109173</v>
      </c>
      <c r="X86" s="133">
        <f t="shared" si="82"/>
        <v>0.109812769427309</v>
      </c>
      <c r="Y86" s="133">
        <f t="shared" si="82"/>
        <v>0.10722861146477003</v>
      </c>
      <c r="Z86" s="133">
        <f t="shared" si="82"/>
        <v>0.10462929211088057</v>
      </c>
      <c r="AA86" s="133">
        <f t="shared" si="82"/>
        <v>0.10201469918163009</v>
      </c>
      <c r="AB86" s="133">
        <f t="shared" si="82"/>
        <v>9.9384719594103998E-2</v>
      </c>
      <c r="AC86" s="133">
        <f t="shared" si="82"/>
        <v>9.6739239358933582E-2</v>
      </c>
      <c r="AD86" s="133">
        <f t="shared" si="82"/>
        <v>9.4078143572675965E-2</v>
      </c>
      <c r="AE86" s="133">
        <f t="shared" si="82"/>
        <v>9.1401316410130717E-2</v>
      </c>
      <c r="AF86" s="133">
        <f t="shared" si="82"/>
        <v>8.8708641116586051E-2</v>
      </c>
      <c r="AG86" s="133">
        <f t="shared" si="82"/>
        <v>8.6000000000000743E-2</v>
      </c>
    </row>
    <row r="87" spans="1:33" x14ac:dyDescent="0.35">
      <c r="D87" t="b">
        <f>D63=SUM(D80:D86)</f>
        <v>1</v>
      </c>
      <c r="E87" t="b">
        <f t="shared" ref="E87:Q87" si="83">E63=SUM(E80:E86)</f>
        <v>1</v>
      </c>
      <c r="F87" t="b">
        <f t="shared" si="83"/>
        <v>1</v>
      </c>
      <c r="G87" t="b">
        <f t="shared" si="83"/>
        <v>1</v>
      </c>
      <c r="H87" t="b">
        <f t="shared" si="83"/>
        <v>1</v>
      </c>
      <c r="I87" t="b">
        <f t="shared" si="83"/>
        <v>1</v>
      </c>
      <c r="J87" t="b">
        <f t="shared" si="83"/>
        <v>1</v>
      </c>
      <c r="K87" t="b">
        <f t="shared" si="83"/>
        <v>1</v>
      </c>
      <c r="L87" t="b">
        <f t="shared" si="83"/>
        <v>1</v>
      </c>
      <c r="M87" t="b">
        <f t="shared" si="83"/>
        <v>1</v>
      </c>
      <c r="N87" t="b">
        <f t="shared" si="83"/>
        <v>1</v>
      </c>
      <c r="O87" t="b">
        <f t="shared" si="83"/>
        <v>1</v>
      </c>
      <c r="P87" t="b">
        <f t="shared" si="83"/>
        <v>1</v>
      </c>
      <c r="Q87" t="b">
        <f t="shared" si="83"/>
        <v>1</v>
      </c>
    </row>
    <row r="89" spans="1:33" ht="25" x14ac:dyDescent="0.5">
      <c r="A89" s="146" t="s">
        <v>99</v>
      </c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63"/>
    </row>
    <row r="90" spans="1:33" ht="23.5" thickBot="1" x14ac:dyDescent="0.55000000000000004">
      <c r="A90" s="63"/>
      <c r="B90" s="63"/>
      <c r="C90" s="63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</row>
    <row r="91" spans="1:33" ht="16" hidden="1" thickBot="1" x14ac:dyDescent="0.4">
      <c r="A91" s="42"/>
      <c r="B91" s="43"/>
      <c r="C91" s="93"/>
      <c r="D91" s="91">
        <v>2023</v>
      </c>
      <c r="E91" s="65">
        <v>2024</v>
      </c>
      <c r="F91" s="65">
        <v>2025</v>
      </c>
      <c r="G91" s="65">
        <v>2026</v>
      </c>
      <c r="H91" s="65">
        <v>2027</v>
      </c>
      <c r="I91" s="65">
        <v>2028</v>
      </c>
      <c r="J91" s="65">
        <v>2029</v>
      </c>
      <c r="K91" s="65">
        <v>2030</v>
      </c>
      <c r="L91" s="65">
        <v>2031</v>
      </c>
      <c r="M91" s="65">
        <v>2032</v>
      </c>
      <c r="N91" s="65">
        <v>2033</v>
      </c>
      <c r="O91" s="65">
        <v>2034</v>
      </c>
      <c r="P91" s="65">
        <v>2035</v>
      </c>
      <c r="Q91" s="65">
        <v>2036</v>
      </c>
      <c r="R91" s="66" t="s">
        <v>13</v>
      </c>
    </row>
    <row r="92" spans="1:33" ht="16" hidden="1" thickBot="1" x14ac:dyDescent="0.4">
      <c r="A92" s="25"/>
      <c r="B92" s="94"/>
      <c r="C92" s="95"/>
      <c r="D92" s="92" t="e">
        <f>#REF!</f>
        <v>#REF!</v>
      </c>
      <c r="E92" s="92" t="e">
        <f>#REF!</f>
        <v>#REF!</v>
      </c>
      <c r="F92" s="92" t="e">
        <f>#REF!</f>
        <v>#REF!</v>
      </c>
      <c r="G92" s="92" t="e">
        <f>#REF!</f>
        <v>#REF!</v>
      </c>
      <c r="H92" s="92" t="e">
        <f>#REF!</f>
        <v>#REF!</v>
      </c>
      <c r="I92" s="92" t="e">
        <f>#REF!</f>
        <v>#REF!</v>
      </c>
      <c r="J92" s="92" t="e">
        <f>#REF!</f>
        <v>#REF!</v>
      </c>
      <c r="K92" s="92" t="e">
        <f>#REF!</f>
        <v>#REF!</v>
      </c>
      <c r="L92" s="92" t="e">
        <f>#REF!</f>
        <v>#REF!</v>
      </c>
      <c r="M92" s="92" t="e">
        <f>#REF!</f>
        <v>#REF!</v>
      </c>
      <c r="N92" s="92" t="e">
        <f>#REF!</f>
        <v>#REF!</v>
      </c>
      <c r="O92" s="92" t="e">
        <f>#REF!</f>
        <v>#REF!</v>
      </c>
      <c r="P92" s="92" t="e">
        <f>#REF!</f>
        <v>#REF!</v>
      </c>
      <c r="Q92" s="92" t="e">
        <f>#REF!</f>
        <v>#REF!</v>
      </c>
      <c r="R92" s="68" t="e">
        <f>RATE(12,,-E92,Q92)</f>
        <v>#REF!</v>
      </c>
      <c r="T92" s="65">
        <v>2023</v>
      </c>
      <c r="U92" s="65">
        <v>2024</v>
      </c>
      <c r="V92" s="65">
        <v>2025</v>
      </c>
      <c r="W92" s="65">
        <v>2026</v>
      </c>
      <c r="X92" s="65">
        <v>2027</v>
      </c>
      <c r="Y92" s="65">
        <v>2028</v>
      </c>
      <c r="Z92" s="65">
        <v>2029</v>
      </c>
      <c r="AA92" s="65">
        <v>2030</v>
      </c>
      <c r="AB92" s="65">
        <v>2031</v>
      </c>
      <c r="AC92" s="65">
        <v>2032</v>
      </c>
      <c r="AD92" s="65">
        <v>2033</v>
      </c>
      <c r="AE92" s="65">
        <v>2034</v>
      </c>
      <c r="AF92" s="65">
        <v>2035</v>
      </c>
      <c r="AG92" s="65">
        <v>2036</v>
      </c>
    </row>
    <row r="93" spans="1:33" ht="15" hidden="1" thickBot="1" x14ac:dyDescent="0.4">
      <c r="A93" s="150" t="s">
        <v>49</v>
      </c>
      <c r="B93" s="52" t="s">
        <v>34</v>
      </c>
      <c r="C93" s="45"/>
      <c r="D93" s="79" t="e">
        <f t="shared" ref="D93:Q93" si="84">D92*T93</f>
        <v>#REF!</v>
      </c>
      <c r="E93" s="79" t="e">
        <f t="shared" si="84"/>
        <v>#REF!</v>
      </c>
      <c r="F93" s="79" t="e">
        <f t="shared" si="84"/>
        <v>#REF!</v>
      </c>
      <c r="G93" s="79" t="e">
        <f t="shared" si="84"/>
        <v>#REF!</v>
      </c>
      <c r="H93" s="79" t="e">
        <f t="shared" si="84"/>
        <v>#REF!</v>
      </c>
      <c r="I93" s="79" t="e">
        <f t="shared" si="84"/>
        <v>#REF!</v>
      </c>
      <c r="J93" s="79" t="e">
        <f t="shared" si="84"/>
        <v>#REF!</v>
      </c>
      <c r="K93" s="79" t="e">
        <f t="shared" si="84"/>
        <v>#REF!</v>
      </c>
      <c r="L93" s="79" t="e">
        <f t="shared" si="84"/>
        <v>#REF!</v>
      </c>
      <c r="M93" s="79" t="e">
        <f t="shared" si="84"/>
        <v>#REF!</v>
      </c>
      <c r="N93" s="79" t="e">
        <f t="shared" si="84"/>
        <v>#REF!</v>
      </c>
      <c r="O93" s="79" t="e">
        <f t="shared" si="84"/>
        <v>#REF!</v>
      </c>
      <c r="P93" s="79" t="e">
        <f t="shared" si="84"/>
        <v>#REF!</v>
      </c>
      <c r="Q93" s="79" t="e">
        <f t="shared" si="84"/>
        <v>#REF!</v>
      </c>
      <c r="R93" s="77" t="e">
        <f>RATE(12,,-E93,Q93)</f>
        <v>#REF!</v>
      </c>
      <c r="S93" s="52"/>
      <c r="T93" s="12">
        <v>0.56000000000000005</v>
      </c>
      <c r="U93" s="12">
        <v>0.56092161367703952</v>
      </c>
      <c r="V93" s="12">
        <v>0.56184474408938223</v>
      </c>
      <c r="W93" s="12">
        <v>0.56276939373317769</v>
      </c>
      <c r="X93" s="12">
        <v>0.56369556510868446</v>
      </c>
      <c r="Y93" s="12">
        <v>0.56462326072027491</v>
      </c>
      <c r="Z93" s="12">
        <v>0.56555248307644368</v>
      </c>
      <c r="AA93" s="12">
        <v>0.56648323468981299</v>
      </c>
      <c r="AB93" s="12">
        <v>0.56741551807714108</v>
      </c>
      <c r="AC93" s="12">
        <v>0.56834933575932756</v>
      </c>
      <c r="AD93" s="12">
        <v>0.56928469026142059</v>
      </c>
      <c r="AE93" s="12">
        <v>0.57022158411262425</v>
      </c>
      <c r="AF93" s="12">
        <v>0.57116001984630527</v>
      </c>
      <c r="AG93" s="12">
        <v>0.57209999999999905</v>
      </c>
    </row>
    <row r="94" spans="1:33" ht="15" hidden="1" thickBot="1" x14ac:dyDescent="0.4">
      <c r="A94" s="151"/>
      <c r="B94" s="53" t="s">
        <v>35</v>
      </c>
      <c r="C94" s="46"/>
      <c r="D94" s="80" t="e">
        <f t="shared" ref="D94:Q94" si="85">D92*T94</f>
        <v>#REF!</v>
      </c>
      <c r="E94" s="80" t="e">
        <f t="shared" si="85"/>
        <v>#REF!</v>
      </c>
      <c r="F94" s="80" t="e">
        <f t="shared" si="85"/>
        <v>#REF!</v>
      </c>
      <c r="G94" s="80" t="e">
        <f t="shared" si="85"/>
        <v>#REF!</v>
      </c>
      <c r="H94" s="80" t="e">
        <f t="shared" si="85"/>
        <v>#REF!</v>
      </c>
      <c r="I94" s="80" t="e">
        <f t="shared" si="85"/>
        <v>#REF!</v>
      </c>
      <c r="J94" s="80" t="e">
        <f t="shared" si="85"/>
        <v>#REF!</v>
      </c>
      <c r="K94" s="80" t="e">
        <f t="shared" si="85"/>
        <v>#REF!</v>
      </c>
      <c r="L94" s="80" t="e">
        <f t="shared" si="85"/>
        <v>#REF!</v>
      </c>
      <c r="M94" s="80" t="e">
        <f t="shared" si="85"/>
        <v>#REF!</v>
      </c>
      <c r="N94" s="80" t="e">
        <f t="shared" si="85"/>
        <v>#REF!</v>
      </c>
      <c r="O94" s="80" t="e">
        <f t="shared" si="85"/>
        <v>#REF!</v>
      </c>
      <c r="P94" s="80" t="e">
        <f t="shared" si="85"/>
        <v>#REF!</v>
      </c>
      <c r="Q94" s="80" t="e">
        <f t="shared" si="85"/>
        <v>#REF!</v>
      </c>
      <c r="R94" s="78" t="e">
        <f>RATE(12,,-E94,Q94)</f>
        <v>#REF!</v>
      </c>
      <c r="S94" s="53"/>
      <c r="T94" s="12">
        <f>1-T93</f>
        <v>0.43999999999999995</v>
      </c>
      <c r="U94" s="12">
        <f t="shared" ref="U94:AG94" si="86">1-U93</f>
        <v>0.43907838632296048</v>
      </c>
      <c r="V94" s="12">
        <f t="shared" si="86"/>
        <v>0.43815525591061777</v>
      </c>
      <c r="W94" s="12">
        <f t="shared" si="86"/>
        <v>0.43723060626682231</v>
      </c>
      <c r="X94" s="12">
        <f t="shared" si="86"/>
        <v>0.43630443489131554</v>
      </c>
      <c r="Y94" s="12">
        <f t="shared" si="86"/>
        <v>0.43537673927972509</v>
      </c>
      <c r="Z94" s="12">
        <f t="shared" si="86"/>
        <v>0.43444751692355632</v>
      </c>
      <c r="AA94" s="12">
        <f t="shared" si="86"/>
        <v>0.43351676531018701</v>
      </c>
      <c r="AB94" s="12">
        <f t="shared" si="86"/>
        <v>0.43258448192285892</v>
      </c>
      <c r="AC94" s="12">
        <f t="shared" si="86"/>
        <v>0.43165066424067244</v>
      </c>
      <c r="AD94" s="12">
        <f t="shared" si="86"/>
        <v>0.43071530973857941</v>
      </c>
      <c r="AE94" s="12">
        <f t="shared" si="86"/>
        <v>0.42977841588737575</v>
      </c>
      <c r="AF94" s="12">
        <f t="shared" si="86"/>
        <v>0.42883998015369473</v>
      </c>
      <c r="AG94" s="12">
        <f t="shared" si="86"/>
        <v>0.42790000000000095</v>
      </c>
    </row>
    <row r="95" spans="1:33" ht="15" hidden="1" thickBot="1" x14ac:dyDescent="0.4">
      <c r="A95" s="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21"/>
    </row>
    <row r="96" spans="1:33" ht="15" hidden="1" thickBot="1" x14ac:dyDescent="0.4">
      <c r="A96" s="150" t="s">
        <v>15</v>
      </c>
      <c r="B96" s="57" t="s">
        <v>16</v>
      </c>
      <c r="C96" s="47"/>
      <c r="D96" s="82" t="e">
        <f t="shared" ref="D96:Q96" si="87">D92*T96</f>
        <v>#REF!</v>
      </c>
      <c r="E96" s="82" t="e">
        <f t="shared" si="87"/>
        <v>#REF!</v>
      </c>
      <c r="F96" s="82" t="e">
        <f t="shared" si="87"/>
        <v>#REF!</v>
      </c>
      <c r="G96" s="82" t="e">
        <f t="shared" si="87"/>
        <v>#REF!</v>
      </c>
      <c r="H96" s="82" t="e">
        <f t="shared" si="87"/>
        <v>#REF!</v>
      </c>
      <c r="I96" s="82" t="e">
        <f t="shared" si="87"/>
        <v>#REF!</v>
      </c>
      <c r="J96" s="82" t="e">
        <f t="shared" si="87"/>
        <v>#REF!</v>
      </c>
      <c r="K96" s="82" t="e">
        <f t="shared" si="87"/>
        <v>#REF!</v>
      </c>
      <c r="L96" s="82" t="e">
        <f t="shared" si="87"/>
        <v>#REF!</v>
      </c>
      <c r="M96" s="82" t="e">
        <f t="shared" si="87"/>
        <v>#REF!</v>
      </c>
      <c r="N96" s="82" t="e">
        <f t="shared" si="87"/>
        <v>#REF!</v>
      </c>
      <c r="O96" s="82" t="e">
        <f t="shared" si="87"/>
        <v>#REF!</v>
      </c>
      <c r="P96" s="82" t="e">
        <f t="shared" si="87"/>
        <v>#REF!</v>
      </c>
      <c r="Q96" s="82" t="e">
        <f t="shared" si="87"/>
        <v>#REF!</v>
      </c>
      <c r="R96" s="69" t="e">
        <f>RATE(12,,-E96,Q96)</f>
        <v>#REF!</v>
      </c>
      <c r="S96" s="57"/>
      <c r="T96" s="12">
        <v>0.47099999999999992</v>
      </c>
      <c r="U96" s="12">
        <v>0.47038461538461535</v>
      </c>
      <c r="V96" s="12">
        <v>0.46976923076923072</v>
      </c>
      <c r="W96" s="12">
        <v>0.46915384615384609</v>
      </c>
      <c r="X96" s="12">
        <v>0.46853846153846151</v>
      </c>
      <c r="Y96" s="12">
        <v>0.46792307692307689</v>
      </c>
      <c r="Z96" s="12">
        <v>0.46730769230769226</v>
      </c>
      <c r="AA96" s="12">
        <v>0.46669230769230763</v>
      </c>
      <c r="AB96" s="12">
        <v>0.46607692307692306</v>
      </c>
      <c r="AC96" s="12">
        <v>0.46546153846153843</v>
      </c>
      <c r="AD96" s="12">
        <v>0.4648461538461538</v>
      </c>
      <c r="AE96" s="12">
        <v>0.46423076923076922</v>
      </c>
      <c r="AF96" s="12">
        <v>0.4636153846153846</v>
      </c>
      <c r="AG96" s="12">
        <v>0.46299999999999997</v>
      </c>
    </row>
    <row r="97" spans="1:33" ht="15" hidden="1" thickBot="1" x14ac:dyDescent="0.4">
      <c r="A97" s="151"/>
      <c r="B97" s="58" t="s">
        <v>17</v>
      </c>
      <c r="C97" s="48"/>
      <c r="D97" s="83" t="e">
        <f t="shared" ref="D97:Q97" si="88">D92*T97</f>
        <v>#REF!</v>
      </c>
      <c r="E97" s="83" t="e">
        <f t="shared" si="88"/>
        <v>#REF!</v>
      </c>
      <c r="F97" s="83" t="e">
        <f t="shared" si="88"/>
        <v>#REF!</v>
      </c>
      <c r="G97" s="83" t="e">
        <f t="shared" si="88"/>
        <v>#REF!</v>
      </c>
      <c r="H97" s="83" t="e">
        <f t="shared" si="88"/>
        <v>#REF!</v>
      </c>
      <c r="I97" s="83" t="e">
        <f t="shared" si="88"/>
        <v>#REF!</v>
      </c>
      <c r="J97" s="83" t="e">
        <f t="shared" si="88"/>
        <v>#REF!</v>
      </c>
      <c r="K97" s="83" t="e">
        <f t="shared" si="88"/>
        <v>#REF!</v>
      </c>
      <c r="L97" s="83" t="e">
        <f t="shared" si="88"/>
        <v>#REF!</v>
      </c>
      <c r="M97" s="83" t="e">
        <f t="shared" si="88"/>
        <v>#REF!</v>
      </c>
      <c r="N97" s="83" t="e">
        <f t="shared" si="88"/>
        <v>#REF!</v>
      </c>
      <c r="O97" s="83" t="e">
        <f t="shared" si="88"/>
        <v>#REF!</v>
      </c>
      <c r="P97" s="83" t="e">
        <f t="shared" si="88"/>
        <v>#REF!</v>
      </c>
      <c r="Q97" s="83" t="e">
        <f t="shared" si="88"/>
        <v>#REF!</v>
      </c>
      <c r="R97" s="70" t="e">
        <f>RATE(12,,-E97,Q97)</f>
        <v>#REF!</v>
      </c>
      <c r="S97" s="58"/>
      <c r="T97" s="12">
        <f>1-T96</f>
        <v>0.52900000000000014</v>
      </c>
      <c r="U97" s="12">
        <f t="shared" ref="U97:AG97" si="89">1-U96</f>
        <v>0.5296153846153846</v>
      </c>
      <c r="V97" s="12">
        <f t="shared" si="89"/>
        <v>0.53023076923076928</v>
      </c>
      <c r="W97" s="12">
        <f t="shared" si="89"/>
        <v>0.53084615384615397</v>
      </c>
      <c r="X97" s="12">
        <f t="shared" si="89"/>
        <v>0.53146153846153843</v>
      </c>
      <c r="Y97" s="12">
        <f t="shared" si="89"/>
        <v>0.53207692307692311</v>
      </c>
      <c r="Z97" s="12">
        <f t="shared" si="89"/>
        <v>0.5326923076923078</v>
      </c>
      <c r="AA97" s="12">
        <f t="shared" si="89"/>
        <v>0.53330769230769237</v>
      </c>
      <c r="AB97" s="12">
        <f t="shared" si="89"/>
        <v>0.53392307692307694</v>
      </c>
      <c r="AC97" s="12">
        <f t="shared" si="89"/>
        <v>0.53453846153846163</v>
      </c>
      <c r="AD97" s="12">
        <f t="shared" si="89"/>
        <v>0.5351538461538462</v>
      </c>
      <c r="AE97" s="12">
        <f t="shared" si="89"/>
        <v>0.53576923076923078</v>
      </c>
      <c r="AF97" s="12">
        <f t="shared" si="89"/>
        <v>0.53638461538461546</v>
      </c>
      <c r="AG97" s="12">
        <f t="shared" si="89"/>
        <v>0.53700000000000003</v>
      </c>
    </row>
    <row r="98" spans="1:33" ht="15" hidden="1" thickBot="1" x14ac:dyDescent="0.4">
      <c r="A98" s="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21"/>
    </row>
    <row r="99" spans="1:33" ht="15" hidden="1" thickBot="1" x14ac:dyDescent="0.4">
      <c r="A99" s="150" t="s">
        <v>18</v>
      </c>
      <c r="B99" s="54" t="s">
        <v>19</v>
      </c>
      <c r="C99" s="49"/>
      <c r="D99" s="84" t="e">
        <f t="shared" ref="D99:Q99" si="90">D92*T99</f>
        <v>#REF!</v>
      </c>
      <c r="E99" s="84" t="e">
        <f t="shared" si="90"/>
        <v>#REF!</v>
      </c>
      <c r="F99" s="84" t="e">
        <f t="shared" si="90"/>
        <v>#REF!</v>
      </c>
      <c r="G99" s="84" t="e">
        <f t="shared" si="90"/>
        <v>#REF!</v>
      </c>
      <c r="H99" s="84" t="e">
        <f t="shared" si="90"/>
        <v>#REF!</v>
      </c>
      <c r="I99" s="84" t="e">
        <f t="shared" si="90"/>
        <v>#REF!</v>
      </c>
      <c r="J99" s="84" t="e">
        <f t="shared" si="90"/>
        <v>#REF!</v>
      </c>
      <c r="K99" s="84" t="e">
        <f t="shared" si="90"/>
        <v>#REF!</v>
      </c>
      <c r="L99" s="84" t="e">
        <f t="shared" si="90"/>
        <v>#REF!</v>
      </c>
      <c r="M99" s="84" t="e">
        <f t="shared" si="90"/>
        <v>#REF!</v>
      </c>
      <c r="N99" s="84" t="e">
        <f t="shared" si="90"/>
        <v>#REF!</v>
      </c>
      <c r="O99" s="84" t="e">
        <f t="shared" si="90"/>
        <v>#REF!</v>
      </c>
      <c r="P99" s="84" t="e">
        <f t="shared" si="90"/>
        <v>#REF!</v>
      </c>
      <c r="Q99" s="84" t="e">
        <f t="shared" si="90"/>
        <v>#REF!</v>
      </c>
      <c r="R99" s="71" t="e">
        <f>RATE(12,,-E99,Q99)</f>
        <v>#REF!</v>
      </c>
      <c r="S99" s="54"/>
      <c r="T99" s="12">
        <v>0.40099999999999997</v>
      </c>
      <c r="U99" s="12">
        <v>0.40265090533119946</v>
      </c>
      <c r="V99" s="12">
        <v>0.40430860739160734</v>
      </c>
      <c r="W99" s="12">
        <v>0.40597313416316017</v>
      </c>
      <c r="X99" s="12">
        <v>0.40764451374299493</v>
      </c>
      <c r="Y99" s="12">
        <v>0.40932277434392395</v>
      </c>
      <c r="Z99" s="12">
        <v>0.41100794429491083</v>
      </c>
      <c r="AA99" s="12">
        <v>0.4127000520415488</v>
      </c>
      <c r="AB99" s="12">
        <v>0.41439912614654062</v>
      </c>
      <c r="AC99" s="12">
        <v>0.41610519529018092</v>
      </c>
      <c r="AD99" s="12">
        <v>0.41781828827084017</v>
      </c>
      <c r="AE99" s="12">
        <v>0.4195384340054511</v>
      </c>
      <c r="AF99" s="12">
        <v>0.4212656615299965</v>
      </c>
      <c r="AG99" s="12">
        <v>0.42299999999999938</v>
      </c>
    </row>
    <row r="100" spans="1:33" ht="15" hidden="1" thickBot="1" x14ac:dyDescent="0.4">
      <c r="A100" s="151"/>
      <c r="B100" s="56" t="s">
        <v>20</v>
      </c>
      <c r="C100" s="44"/>
      <c r="D100" s="85" t="e">
        <f t="shared" ref="D100:Q100" si="91">D92*T100</f>
        <v>#REF!</v>
      </c>
      <c r="E100" s="85" t="e">
        <f t="shared" si="91"/>
        <v>#REF!</v>
      </c>
      <c r="F100" s="85" t="e">
        <f t="shared" si="91"/>
        <v>#REF!</v>
      </c>
      <c r="G100" s="85" t="e">
        <f t="shared" si="91"/>
        <v>#REF!</v>
      </c>
      <c r="H100" s="85" t="e">
        <f t="shared" si="91"/>
        <v>#REF!</v>
      </c>
      <c r="I100" s="85" t="e">
        <f t="shared" si="91"/>
        <v>#REF!</v>
      </c>
      <c r="J100" s="85" t="e">
        <f t="shared" si="91"/>
        <v>#REF!</v>
      </c>
      <c r="K100" s="85" t="e">
        <f t="shared" si="91"/>
        <v>#REF!</v>
      </c>
      <c r="L100" s="85" t="e">
        <f t="shared" si="91"/>
        <v>#REF!</v>
      </c>
      <c r="M100" s="85" t="e">
        <f t="shared" si="91"/>
        <v>#REF!</v>
      </c>
      <c r="N100" s="85" t="e">
        <f t="shared" si="91"/>
        <v>#REF!</v>
      </c>
      <c r="O100" s="85" t="e">
        <f t="shared" si="91"/>
        <v>#REF!</v>
      </c>
      <c r="P100" s="85" t="e">
        <f t="shared" si="91"/>
        <v>#REF!</v>
      </c>
      <c r="Q100" s="85" t="e">
        <f t="shared" si="91"/>
        <v>#REF!</v>
      </c>
      <c r="R100" s="72" t="e">
        <f>RATE(12,,-E100,Q100)</f>
        <v>#REF!</v>
      </c>
      <c r="S100" s="56"/>
      <c r="T100" s="12">
        <f>1-T99</f>
        <v>0.59899999999999998</v>
      </c>
      <c r="U100" s="12">
        <f t="shared" ref="U100:AG100" si="92">1-U99</f>
        <v>0.59734909466880048</v>
      </c>
      <c r="V100" s="12">
        <f t="shared" si="92"/>
        <v>0.59569139260839266</v>
      </c>
      <c r="W100" s="12">
        <f t="shared" si="92"/>
        <v>0.59402686583683983</v>
      </c>
      <c r="X100" s="12">
        <f t="shared" si="92"/>
        <v>0.59235548625700507</v>
      </c>
      <c r="Y100" s="12">
        <f t="shared" si="92"/>
        <v>0.59067722565607605</v>
      </c>
      <c r="Z100" s="12">
        <f t="shared" si="92"/>
        <v>0.58899205570508917</v>
      </c>
      <c r="AA100" s="12">
        <f t="shared" si="92"/>
        <v>0.5872999479584512</v>
      </c>
      <c r="AB100" s="12">
        <f t="shared" si="92"/>
        <v>0.58560087385345938</v>
      </c>
      <c r="AC100" s="12">
        <f t="shared" si="92"/>
        <v>0.58389480470981914</v>
      </c>
      <c r="AD100" s="12">
        <f t="shared" si="92"/>
        <v>0.58218171172915989</v>
      </c>
      <c r="AE100" s="12">
        <f t="shared" si="92"/>
        <v>0.5804615659945489</v>
      </c>
      <c r="AF100" s="12">
        <f t="shared" si="92"/>
        <v>0.57873433847000344</v>
      </c>
      <c r="AG100" s="12">
        <f t="shared" si="92"/>
        <v>0.57700000000000062</v>
      </c>
    </row>
    <row r="101" spans="1:33" ht="15" hidden="1" thickBot="1" x14ac:dyDescent="0.4">
      <c r="A101" s="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21"/>
    </row>
    <row r="102" spans="1:33" ht="15" hidden="1" thickBot="1" x14ac:dyDescent="0.4">
      <c r="A102" s="150" t="s">
        <v>14</v>
      </c>
      <c r="B102" s="59" t="s">
        <v>21</v>
      </c>
      <c r="C102" s="50"/>
      <c r="D102" s="86" t="e">
        <f t="shared" ref="D102:Q102" si="93">D92*T102</f>
        <v>#REF!</v>
      </c>
      <c r="E102" s="86" t="e">
        <f t="shared" si="93"/>
        <v>#REF!</v>
      </c>
      <c r="F102" s="86" t="e">
        <f t="shared" si="93"/>
        <v>#REF!</v>
      </c>
      <c r="G102" s="86" t="e">
        <f t="shared" si="93"/>
        <v>#REF!</v>
      </c>
      <c r="H102" s="86" t="e">
        <f t="shared" si="93"/>
        <v>#REF!</v>
      </c>
      <c r="I102" s="86" t="e">
        <f t="shared" si="93"/>
        <v>#REF!</v>
      </c>
      <c r="J102" s="86" t="e">
        <f t="shared" si="93"/>
        <v>#REF!</v>
      </c>
      <c r="K102" s="86" t="e">
        <f t="shared" si="93"/>
        <v>#REF!</v>
      </c>
      <c r="L102" s="86" t="e">
        <f t="shared" si="93"/>
        <v>#REF!</v>
      </c>
      <c r="M102" s="86" t="e">
        <f t="shared" si="93"/>
        <v>#REF!</v>
      </c>
      <c r="N102" s="86" t="e">
        <f t="shared" si="93"/>
        <v>#REF!</v>
      </c>
      <c r="O102" s="86" t="e">
        <f t="shared" si="93"/>
        <v>#REF!</v>
      </c>
      <c r="P102" s="86" t="e">
        <f t="shared" si="93"/>
        <v>#REF!</v>
      </c>
      <c r="Q102" s="86" t="e">
        <f t="shared" si="93"/>
        <v>#REF!</v>
      </c>
      <c r="R102" s="73" t="e">
        <f t="shared" ref="R102:R107" si="94">RATE(12,,-E102,Q102)</f>
        <v>#REF!</v>
      </c>
      <c r="S102" s="59"/>
      <c r="T102" s="12">
        <v>0.25</v>
      </c>
      <c r="U102" s="12">
        <v>0.25155593539307364</v>
      </c>
      <c r="V102" s="12">
        <v>0.25312155452593693</v>
      </c>
      <c r="W102" s="12">
        <v>0.25469691766768382</v>
      </c>
      <c r="X102" s="12">
        <v>0.25628208546250747</v>
      </c>
      <c r="Y102" s="12">
        <v>0.2578771189320348</v>
      </c>
      <c r="Z102" s="12">
        <v>0.25948207947767565</v>
      </c>
      <c r="AA102" s="12">
        <v>0.2610970288829863</v>
      </c>
      <c r="AB102" s="12">
        <v>0.26272202931604799</v>
      </c>
      <c r="AC102" s="12">
        <v>0.26435714333185978</v>
      </c>
      <c r="AD102" s="12">
        <v>0.26600243387474731</v>
      </c>
      <c r="AE102" s="12">
        <v>0.26765796428078514</v>
      </c>
      <c r="AF102" s="12">
        <v>0.26932379828023517</v>
      </c>
      <c r="AG102" s="12">
        <v>0.27100000000000013</v>
      </c>
    </row>
    <row r="103" spans="1:33" ht="15" hidden="1" thickBot="1" x14ac:dyDescent="0.4">
      <c r="A103" s="155"/>
      <c r="B103" s="60" t="s">
        <v>22</v>
      </c>
      <c r="C103" s="41"/>
      <c r="D103" s="87" t="e">
        <f t="shared" ref="D103:Q103" si="95">D92*T103</f>
        <v>#REF!</v>
      </c>
      <c r="E103" s="87" t="e">
        <f t="shared" si="95"/>
        <v>#REF!</v>
      </c>
      <c r="F103" s="87" t="e">
        <f t="shared" si="95"/>
        <v>#REF!</v>
      </c>
      <c r="G103" s="87" t="e">
        <f t="shared" si="95"/>
        <v>#REF!</v>
      </c>
      <c r="H103" s="87" t="e">
        <f t="shared" si="95"/>
        <v>#REF!</v>
      </c>
      <c r="I103" s="87" t="e">
        <f t="shared" si="95"/>
        <v>#REF!</v>
      </c>
      <c r="J103" s="87" t="e">
        <f t="shared" si="95"/>
        <v>#REF!</v>
      </c>
      <c r="K103" s="87" t="e">
        <f t="shared" si="95"/>
        <v>#REF!</v>
      </c>
      <c r="L103" s="87" t="e">
        <f t="shared" si="95"/>
        <v>#REF!</v>
      </c>
      <c r="M103" s="87" t="e">
        <f t="shared" si="95"/>
        <v>#REF!</v>
      </c>
      <c r="N103" s="87" t="e">
        <f t="shared" si="95"/>
        <v>#REF!</v>
      </c>
      <c r="O103" s="87" t="e">
        <f t="shared" si="95"/>
        <v>#REF!</v>
      </c>
      <c r="P103" s="87" t="e">
        <f t="shared" si="95"/>
        <v>#REF!</v>
      </c>
      <c r="Q103" s="87" t="e">
        <f t="shared" si="95"/>
        <v>#REF!</v>
      </c>
      <c r="R103" s="74" t="e">
        <f t="shared" si="94"/>
        <v>#REF!</v>
      </c>
      <c r="S103" s="60"/>
      <c r="T103" s="12">
        <v>0.38</v>
      </c>
      <c r="U103" s="12">
        <v>0.38090988938047371</v>
      </c>
      <c r="V103" s="12">
        <v>0.38182195744169661</v>
      </c>
      <c r="W103" s="12">
        <v>0.38273620940040159</v>
      </c>
      <c r="X103" s="12">
        <v>0.38365265048581265</v>
      </c>
      <c r="Y103" s="12">
        <v>0.38457128593967477</v>
      </c>
      <c r="Z103" s="12">
        <v>0.38549212101628438</v>
      </c>
      <c r="AA103" s="12">
        <v>0.38641516098251855</v>
      </c>
      <c r="AB103" s="12">
        <v>0.38734041111786593</v>
      </c>
      <c r="AC103" s="12">
        <v>0.38826787671445667</v>
      </c>
      <c r="AD103" s="12">
        <v>0.38919756307709236</v>
      </c>
      <c r="AE103" s="12">
        <v>0.39012947552327681</v>
      </c>
      <c r="AF103" s="12">
        <v>0.3910636193832463</v>
      </c>
      <c r="AG103" s="12">
        <v>0.39200000000000002</v>
      </c>
    </row>
    <row r="104" spans="1:33" ht="15" hidden="1" thickBot="1" x14ac:dyDescent="0.4">
      <c r="A104" s="155"/>
      <c r="B104" s="61" t="s">
        <v>23</v>
      </c>
      <c r="C104" s="41"/>
      <c r="D104" s="88" t="e">
        <f t="shared" ref="D104:Q104" si="96">D103*T104</f>
        <v>#REF!</v>
      </c>
      <c r="E104" s="88" t="e">
        <f t="shared" si="96"/>
        <v>#REF!</v>
      </c>
      <c r="F104" s="88" t="e">
        <f t="shared" si="96"/>
        <v>#REF!</v>
      </c>
      <c r="G104" s="88" t="e">
        <f t="shared" si="96"/>
        <v>#REF!</v>
      </c>
      <c r="H104" s="88" t="e">
        <f t="shared" si="96"/>
        <v>#REF!</v>
      </c>
      <c r="I104" s="88" t="e">
        <f t="shared" si="96"/>
        <v>#REF!</v>
      </c>
      <c r="J104" s="88" t="e">
        <f t="shared" si="96"/>
        <v>#REF!</v>
      </c>
      <c r="K104" s="88" t="e">
        <f t="shared" si="96"/>
        <v>#REF!</v>
      </c>
      <c r="L104" s="88" t="e">
        <f t="shared" si="96"/>
        <v>#REF!</v>
      </c>
      <c r="M104" s="88" t="e">
        <f t="shared" si="96"/>
        <v>#REF!</v>
      </c>
      <c r="N104" s="88" t="e">
        <f t="shared" si="96"/>
        <v>#REF!</v>
      </c>
      <c r="O104" s="88" t="e">
        <f t="shared" si="96"/>
        <v>#REF!</v>
      </c>
      <c r="P104" s="88" t="e">
        <f t="shared" si="96"/>
        <v>#REF!</v>
      </c>
      <c r="Q104" s="88" t="e">
        <f t="shared" si="96"/>
        <v>#REF!</v>
      </c>
      <c r="R104" s="74" t="e">
        <f t="shared" si="94"/>
        <v>#REF!</v>
      </c>
      <c r="S104" s="61"/>
      <c r="T104" s="67">
        <v>0.34999999999999987</v>
      </c>
      <c r="U104" s="67">
        <v>0.34938588387166564</v>
      </c>
      <c r="V104" s="67">
        <v>0.34877284528224306</v>
      </c>
      <c r="W104" s="67">
        <v>0.34816088234106346</v>
      </c>
      <c r="X104" s="67">
        <v>0.34754999316077562</v>
      </c>
      <c r="Y104" s="67">
        <v>0.34694017585733994</v>
      </c>
      <c r="Z104" s="67">
        <v>0.34633142855002247</v>
      </c>
      <c r="AA104" s="67">
        <v>0.34572374936138933</v>
      </c>
      <c r="AB104" s="67">
        <v>0.34511713641730069</v>
      </c>
      <c r="AC104" s="67">
        <v>0.34451158784690528</v>
      </c>
      <c r="AD104" s="67">
        <v>0.34390710178263434</v>
      </c>
      <c r="AE104" s="67">
        <v>0.34330367636019604</v>
      </c>
      <c r="AF104" s="67">
        <v>0.34270130971856966</v>
      </c>
      <c r="AG104" s="67">
        <v>0.34209999999999979</v>
      </c>
    </row>
    <row r="105" spans="1:33" ht="15" hidden="1" thickBot="1" x14ac:dyDescent="0.4">
      <c r="A105" s="155"/>
      <c r="B105" s="61" t="s">
        <v>24</v>
      </c>
      <c r="C105" s="41"/>
      <c r="D105" s="88" t="e">
        <f t="shared" ref="D105:Q105" si="97">D103*T105</f>
        <v>#REF!</v>
      </c>
      <c r="E105" s="88" t="e">
        <f t="shared" si="97"/>
        <v>#REF!</v>
      </c>
      <c r="F105" s="88" t="e">
        <f t="shared" si="97"/>
        <v>#REF!</v>
      </c>
      <c r="G105" s="88" t="e">
        <f t="shared" si="97"/>
        <v>#REF!</v>
      </c>
      <c r="H105" s="88" t="e">
        <f t="shared" si="97"/>
        <v>#REF!</v>
      </c>
      <c r="I105" s="88" t="e">
        <f t="shared" si="97"/>
        <v>#REF!</v>
      </c>
      <c r="J105" s="88" t="e">
        <f t="shared" si="97"/>
        <v>#REF!</v>
      </c>
      <c r="K105" s="88" t="e">
        <f t="shared" si="97"/>
        <v>#REF!</v>
      </c>
      <c r="L105" s="88" t="e">
        <f t="shared" si="97"/>
        <v>#REF!</v>
      </c>
      <c r="M105" s="88" t="e">
        <f t="shared" si="97"/>
        <v>#REF!</v>
      </c>
      <c r="N105" s="88" t="e">
        <f t="shared" si="97"/>
        <v>#REF!</v>
      </c>
      <c r="O105" s="88" t="e">
        <f t="shared" si="97"/>
        <v>#REF!</v>
      </c>
      <c r="P105" s="88" t="e">
        <f t="shared" si="97"/>
        <v>#REF!</v>
      </c>
      <c r="Q105" s="88" t="e">
        <f t="shared" si="97"/>
        <v>#REF!</v>
      </c>
      <c r="R105" s="74" t="e">
        <f t="shared" si="94"/>
        <v>#REF!</v>
      </c>
      <c r="S105" s="61"/>
      <c r="T105" s="67">
        <v>0.28000000000000003</v>
      </c>
      <c r="U105" s="67">
        <v>0.28097918830490543</v>
      </c>
      <c r="V105" s="67">
        <v>0.28196180093029821</v>
      </c>
      <c r="W105" s="67">
        <v>0.28294784985137333</v>
      </c>
      <c r="X105" s="67">
        <v>0.28393734708520407</v>
      </c>
      <c r="Y105" s="67">
        <v>0.28493030469088876</v>
      </c>
      <c r="Z105" s="67">
        <v>0.28592673476969749</v>
      </c>
      <c r="AA105" s="67">
        <v>0.28692664946521995</v>
      </c>
      <c r="AB105" s="67">
        <v>0.28793006096351298</v>
      </c>
      <c r="AC105" s="67">
        <v>0.28893698149324931</v>
      </c>
      <c r="AD105" s="67">
        <v>0.28994742332586665</v>
      </c>
      <c r="AE105" s="67">
        <v>0.29096139877571725</v>
      </c>
      <c r="AF105" s="67">
        <v>0.29197892020021765</v>
      </c>
      <c r="AG105" s="67">
        <v>0.29299999999999965</v>
      </c>
    </row>
    <row r="106" spans="1:33" ht="15" hidden="1" thickBot="1" x14ac:dyDescent="0.4">
      <c r="A106" s="155"/>
      <c r="B106" s="61" t="s">
        <v>25</v>
      </c>
      <c r="C106" s="41"/>
      <c r="D106" s="88" t="e">
        <f t="shared" ref="D106:Q106" si="98">D103*T106</f>
        <v>#REF!</v>
      </c>
      <c r="E106" s="88" t="e">
        <f t="shared" si="98"/>
        <v>#REF!</v>
      </c>
      <c r="F106" s="88" t="e">
        <f t="shared" si="98"/>
        <v>#REF!</v>
      </c>
      <c r="G106" s="88" t="e">
        <f t="shared" si="98"/>
        <v>#REF!</v>
      </c>
      <c r="H106" s="88" t="e">
        <f t="shared" si="98"/>
        <v>#REF!</v>
      </c>
      <c r="I106" s="88" t="e">
        <f t="shared" si="98"/>
        <v>#REF!</v>
      </c>
      <c r="J106" s="88" t="e">
        <f t="shared" si="98"/>
        <v>#REF!</v>
      </c>
      <c r="K106" s="88" t="e">
        <f t="shared" si="98"/>
        <v>#REF!</v>
      </c>
      <c r="L106" s="88" t="e">
        <f t="shared" si="98"/>
        <v>#REF!</v>
      </c>
      <c r="M106" s="88" t="e">
        <f t="shared" si="98"/>
        <v>#REF!</v>
      </c>
      <c r="N106" s="88" t="e">
        <f t="shared" si="98"/>
        <v>#REF!</v>
      </c>
      <c r="O106" s="88" t="e">
        <f t="shared" si="98"/>
        <v>#REF!</v>
      </c>
      <c r="P106" s="88" t="e">
        <f t="shared" si="98"/>
        <v>#REF!</v>
      </c>
      <c r="Q106" s="88" t="e">
        <f t="shared" si="98"/>
        <v>#REF!</v>
      </c>
      <c r="R106" s="74" t="e">
        <f t="shared" si="94"/>
        <v>#REF!</v>
      </c>
      <c r="S106" s="61"/>
      <c r="T106" s="67">
        <f>1-SUM(T104:T105)</f>
        <v>0.37000000000000011</v>
      </c>
      <c r="U106" s="67">
        <f t="shared" ref="U106:AG106" si="99">1-SUM(U104:U105)</f>
        <v>0.36963492782342899</v>
      </c>
      <c r="V106" s="67">
        <f t="shared" si="99"/>
        <v>0.36926535378745873</v>
      </c>
      <c r="W106" s="67">
        <f t="shared" si="99"/>
        <v>0.36889126780756321</v>
      </c>
      <c r="X106" s="67">
        <f t="shared" si="99"/>
        <v>0.36851265975402026</v>
      </c>
      <c r="Y106" s="67">
        <f t="shared" si="99"/>
        <v>0.3681295194517713</v>
      </c>
      <c r="Z106" s="67">
        <f t="shared" si="99"/>
        <v>0.36774183668028004</v>
      </c>
      <c r="AA106" s="67">
        <f t="shared" si="99"/>
        <v>0.36734960117339077</v>
      </c>
      <c r="AB106" s="67">
        <f t="shared" si="99"/>
        <v>0.36695280261918639</v>
      </c>
      <c r="AC106" s="67">
        <f t="shared" si="99"/>
        <v>0.36655143065984541</v>
      </c>
      <c r="AD106" s="67">
        <f t="shared" si="99"/>
        <v>0.36614547489149896</v>
      </c>
      <c r="AE106" s="67">
        <f t="shared" si="99"/>
        <v>0.36573492486408665</v>
      </c>
      <c r="AF106" s="67">
        <f t="shared" si="99"/>
        <v>0.36531977008121275</v>
      </c>
      <c r="AG106" s="67">
        <f t="shared" si="99"/>
        <v>0.36490000000000056</v>
      </c>
    </row>
    <row r="107" spans="1:33" ht="15" hidden="1" thickBot="1" x14ac:dyDescent="0.4">
      <c r="A107" s="151"/>
      <c r="B107" s="62" t="s">
        <v>26</v>
      </c>
      <c r="C107" s="51"/>
      <c r="D107" s="89" t="e">
        <f t="shared" ref="D107:Q107" si="100">D92*T107</f>
        <v>#REF!</v>
      </c>
      <c r="E107" s="89" t="e">
        <f t="shared" si="100"/>
        <v>#REF!</v>
      </c>
      <c r="F107" s="89" t="e">
        <f t="shared" si="100"/>
        <v>#REF!</v>
      </c>
      <c r="G107" s="89" t="e">
        <f t="shared" si="100"/>
        <v>#REF!</v>
      </c>
      <c r="H107" s="89" t="e">
        <f t="shared" si="100"/>
        <v>#REF!</v>
      </c>
      <c r="I107" s="89" t="e">
        <f t="shared" si="100"/>
        <v>#REF!</v>
      </c>
      <c r="J107" s="89" t="e">
        <f t="shared" si="100"/>
        <v>#REF!</v>
      </c>
      <c r="K107" s="89" t="e">
        <f t="shared" si="100"/>
        <v>#REF!</v>
      </c>
      <c r="L107" s="89" t="e">
        <f t="shared" si="100"/>
        <v>#REF!</v>
      </c>
      <c r="M107" s="89" t="e">
        <f t="shared" si="100"/>
        <v>#REF!</v>
      </c>
      <c r="N107" s="89" t="e">
        <f t="shared" si="100"/>
        <v>#REF!</v>
      </c>
      <c r="O107" s="89" t="e">
        <f t="shared" si="100"/>
        <v>#REF!</v>
      </c>
      <c r="P107" s="89" t="e">
        <f t="shared" si="100"/>
        <v>#REF!</v>
      </c>
      <c r="Q107" s="89" t="e">
        <f t="shared" si="100"/>
        <v>#REF!</v>
      </c>
      <c r="R107" s="75" t="e">
        <f t="shared" si="94"/>
        <v>#REF!</v>
      </c>
      <c r="S107" s="62"/>
      <c r="T107" s="12">
        <f>1-SUM(T102+T103)</f>
        <v>0.37</v>
      </c>
      <c r="U107" s="12">
        <f t="shared" ref="U107:AG107" si="101">1-SUM(U102+U103)</f>
        <v>0.36753417522645271</v>
      </c>
      <c r="V107" s="12">
        <f t="shared" si="101"/>
        <v>0.36505648803236646</v>
      </c>
      <c r="W107" s="12">
        <f t="shared" si="101"/>
        <v>0.36256687293191459</v>
      </c>
      <c r="X107" s="12">
        <f t="shared" si="101"/>
        <v>0.36006526405167993</v>
      </c>
      <c r="Y107" s="12">
        <f t="shared" si="101"/>
        <v>0.35755159512829038</v>
      </c>
      <c r="Z107" s="12">
        <f t="shared" si="101"/>
        <v>0.35502579950603996</v>
      </c>
      <c r="AA107" s="12">
        <f t="shared" si="101"/>
        <v>0.35248781013449515</v>
      </c>
      <c r="AB107" s="12">
        <f t="shared" si="101"/>
        <v>0.34993755956608608</v>
      </c>
      <c r="AC107" s="12">
        <f t="shared" si="101"/>
        <v>0.3473749799536836</v>
      </c>
      <c r="AD107" s="12">
        <f t="shared" si="101"/>
        <v>0.34480000304816039</v>
      </c>
      <c r="AE107" s="12">
        <f t="shared" si="101"/>
        <v>0.34221256019593804</v>
      </c>
      <c r="AF107" s="12">
        <f t="shared" si="101"/>
        <v>0.33961258233651859</v>
      </c>
      <c r="AG107" s="12">
        <f t="shared" si="101"/>
        <v>0.33699999999999986</v>
      </c>
    </row>
    <row r="108" spans="1:33" ht="15" hidden="1" thickBot="1" x14ac:dyDescent="0.4">
      <c r="A108" s="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21"/>
    </row>
    <row r="109" spans="1:33" ht="15" hidden="1" thickBot="1" x14ac:dyDescent="0.4">
      <c r="A109" s="152" t="s">
        <v>27</v>
      </c>
      <c r="B109" s="54" t="s">
        <v>28</v>
      </c>
      <c r="C109" s="49"/>
      <c r="D109" s="84" t="e">
        <f t="shared" ref="D109:Q109" si="102">D92*T109</f>
        <v>#REF!</v>
      </c>
      <c r="E109" s="84" t="e">
        <f t="shared" si="102"/>
        <v>#REF!</v>
      </c>
      <c r="F109" s="84" t="e">
        <f t="shared" si="102"/>
        <v>#REF!</v>
      </c>
      <c r="G109" s="84" t="e">
        <f t="shared" si="102"/>
        <v>#REF!</v>
      </c>
      <c r="H109" s="84" t="e">
        <f t="shared" si="102"/>
        <v>#REF!</v>
      </c>
      <c r="I109" s="84" t="e">
        <f t="shared" si="102"/>
        <v>#REF!</v>
      </c>
      <c r="J109" s="84" t="e">
        <f t="shared" si="102"/>
        <v>#REF!</v>
      </c>
      <c r="K109" s="84" t="e">
        <f t="shared" si="102"/>
        <v>#REF!</v>
      </c>
      <c r="L109" s="84" t="e">
        <f t="shared" si="102"/>
        <v>#REF!</v>
      </c>
      <c r="M109" s="84" t="e">
        <f t="shared" si="102"/>
        <v>#REF!</v>
      </c>
      <c r="N109" s="84" t="e">
        <f t="shared" si="102"/>
        <v>#REF!</v>
      </c>
      <c r="O109" s="84" t="e">
        <f t="shared" si="102"/>
        <v>#REF!</v>
      </c>
      <c r="P109" s="84" t="e">
        <f t="shared" si="102"/>
        <v>#REF!</v>
      </c>
      <c r="Q109" s="84" t="e">
        <f t="shared" si="102"/>
        <v>#REF!</v>
      </c>
      <c r="R109" s="71" t="e">
        <f>RATE(12,,-E109,Q109)</f>
        <v>#REF!</v>
      </c>
      <c r="S109" s="54"/>
      <c r="T109" s="12">
        <v>0.40099999999999997</v>
      </c>
      <c r="U109" s="12">
        <v>0.40265090533119946</v>
      </c>
      <c r="V109" s="12">
        <v>0.40430860739160734</v>
      </c>
      <c r="W109" s="12">
        <v>0.40597313416316017</v>
      </c>
      <c r="X109" s="12">
        <v>0.40764451374299493</v>
      </c>
      <c r="Y109" s="12">
        <v>0.40932277434392395</v>
      </c>
      <c r="Z109" s="12">
        <v>0.41100794429491083</v>
      </c>
      <c r="AA109" s="12">
        <v>0.4127000520415488</v>
      </c>
      <c r="AB109" s="12">
        <v>0.41439912614654062</v>
      </c>
      <c r="AC109" s="12">
        <v>0.41610519529018092</v>
      </c>
      <c r="AD109" s="12">
        <v>0.41781828827084017</v>
      </c>
      <c r="AE109" s="12">
        <v>0.4195384340054511</v>
      </c>
      <c r="AF109" s="12">
        <v>0.4212656615299965</v>
      </c>
      <c r="AG109" s="12">
        <v>0.42299999999999938</v>
      </c>
    </row>
    <row r="110" spans="1:33" ht="15" hidden="1" thickBot="1" x14ac:dyDescent="0.4">
      <c r="A110" s="154"/>
      <c r="B110" s="55" t="s">
        <v>29</v>
      </c>
      <c r="C110" s="40"/>
      <c r="D110" s="90" t="e">
        <f t="shared" ref="D110:Q110" si="103">D92*T110</f>
        <v>#REF!</v>
      </c>
      <c r="E110" s="90" t="e">
        <f t="shared" si="103"/>
        <v>#REF!</v>
      </c>
      <c r="F110" s="90" t="e">
        <f t="shared" si="103"/>
        <v>#REF!</v>
      </c>
      <c r="G110" s="90" t="e">
        <f t="shared" si="103"/>
        <v>#REF!</v>
      </c>
      <c r="H110" s="90" t="e">
        <f t="shared" si="103"/>
        <v>#REF!</v>
      </c>
      <c r="I110" s="90" t="e">
        <f t="shared" si="103"/>
        <v>#REF!</v>
      </c>
      <c r="J110" s="90" t="e">
        <f t="shared" si="103"/>
        <v>#REF!</v>
      </c>
      <c r="K110" s="90" t="e">
        <f t="shared" si="103"/>
        <v>#REF!</v>
      </c>
      <c r="L110" s="90" t="e">
        <f t="shared" si="103"/>
        <v>#REF!</v>
      </c>
      <c r="M110" s="90" t="e">
        <f t="shared" si="103"/>
        <v>#REF!</v>
      </c>
      <c r="N110" s="90" t="e">
        <f t="shared" si="103"/>
        <v>#REF!</v>
      </c>
      <c r="O110" s="90" t="e">
        <f t="shared" si="103"/>
        <v>#REF!</v>
      </c>
      <c r="P110" s="90" t="e">
        <f t="shared" si="103"/>
        <v>#REF!</v>
      </c>
      <c r="Q110" s="90" t="e">
        <f t="shared" si="103"/>
        <v>#REF!</v>
      </c>
      <c r="R110" s="76" t="e">
        <f>RATE(12,,-E110,Q110)</f>
        <v>#REF!</v>
      </c>
      <c r="S110" s="55"/>
      <c r="T110" s="12">
        <v>0.43099999999999999</v>
      </c>
      <c r="U110" s="12">
        <v>0.43183634674261745</v>
      </c>
      <c r="V110" s="12">
        <v>0.43267431639909548</v>
      </c>
      <c r="W110" s="12">
        <v>0.43351391211866536</v>
      </c>
      <c r="X110" s="12">
        <v>0.43435513705666956</v>
      </c>
      <c r="Y110" s="12">
        <v>0.43519799437457324</v>
      </c>
      <c r="Z110" s="12">
        <v>0.43604248723997657</v>
      </c>
      <c r="AA110" s="12">
        <v>0.43688861882662616</v>
      </c>
      <c r="AB110" s="12">
        <v>0.43773639231442729</v>
      </c>
      <c r="AC110" s="12">
        <v>0.43858581088945586</v>
      </c>
      <c r="AD110" s="12">
        <v>0.43943687774397006</v>
      </c>
      <c r="AE110" s="12">
        <v>0.44028959607642287</v>
      </c>
      <c r="AF110" s="12">
        <v>0.44114396909147369</v>
      </c>
      <c r="AG110" s="12">
        <v>0.44200000000000028</v>
      </c>
    </row>
    <row r="111" spans="1:33" ht="15" hidden="1" thickBot="1" x14ac:dyDescent="0.4">
      <c r="A111" s="153"/>
      <c r="B111" s="56" t="s">
        <v>30</v>
      </c>
      <c r="C111" s="44"/>
      <c r="D111" s="85" t="e">
        <f t="shared" ref="D111:Q111" si="104">D92*T111</f>
        <v>#REF!</v>
      </c>
      <c r="E111" s="85" t="e">
        <f t="shared" si="104"/>
        <v>#REF!</v>
      </c>
      <c r="F111" s="85" t="e">
        <f t="shared" si="104"/>
        <v>#REF!</v>
      </c>
      <c r="G111" s="85" t="e">
        <f t="shared" si="104"/>
        <v>#REF!</v>
      </c>
      <c r="H111" s="85" t="e">
        <f t="shared" si="104"/>
        <v>#REF!</v>
      </c>
      <c r="I111" s="85" t="e">
        <f t="shared" si="104"/>
        <v>#REF!</v>
      </c>
      <c r="J111" s="85" t="e">
        <f t="shared" si="104"/>
        <v>#REF!</v>
      </c>
      <c r="K111" s="85" t="e">
        <f t="shared" si="104"/>
        <v>#REF!</v>
      </c>
      <c r="L111" s="85" t="e">
        <f t="shared" si="104"/>
        <v>#REF!</v>
      </c>
      <c r="M111" s="85" t="e">
        <f t="shared" si="104"/>
        <v>#REF!</v>
      </c>
      <c r="N111" s="85" t="e">
        <f t="shared" si="104"/>
        <v>#REF!</v>
      </c>
      <c r="O111" s="85" t="e">
        <f t="shared" si="104"/>
        <v>#REF!</v>
      </c>
      <c r="P111" s="85" t="e">
        <f t="shared" si="104"/>
        <v>#REF!</v>
      </c>
      <c r="Q111" s="85" t="e">
        <f t="shared" si="104"/>
        <v>#REF!</v>
      </c>
      <c r="R111" s="72" t="e">
        <f>RATE(12,,-E111,Q111)</f>
        <v>#REF!</v>
      </c>
      <c r="S111" s="56"/>
      <c r="T111" s="12">
        <f>1-SUM(T109:T110)</f>
        <v>0.16800000000000004</v>
      </c>
      <c r="U111" s="12">
        <f t="shared" ref="U111:AG111" si="105">1-SUM(U109:U110)</f>
        <v>0.16551274792618309</v>
      </c>
      <c r="V111" s="12">
        <f t="shared" si="105"/>
        <v>0.16301707620929717</v>
      </c>
      <c r="W111" s="12">
        <f t="shared" si="105"/>
        <v>0.16051295371817442</v>
      </c>
      <c r="X111" s="12">
        <f t="shared" si="105"/>
        <v>0.15800034920033545</v>
      </c>
      <c r="Y111" s="12">
        <f t="shared" si="105"/>
        <v>0.15547923128150276</v>
      </c>
      <c r="Z111" s="12">
        <f t="shared" si="105"/>
        <v>0.15294956846511254</v>
      </c>
      <c r="AA111" s="12">
        <f t="shared" si="105"/>
        <v>0.15041132913182498</v>
      </c>
      <c r="AB111" s="12">
        <f t="shared" si="105"/>
        <v>0.14786448153903209</v>
      </c>
      <c r="AC111" s="12">
        <f t="shared" si="105"/>
        <v>0.14530899382036322</v>
      </c>
      <c r="AD111" s="12">
        <f t="shared" si="105"/>
        <v>0.14274483398518978</v>
      </c>
      <c r="AE111" s="12">
        <f t="shared" si="105"/>
        <v>0.14017196991812608</v>
      </c>
      <c r="AF111" s="12">
        <f t="shared" si="105"/>
        <v>0.13759036937852986</v>
      </c>
      <c r="AG111" s="12">
        <f t="shared" si="105"/>
        <v>0.13500000000000034</v>
      </c>
    </row>
    <row r="112" spans="1:33" ht="15.5" x14ac:dyDescent="0.35">
      <c r="A112" s="42"/>
      <c r="B112" s="43"/>
      <c r="C112" s="93"/>
      <c r="D112" s="91">
        <v>2023</v>
      </c>
      <c r="E112" s="65">
        <v>2024</v>
      </c>
      <c r="F112" s="65">
        <v>2025</v>
      </c>
      <c r="G112" s="65">
        <v>2026</v>
      </c>
      <c r="H112" s="65">
        <v>2027</v>
      </c>
      <c r="I112" s="65">
        <v>2028</v>
      </c>
      <c r="J112" s="65">
        <v>2029</v>
      </c>
      <c r="K112" s="65">
        <v>2030</v>
      </c>
      <c r="L112" s="65">
        <v>2031</v>
      </c>
      <c r="M112" s="65">
        <v>2032</v>
      </c>
      <c r="N112" s="65">
        <v>2033</v>
      </c>
      <c r="O112" s="65">
        <v>2034</v>
      </c>
      <c r="P112" s="65">
        <v>2035</v>
      </c>
      <c r="Q112" s="65">
        <v>2036</v>
      </c>
      <c r="R112" s="66" t="s">
        <v>84</v>
      </c>
    </row>
    <row r="113" spans="1:33" ht="16" thickBot="1" x14ac:dyDescent="0.4">
      <c r="A113" s="1"/>
      <c r="C113" s="21"/>
      <c r="D113" s="92">
        <f>'Market Analysis '!C61</f>
        <v>62.410400000000053</v>
      </c>
      <c r="E113" s="92">
        <f>'Market Analysis '!D61</f>
        <v>66.903948800000066</v>
      </c>
      <c r="F113" s="92">
        <f>'Market Analysis '!E61</f>
        <v>71.862900604635243</v>
      </c>
      <c r="G113" s="92">
        <f>'Market Analysis '!F61</f>
        <v>77.346282809683785</v>
      </c>
      <c r="H113" s="92">
        <f>'Market Analysis '!G61</f>
        <v>83.421878453021193</v>
      </c>
      <c r="I113" s="92">
        <f>'Market Analysis '!H61</f>
        <v>90.167702663658631</v>
      </c>
      <c r="J113" s="92">
        <f>'Market Analysis '!I61</f>
        <v>97.673756916863994</v>
      </c>
      <c r="K113" s="92">
        <f>'Market Analysis '!J61</f>
        <v>106.04411864928811</v>
      </c>
      <c r="L113" s="92">
        <f>'Market Analysis '!K61</f>
        <v>115.39943678540548</v>
      </c>
      <c r="M113" s="92">
        <f>'Market Analysis '!L61</f>
        <v>125.87991989840526</v>
      </c>
      <c r="N113" s="92">
        <f>'Market Analysis '!M61</f>
        <v>137.64892390813466</v>
      </c>
      <c r="O113" s="92">
        <f>'Market Analysis '!N61</f>
        <v>150.897271472802</v>
      </c>
      <c r="P113" s="92">
        <f>'Market Analysis '!O61</f>
        <v>165.84846693050326</v>
      </c>
      <c r="Q113" s="92">
        <f>'Market Analysis '!P61</f>
        <v>182.76501055741457</v>
      </c>
      <c r="R113" s="68">
        <f>RATE(9,,-E113,Q113)</f>
        <v>0.11813303363758952</v>
      </c>
      <c r="T113" s="65">
        <v>2023</v>
      </c>
      <c r="U113" s="65">
        <v>2024</v>
      </c>
      <c r="V113" s="65">
        <v>2025</v>
      </c>
      <c r="W113" s="65">
        <v>2026</v>
      </c>
      <c r="X113" s="65">
        <v>2027</v>
      </c>
      <c r="Y113" s="65">
        <v>2028</v>
      </c>
      <c r="Z113" s="65">
        <v>2029</v>
      </c>
      <c r="AA113" s="65">
        <v>2030</v>
      </c>
      <c r="AB113" s="65">
        <v>2031</v>
      </c>
      <c r="AC113" s="65">
        <v>2032</v>
      </c>
      <c r="AD113" s="65">
        <v>2033</v>
      </c>
      <c r="AE113" s="65">
        <v>2034</v>
      </c>
      <c r="AF113" s="65">
        <v>2035</v>
      </c>
      <c r="AG113" s="65">
        <v>2036</v>
      </c>
    </row>
    <row r="114" spans="1:33" s="121" customFormat="1" x14ac:dyDescent="0.35">
      <c r="A114" s="147" t="s">
        <v>59</v>
      </c>
      <c r="B114" s="118" t="s">
        <v>60</v>
      </c>
      <c r="C114" s="119"/>
      <c r="D114" s="120">
        <f>D113*T114</f>
        <v>21.843640000000015</v>
      </c>
      <c r="E114" s="120">
        <f t="shared" ref="E114" si="106">E113*U114</f>
        <v>23.658146390658626</v>
      </c>
      <c r="F114" s="120">
        <f>F113*V114</f>
        <v>25.674064327434326</v>
      </c>
      <c r="G114" s="120">
        <f t="shared" ref="G114:Q114" si="107">G113*W114</f>
        <v>27.918382179808596</v>
      </c>
      <c r="H114" s="120">
        <f t="shared" si="107"/>
        <v>30.422274818091296</v>
      </c>
      <c r="I114" s="120">
        <f t="shared" si="107"/>
        <v>33.221837070331155</v>
      </c>
      <c r="J114" s="120">
        <f t="shared" si="107"/>
        <v>36.358959895023617</v>
      </c>
      <c r="K114" s="120">
        <f t="shared" si="107"/>
        <v>39.882379738711428</v>
      </c>
      <c r="L114" s="120">
        <f t="shared" si="107"/>
        <v>43.84893861898334</v>
      </c>
      <c r="M114" s="120">
        <f t="shared" si="107"/>
        <v>48.325101315811182</v>
      </c>
      <c r="N114" s="120">
        <f t="shared" si="107"/>
        <v>53.388787143425759</v>
      </c>
      <c r="O114" s="120">
        <f t="shared" si="107"/>
        <v>59.131587723267231</v>
      </c>
      <c r="P114" s="120">
        <f t="shared" si="107"/>
        <v>65.661459776245763</v>
      </c>
      <c r="Q114" s="120">
        <f t="shared" si="107"/>
        <v>73.106004222965851</v>
      </c>
      <c r="R114" s="68">
        <f>RATE(9,,-H114,Q114)</f>
        <v>0.10231779398847508</v>
      </c>
      <c r="S114" s="118" t="s">
        <v>60</v>
      </c>
      <c r="T114" s="116">
        <v>0.34999999999999992</v>
      </c>
      <c r="U114" s="116">
        <v>0.35361360300841621</v>
      </c>
      <c r="V114" s="116">
        <v>0.35726451495026795</v>
      </c>
      <c r="W114" s="116">
        <v>0.36095312102462412</v>
      </c>
      <c r="X114" s="116">
        <v>0.36467981040757214</v>
      </c>
      <c r="Y114" s="116">
        <v>0.36844497629327921</v>
      </c>
      <c r="Z114" s="116">
        <v>0.37224901593547705</v>
      </c>
      <c r="AA114" s="116">
        <v>0.37609233068937542</v>
      </c>
      <c r="AB114" s="116">
        <v>0.37997532605400802</v>
      </c>
      <c r="AC114" s="116">
        <v>0.38389841171501571</v>
      </c>
      <c r="AD114" s="116">
        <v>0.38786200158787171</v>
      </c>
      <c r="AE114" s="116">
        <v>0.39186651386155258</v>
      </c>
      <c r="AF114" s="116">
        <v>0.39591237104266019</v>
      </c>
      <c r="AG114" s="116">
        <v>0.40000000000000013</v>
      </c>
    </row>
    <row r="115" spans="1:33" s="117" customFormat="1" x14ac:dyDescent="0.35">
      <c r="A115" s="148"/>
      <c r="B115" s="113" t="s">
        <v>61</v>
      </c>
      <c r="C115" s="114"/>
      <c r="D115" s="115">
        <f>D113*T115</f>
        <v>18.723120000000019</v>
      </c>
      <c r="E115" s="115">
        <f t="shared" ref="E115:Q115" si="108">E113*U115</f>
        <v>20.081446019379833</v>
      </c>
      <c r="F115" s="115">
        <f t="shared" si="108"/>
        <v>21.580919731543631</v>
      </c>
      <c r="G115" s="115">
        <f t="shared" si="108"/>
        <v>23.239491951441188</v>
      </c>
      <c r="H115" s="115">
        <f t="shared" si="108"/>
        <v>25.077782051087887</v>
      </c>
      <c r="I115" s="115">
        <f t="shared" si="108"/>
        <v>27.11952880244381</v>
      </c>
      <c r="J115" s="115">
        <f t="shared" si="108"/>
        <v>29.392126190639338</v>
      </c>
      <c r="K115" s="115">
        <f t="shared" si="108"/>
        <v>31.927261827235149</v>
      </c>
      <c r="L115" s="115">
        <f t="shared" si="108"/>
        <v>34.761679579883861</v>
      </c>
      <c r="M115" s="115">
        <f t="shared" si="108"/>
        <v>37.938092996340785</v>
      </c>
      <c r="N115" s="115">
        <f t="shared" si="108"/>
        <v>41.506282293432911</v>
      </c>
      <c r="O115" s="115">
        <f t="shared" si="108"/>
        <v>45.524415433475184</v>
      </c>
      <c r="P115" s="115">
        <f t="shared" si="108"/>
        <v>50.0606435433385</v>
      </c>
      <c r="Q115" s="115">
        <f t="shared" si="108"/>
        <v>55.195033188339259</v>
      </c>
      <c r="R115" s="68">
        <f>RATE(9,,-H115,Q115)</f>
        <v>9.161092881521006E-2</v>
      </c>
      <c r="S115" s="113" t="s">
        <v>61</v>
      </c>
      <c r="T115" s="116">
        <v>0.30000000000000004</v>
      </c>
      <c r="U115" s="116">
        <v>0.30015337479422161</v>
      </c>
      <c r="V115" s="116">
        <v>0.30030682800120145</v>
      </c>
      <c r="W115" s="116">
        <v>0.30046035966102813</v>
      </c>
      <c r="X115" s="116">
        <v>0.30061396981381056</v>
      </c>
      <c r="Y115" s="116">
        <v>0.30076765849967829</v>
      </c>
      <c r="Z115" s="116">
        <v>0.30092142575878128</v>
      </c>
      <c r="AA115" s="116">
        <v>0.30107527163128989</v>
      </c>
      <c r="AB115" s="116">
        <v>0.30122919615739541</v>
      </c>
      <c r="AC115" s="116">
        <v>0.30138319937730923</v>
      </c>
      <c r="AD115" s="116">
        <v>0.30153728133126367</v>
      </c>
      <c r="AE115" s="116">
        <v>0.30169144205951126</v>
      </c>
      <c r="AF115" s="116">
        <v>0.3018456816023255</v>
      </c>
      <c r="AG115" s="116">
        <v>0.30200000000000032</v>
      </c>
    </row>
    <row r="116" spans="1:33" s="117" customFormat="1" x14ac:dyDescent="0.35">
      <c r="A116" s="148"/>
      <c r="B116" s="113" t="s">
        <v>62</v>
      </c>
      <c r="C116" s="114"/>
      <c r="D116" s="115">
        <f>D113*T116</f>
        <v>9.3615600000000079</v>
      </c>
      <c r="E116" s="115">
        <f t="shared" ref="E116:Q116" si="109">E113*U116</f>
        <v>10.050890976365201</v>
      </c>
      <c r="F116" s="115">
        <f t="shared" si="109"/>
        <v>10.812325340986543</v>
      </c>
      <c r="G116" s="115">
        <f t="shared" si="109"/>
        <v>11.655082736807215</v>
      </c>
      <c r="H116" s="115">
        <f t="shared" si="109"/>
        <v>12.589759403392597</v>
      </c>
      <c r="I116" s="115">
        <f t="shared" si="109"/>
        <v>13.628561618481282</v>
      </c>
      <c r="J116" s="115">
        <f t="shared" si="109"/>
        <v>14.785583280919386</v>
      </c>
      <c r="K116" s="115">
        <f t="shared" si="109"/>
        <v>16.077136820425917</v>
      </c>
      <c r="L116" s="115">
        <f t="shared" si="109"/>
        <v>17.522148702343568</v>
      </c>
      <c r="M116" s="115">
        <f t="shared" si="109"/>
        <v>19.142633388793985</v>
      </c>
      <c r="N116" s="115">
        <f t="shared" si="109"/>
        <v>20.964262855946735</v>
      </c>
      <c r="O116" s="115">
        <f t="shared" si="109"/>
        <v>23.017052822748195</v>
      </c>
      <c r="P116" s="115">
        <f t="shared" si="109"/>
        <v>25.336191940951313</v>
      </c>
      <c r="Q116" s="115">
        <f t="shared" si="109"/>
        <v>27.963046615284387</v>
      </c>
      <c r="R116" s="68">
        <f>RATE(9,,-H116,Q116)</f>
        <v>9.2716373466320848E-2</v>
      </c>
      <c r="S116" s="113" t="s">
        <v>62</v>
      </c>
      <c r="T116" s="116">
        <v>0.15</v>
      </c>
      <c r="U116" s="116">
        <v>0.15022866597023929</v>
      </c>
      <c r="V116" s="116">
        <v>0.15045768052798492</v>
      </c>
      <c r="W116" s="116">
        <v>0.15068704420463749</v>
      </c>
      <c r="X116" s="116">
        <v>0.15091675753240782</v>
      </c>
      <c r="Y116" s="116">
        <v>0.15114682104431795</v>
      </c>
      <c r="Z116" s="116">
        <v>0.15137723527420252</v>
      </c>
      <c r="AA116" s="116">
        <v>0.15160800075670999</v>
      </c>
      <c r="AB116" s="116">
        <v>0.15183911802730382</v>
      </c>
      <c r="AC116" s="116">
        <v>0.1520705876222638</v>
      </c>
      <c r="AD116" s="116">
        <v>0.15230241007868719</v>
      </c>
      <c r="AE116" s="116">
        <v>0.15253458593449007</v>
      </c>
      <c r="AF116" s="116">
        <v>0.15276711572840845</v>
      </c>
      <c r="AG116" s="116">
        <v>0.15299999999999978</v>
      </c>
    </row>
    <row r="117" spans="1:33" s="117" customFormat="1" x14ac:dyDescent="0.35">
      <c r="A117" s="148"/>
      <c r="B117" s="113" t="s">
        <v>63</v>
      </c>
      <c r="C117" s="114"/>
      <c r="D117" s="115">
        <f>D113*T117</f>
        <v>7.4892480000000079</v>
      </c>
      <c r="E117" s="115">
        <f t="shared" ref="E117:Q117" si="110">E113*U117</f>
        <v>8.0386884306598461</v>
      </c>
      <c r="F117" s="115">
        <f t="shared" si="110"/>
        <v>8.6455053991270869</v>
      </c>
      <c r="G117" s="115">
        <f t="shared" si="110"/>
        <v>9.3170256099830588</v>
      </c>
      <c r="H117" s="115">
        <f t="shared" si="110"/>
        <v>10.061668536268673</v>
      </c>
      <c r="I117" s="115">
        <f t="shared" si="110"/>
        <v>10.889131557512131</v>
      </c>
      <c r="J117" s="115">
        <f t="shared" si="110"/>
        <v>11.810610076847469</v>
      </c>
      <c r="K117" s="115">
        <f t="shared" si="110"/>
        <v>12.839059890749624</v>
      </c>
      <c r="L117" s="115">
        <f t="shared" si="110"/>
        <v>13.989510733012242</v>
      </c>
      <c r="M117" s="115">
        <f t="shared" si="110"/>
        <v>15.279441966465917</v>
      </c>
      <c r="N117" s="115">
        <f t="shared" si="110"/>
        <v>16.729233957859073</v>
      </c>
      <c r="O117" s="115">
        <f t="shared" si="110"/>
        <v>18.362711879486945</v>
      </c>
      <c r="P117" s="115">
        <f t="shared" si="110"/>
        <v>20.207802710596102</v>
      </c>
      <c r="Q117" s="115">
        <f t="shared" si="110"/>
        <v>22.29733128800455</v>
      </c>
      <c r="R117" s="68">
        <f>RATE(9,,-H117,Q117)</f>
        <v>9.244126839504832E-2</v>
      </c>
      <c r="S117" s="113" t="s">
        <v>63</v>
      </c>
      <c r="T117" s="116">
        <v>0.12000000000000002</v>
      </c>
      <c r="U117" s="116">
        <v>0.12015267521339246</v>
      </c>
      <c r="V117" s="116">
        <v>0.12030554467445809</v>
      </c>
      <c r="W117" s="116">
        <v>0.12045860863033696</v>
      </c>
      <c r="X117" s="116">
        <v>0.12061186732848356</v>
      </c>
      <c r="Y117" s="116">
        <v>0.12076532101666719</v>
      </c>
      <c r="Z117" s="116">
        <v>0.1209189699429724</v>
      </c>
      <c r="AA117" s="116">
        <v>0.12107281435579939</v>
      </c>
      <c r="AB117" s="116">
        <v>0.12122685450386435</v>
      </c>
      <c r="AC117" s="116">
        <v>0.12138109063619994</v>
      </c>
      <c r="AD117" s="116">
        <v>0.12153552300215566</v>
      </c>
      <c r="AE117" s="116">
        <v>0.12169015185139827</v>
      </c>
      <c r="AF117" s="116">
        <v>0.12184497743391219</v>
      </c>
      <c r="AG117" s="116">
        <v>0.12199999999999984</v>
      </c>
    </row>
    <row r="118" spans="1:33" s="117" customFormat="1" x14ac:dyDescent="0.35">
      <c r="A118" s="148"/>
      <c r="B118" s="113" t="s">
        <v>64</v>
      </c>
      <c r="C118" s="114"/>
      <c r="D118" s="115">
        <f>D113*T118</f>
        <v>4.9928320000000088</v>
      </c>
      <c r="E118" s="115">
        <f t="shared" ref="E118:G118" si="111">E113*U118</f>
        <v>5.0747769829365561</v>
      </c>
      <c r="F118" s="115">
        <f t="shared" si="111"/>
        <v>5.1500858055436574</v>
      </c>
      <c r="G118" s="115">
        <f t="shared" si="111"/>
        <v>5.2163003316437306</v>
      </c>
      <c r="H118" s="115">
        <f>H113*X118</f>
        <v>5.2703936441807304</v>
      </c>
      <c r="I118" s="115">
        <f t="shared" ref="I118:Q118" si="112">I113*Y118</f>
        <v>5.3086436148902578</v>
      </c>
      <c r="J118" s="115">
        <f t="shared" si="112"/>
        <v>5.3264774734341849</v>
      </c>
      <c r="K118" s="115">
        <f t="shared" si="112"/>
        <v>5.3182803721659893</v>
      </c>
      <c r="L118" s="115">
        <f t="shared" si="112"/>
        <v>5.2771591511824845</v>
      </c>
      <c r="M118" s="115">
        <f t="shared" si="112"/>
        <v>5.1946502309933837</v>
      </c>
      <c r="N118" s="115">
        <f t="shared" si="112"/>
        <v>5.0603576574701998</v>
      </c>
      <c r="O118" s="115">
        <f t="shared" si="112"/>
        <v>4.8615036138244392</v>
      </c>
      <c r="P118" s="115">
        <f t="shared" si="112"/>
        <v>4.5823689593715891</v>
      </c>
      <c r="Q118" s="115">
        <f t="shared" si="112"/>
        <v>4.2035952428205183</v>
      </c>
      <c r="R118" s="68">
        <f>RATE(9,,-H118,Q118)</f>
        <v>-2.4816315869852366E-2</v>
      </c>
      <c r="S118" s="113" t="s">
        <v>64</v>
      </c>
      <c r="T118" s="116">
        <f>1-SUM(T114:T117)</f>
        <v>8.0000000000000071E-2</v>
      </c>
      <c r="U118" s="116">
        <f t="shared" ref="U118:AG118" si="113">1-SUM(U114:U117)</f>
        <v>7.585168101373041E-2</v>
      </c>
      <c r="V118" s="116">
        <f t="shared" si="113"/>
        <v>7.1665431846087646E-2</v>
      </c>
      <c r="W118" s="116">
        <f t="shared" si="113"/>
        <v>6.7440866479373307E-2</v>
      </c>
      <c r="X118" s="116">
        <f t="shared" si="113"/>
        <v>6.3177594917725788E-2</v>
      </c>
      <c r="Y118" s="116">
        <f t="shared" si="113"/>
        <v>5.887522314605742E-2</v>
      </c>
      <c r="Z118" s="116">
        <f t="shared" si="113"/>
        <v>5.4533353088566772E-2</v>
      </c>
      <c r="AA118" s="116">
        <f t="shared" si="113"/>
        <v>5.0151582566825281E-2</v>
      </c>
      <c r="AB118" s="116">
        <f t="shared" si="113"/>
        <v>4.5729505257428471E-2</v>
      </c>
      <c r="AC118" s="116">
        <f t="shared" si="113"/>
        <v>4.126671064921128E-2</v>
      </c>
      <c r="AD118" s="116">
        <f t="shared" si="113"/>
        <v>3.6762784000021864E-2</v>
      </c>
      <c r="AE118" s="116">
        <f t="shared" si="113"/>
        <v>3.2217306293047754E-2</v>
      </c>
      <c r="AF118" s="116">
        <f t="shared" si="113"/>
        <v>2.7629854192693704E-2</v>
      </c>
      <c r="AG118" s="116">
        <f t="shared" si="113"/>
        <v>2.2999999999999909E-2</v>
      </c>
    </row>
    <row r="119" spans="1:33" x14ac:dyDescent="0.35">
      <c r="A119" s="1"/>
      <c r="D119" s="81" t="b">
        <f>D113=SUM(D114:D118)</f>
        <v>1</v>
      </c>
      <c r="E119" s="81" t="b">
        <f t="shared" ref="E119:Q119" si="114">E113=SUM(E114:E118)</f>
        <v>1</v>
      </c>
      <c r="F119" s="81" t="b">
        <f t="shared" si="114"/>
        <v>1</v>
      </c>
      <c r="G119" s="81" t="b">
        <f t="shared" si="114"/>
        <v>1</v>
      </c>
      <c r="H119" s="81" t="b">
        <f t="shared" si="114"/>
        <v>1</v>
      </c>
      <c r="I119" s="81" t="b">
        <f t="shared" si="114"/>
        <v>1</v>
      </c>
      <c r="J119" s="81" t="b">
        <f t="shared" si="114"/>
        <v>1</v>
      </c>
      <c r="K119" s="81" t="b">
        <f t="shared" si="114"/>
        <v>1</v>
      </c>
      <c r="L119" s="81" t="b">
        <f t="shared" si="114"/>
        <v>1</v>
      </c>
      <c r="M119" s="81" t="b">
        <f t="shared" si="114"/>
        <v>1</v>
      </c>
      <c r="N119" s="81" t="b">
        <f t="shared" si="114"/>
        <v>1</v>
      </c>
      <c r="O119" s="81" t="b">
        <f t="shared" si="114"/>
        <v>1</v>
      </c>
      <c r="P119" s="81" t="b">
        <f t="shared" si="114"/>
        <v>1</v>
      </c>
      <c r="Q119" s="81" t="b">
        <f t="shared" si="114"/>
        <v>1</v>
      </c>
      <c r="R119" s="21"/>
    </row>
    <row r="120" spans="1:33" s="117" customFormat="1" x14ac:dyDescent="0.35">
      <c r="A120" s="149" t="s">
        <v>65</v>
      </c>
      <c r="B120" s="122" t="s">
        <v>66</v>
      </c>
      <c r="C120" s="123"/>
      <c r="D120" s="124">
        <f>D113*T120</f>
        <v>43.687280000000044</v>
      </c>
      <c r="E120" s="124">
        <f t="shared" ref="E120:Q120" si="115">E113*U120</f>
        <v>46.858412002688809</v>
      </c>
      <c r="F120" s="124">
        <f t="shared" si="115"/>
        <v>50.359143255751142</v>
      </c>
      <c r="G120" s="124">
        <f t="shared" si="115"/>
        <v>54.23139952492015</v>
      </c>
      <c r="H120" s="124">
        <f t="shared" si="115"/>
        <v>58.523340213557823</v>
      </c>
      <c r="I120" s="124">
        <f t="shared" si="115"/>
        <v>63.290411654065799</v>
      </c>
      <c r="J120" s="124">
        <f t="shared" si="115"/>
        <v>68.596598936503952</v>
      </c>
      <c r="K120" s="124">
        <f t="shared" si="115"/>
        <v>74.515917471361988</v>
      </c>
      <c r="L120" s="124">
        <f t="shared" si="115"/>
        <v>81.134194800369286</v>
      </c>
      <c r="M120" s="124">
        <f t="shared" si="115"/>
        <v>88.551204764735687</v>
      </c>
      <c r="N120" s="124">
        <f t="shared" si="115"/>
        <v>96.883230613078155</v>
      </c>
      <c r="O120" s="124">
        <f t="shared" si="115"/>
        <v>106.26615174852741</v>
      </c>
      <c r="P120" s="124">
        <f t="shared" si="115"/>
        <v>116.85917156163437</v>
      </c>
      <c r="Q120" s="124">
        <f t="shared" si="115"/>
        <v>128.8493324429775</v>
      </c>
      <c r="R120" s="68">
        <f>RATE(9,,-H120,Q120)</f>
        <v>9.1650641087791446E-2</v>
      </c>
      <c r="S120" s="122" t="s">
        <v>66</v>
      </c>
      <c r="T120" s="116">
        <v>0.70000000000000007</v>
      </c>
      <c r="U120" s="116">
        <v>0.70038335319736411</v>
      </c>
      <c r="V120" s="116">
        <v>0.70076691633711929</v>
      </c>
      <c r="W120" s="116">
        <v>0.70115068953424042</v>
      </c>
      <c r="X120" s="116">
        <v>0.70153467290376448</v>
      </c>
      <c r="Y120" s="116">
        <v>0.70191886656079228</v>
      </c>
      <c r="Z120" s="116">
        <v>0.70230327062048659</v>
      </c>
      <c r="AA120" s="116">
        <v>0.70268788519807479</v>
      </c>
      <c r="AB120" s="116">
        <v>0.70307271040884567</v>
      </c>
      <c r="AC120" s="116">
        <v>0.70345774636815217</v>
      </c>
      <c r="AD120" s="116">
        <v>0.70384299319141008</v>
      </c>
      <c r="AE120" s="116">
        <v>0.70422845099409903</v>
      </c>
      <c r="AF120" s="116">
        <v>0.70461411989176093</v>
      </c>
      <c r="AG120" s="116">
        <v>0.70500000000000129</v>
      </c>
    </row>
    <row r="121" spans="1:33" s="117" customFormat="1" x14ac:dyDescent="0.35">
      <c r="A121" s="149"/>
      <c r="B121" s="122" t="s">
        <v>67</v>
      </c>
      <c r="C121" s="123"/>
      <c r="D121" s="124">
        <f>D113*T121</f>
        <v>12.482080000000012</v>
      </c>
      <c r="E121" s="124">
        <f t="shared" ref="E121:Q121" si="116">E113*U121</f>
        <v>13.391035471753625</v>
      </c>
      <c r="F121" s="124">
        <f t="shared" si="116"/>
        <v>14.394598804936741</v>
      </c>
      <c r="G121" s="124">
        <f t="shared" si="116"/>
        <v>15.50481834937726</v>
      </c>
      <c r="H121" s="124">
        <f t="shared" si="116"/>
        <v>16.735535523512812</v>
      </c>
      <c r="I121" s="124">
        <f t="shared" si="116"/>
        <v>18.102688031026791</v>
      </c>
      <c r="J121" s="124">
        <f t="shared" si="116"/>
        <v>19.624670271832464</v>
      </c>
      <c r="K121" s="124">
        <f t="shared" si="116"/>
        <v>21.322762822880232</v>
      </c>
      <c r="L121" s="124">
        <f t="shared" si="116"/>
        <v>23.221645551520311</v>
      </c>
      <c r="M121" s="124">
        <f t="shared" si="116"/>
        <v>25.35001226895664</v>
      </c>
      <c r="N121" s="124">
        <f t="shared" si="116"/>
        <v>27.741309006563398</v>
      </c>
      <c r="O121" s="124">
        <f t="shared" si="116"/>
        <v>30.434623224978143</v>
      </c>
      <c r="P121" s="124">
        <f t="shared" si="116"/>
        <v>33.47575782953276</v>
      </c>
      <c r="Q121" s="124">
        <f t="shared" si="116"/>
        <v>36.918532132597804</v>
      </c>
      <c r="R121" s="68">
        <f>RATE(9,,-H121,Q121)</f>
        <v>9.1888551377996633E-2</v>
      </c>
      <c r="S121" s="122" t="s">
        <v>67</v>
      </c>
      <c r="T121" s="116">
        <v>0.20000000000000004</v>
      </c>
      <c r="U121" s="116">
        <v>0.2001531406133327</v>
      </c>
      <c r="V121" s="116">
        <v>0.2003063984869026</v>
      </c>
      <c r="W121" s="116">
        <v>0.20045977371049628</v>
      </c>
      <c r="X121" s="116">
        <v>0.20061326637396906</v>
      </c>
      <c r="Y121" s="116">
        <v>0.2007668765672449</v>
      </c>
      <c r="Z121" s="116">
        <v>0.20092060438031684</v>
      </c>
      <c r="AA121" s="116">
        <v>0.20107444990324672</v>
      </c>
      <c r="AB121" s="116">
        <v>0.20122841322616528</v>
      </c>
      <c r="AC121" s="116">
        <v>0.20138249443927231</v>
      </c>
      <c r="AD121" s="116">
        <v>0.20153669363283677</v>
      </c>
      <c r="AE121" s="116">
        <v>0.2016910108971966</v>
      </c>
      <c r="AF121" s="116">
        <v>0.20184544632275897</v>
      </c>
      <c r="AG121" s="116">
        <v>0.20200000000000032</v>
      </c>
    </row>
    <row r="122" spans="1:33" s="117" customFormat="1" x14ac:dyDescent="0.35">
      <c r="A122" s="149"/>
      <c r="B122" s="122" t="s">
        <v>68</v>
      </c>
      <c r="C122" s="123"/>
      <c r="D122" s="124">
        <f>D113*T122</f>
        <v>6.2410399999999973</v>
      </c>
      <c r="E122" s="124">
        <f t="shared" ref="E122:L122" si="117">E113*U122</f>
        <v>6.6545013255576322</v>
      </c>
      <c r="F122" s="124">
        <f t="shared" si="117"/>
        <v>7.109158543947359</v>
      </c>
      <c r="G122" s="124">
        <f>G113*W122</f>
        <v>7.6100649353863723</v>
      </c>
      <c r="H122" s="124">
        <f t="shared" si="117"/>
        <v>8.1630027159505634</v>
      </c>
      <c r="I122" s="124">
        <f t="shared" si="117"/>
        <v>8.7746029785660422</v>
      </c>
      <c r="J122" s="124">
        <f t="shared" si="117"/>
        <v>9.4524877085275651</v>
      </c>
      <c r="K122" s="124">
        <f t="shared" si="117"/>
        <v>10.205438355045889</v>
      </c>
      <c r="L122" s="124">
        <f t="shared" si="117"/>
        <v>11.043596433515892</v>
      </c>
      <c r="M122" s="124">
        <f>M113*AC122</f>
        <v>11.978702864712934</v>
      </c>
      <c r="N122" s="124">
        <f t="shared" ref="N122:Q122" si="118">N113*AD122</f>
        <v>13.024384288493117</v>
      </c>
      <c r="O122" s="124">
        <f t="shared" si="118"/>
        <v>14.196496499296465</v>
      </c>
      <c r="P122" s="124">
        <f t="shared" si="118"/>
        <v>15.513537539336136</v>
      </c>
      <c r="Q122" s="124">
        <f t="shared" si="118"/>
        <v>16.997145981839267</v>
      </c>
      <c r="R122" s="68">
        <f>RATE(9,,-H122,Q122)</f>
        <v>8.490518507986243E-2</v>
      </c>
      <c r="S122" s="122" t="s">
        <v>68</v>
      </c>
      <c r="T122" s="116">
        <f>1-SUM(T120:T121)</f>
        <v>9.9999999999999867E-2</v>
      </c>
      <c r="U122" s="116">
        <f t="shared" ref="U122:AG122" si="119">1-SUM(U120:U121)</f>
        <v>9.9463506189303219E-2</v>
      </c>
      <c r="V122" s="116">
        <f t="shared" si="119"/>
        <v>9.8926685175978135E-2</v>
      </c>
      <c r="W122" s="116">
        <f t="shared" si="119"/>
        <v>9.8389536755263296E-2</v>
      </c>
      <c r="X122" s="116">
        <f t="shared" si="119"/>
        <v>9.7852060722266487E-2</v>
      </c>
      <c r="Y122" s="116">
        <f t="shared" si="119"/>
        <v>9.7314256871962823E-2</v>
      </c>
      <c r="Z122" s="116">
        <f t="shared" si="119"/>
        <v>9.6776124999196522E-2</v>
      </c>
      <c r="AA122" s="116">
        <f t="shared" si="119"/>
        <v>9.6237664898678466E-2</v>
      </c>
      <c r="AB122" s="116">
        <f t="shared" si="119"/>
        <v>9.5698876364989083E-2</v>
      </c>
      <c r="AC122" s="116">
        <f t="shared" si="119"/>
        <v>9.5159759192575466E-2</v>
      </c>
      <c r="AD122" s="116">
        <f t="shared" si="119"/>
        <v>9.4620313175753146E-2</v>
      </c>
      <c r="AE122" s="116">
        <f t="shared" si="119"/>
        <v>9.4080538108704426E-2</v>
      </c>
      <c r="AF122" s="116">
        <f t="shared" si="119"/>
        <v>9.3540433785480159E-2</v>
      </c>
      <c r="AG122" s="116">
        <f t="shared" si="119"/>
        <v>9.2999999999998417E-2</v>
      </c>
    </row>
    <row r="123" spans="1:33" x14ac:dyDescent="0.35">
      <c r="A123" s="1"/>
      <c r="D123" s="81" t="b">
        <f>D113=SUM(D120:D122)</f>
        <v>1</v>
      </c>
      <c r="E123" s="81" t="b">
        <f t="shared" ref="E123:Q123" si="120">E113=SUM(E120:E122)</f>
        <v>1</v>
      </c>
      <c r="F123" s="81" t="b">
        <f t="shared" si="120"/>
        <v>1</v>
      </c>
      <c r="G123" s="81" t="b">
        <f>G113=SUM(G120:G122)</f>
        <v>1</v>
      </c>
      <c r="H123" s="81" t="b">
        <f t="shared" si="120"/>
        <v>1</v>
      </c>
      <c r="I123" s="81" t="b">
        <f t="shared" si="120"/>
        <v>1</v>
      </c>
      <c r="J123" s="81" t="b">
        <f t="shared" si="120"/>
        <v>1</v>
      </c>
      <c r="K123" s="81" t="b">
        <f t="shared" si="120"/>
        <v>1</v>
      </c>
      <c r="L123" s="81" t="b">
        <f t="shared" si="120"/>
        <v>1</v>
      </c>
      <c r="M123" s="81" t="b">
        <f t="shared" si="120"/>
        <v>1</v>
      </c>
      <c r="N123" s="81" t="b">
        <f t="shared" si="120"/>
        <v>1</v>
      </c>
      <c r="O123" s="81" t="b">
        <f t="shared" si="120"/>
        <v>1</v>
      </c>
      <c r="P123" s="81" t="b">
        <f t="shared" si="120"/>
        <v>1</v>
      </c>
      <c r="Q123" s="81" t="b">
        <f t="shared" si="120"/>
        <v>1</v>
      </c>
      <c r="R123" s="21"/>
    </row>
    <row r="124" spans="1:33" s="117" customFormat="1" x14ac:dyDescent="0.35">
      <c r="A124" s="149" t="s">
        <v>69</v>
      </c>
      <c r="B124" s="125" t="s">
        <v>70</v>
      </c>
      <c r="C124" s="126"/>
      <c r="D124" s="127">
        <f>D113*T124</f>
        <v>26.212368000000023</v>
      </c>
      <c r="E124" s="127">
        <f t="shared" ref="E124:Q124" si="121">E113*U124</f>
        <v>28.104799306768761</v>
      </c>
      <c r="F124" s="127">
        <f t="shared" si="121"/>
        <v>30.193462964273195</v>
      </c>
      <c r="G124" s="127">
        <f t="shared" si="121"/>
        <v>32.503271599799341</v>
      </c>
      <c r="H124" s="127">
        <f t="shared" si="121"/>
        <v>35.062836093762385</v>
      </c>
      <c r="I124" s="127">
        <f t="shared" si="121"/>
        <v>37.905089630388687</v>
      </c>
      <c r="J124" s="127">
        <f t="shared" si="121"/>
        <v>41.068029238252485</v>
      </c>
      <c r="K124" s="127">
        <f t="shared" si="121"/>
        <v>44.595599174313165</v>
      </c>
      <c r="L124" s="127">
        <f t="shared" si="121"/>
        <v>48.538746007530314</v>
      </c>
      <c r="M124" s="127">
        <f t="shared" si="121"/>
        <v>52.956682105056707</v>
      </c>
      <c r="N124" s="127">
        <f t="shared" si="121"/>
        <v>57.918402768461995</v>
      </c>
      <c r="O124" s="127">
        <f t="shared" si="121"/>
        <v>63.504512961557268</v>
      </c>
      <c r="P124" s="127">
        <f t="shared" si="121"/>
        <v>69.809432996017605</v>
      </c>
      <c r="Q124" s="127">
        <f t="shared" si="121"/>
        <v>76.944069444671499</v>
      </c>
      <c r="R124" s="68">
        <f>RATE(9,,-H124,Q124)</f>
        <v>9.1252735976953075E-2</v>
      </c>
      <c r="S124" s="125" t="s">
        <v>70</v>
      </c>
      <c r="T124" s="116">
        <v>0.42</v>
      </c>
      <c r="U124" s="116">
        <v>0.42007683867486062</v>
      </c>
      <c r="V124" s="116">
        <v>0.4201536914072973</v>
      </c>
      <c r="W124" s="116">
        <v>0.42023055819988187</v>
      </c>
      <c r="X124" s="116">
        <v>0.42030743905518658</v>
      </c>
      <c r="Y124" s="116">
        <v>0.42038433397578434</v>
      </c>
      <c r="Z124" s="116">
        <v>0.42046124296424836</v>
      </c>
      <c r="AA124" s="116">
        <v>0.42053816602315214</v>
      </c>
      <c r="AB124" s="116">
        <v>0.42061510315507006</v>
      </c>
      <c r="AC124" s="116">
        <v>0.42069205436257667</v>
      </c>
      <c r="AD124" s="116">
        <v>0.4207690196482472</v>
      </c>
      <c r="AE124" s="116">
        <v>0.42084599901465702</v>
      </c>
      <c r="AF124" s="116">
        <v>0.42092299246438242</v>
      </c>
      <c r="AG124" s="137">
        <v>0.42099999999999982</v>
      </c>
    </row>
    <row r="125" spans="1:33" s="117" customFormat="1" x14ac:dyDescent="0.35">
      <c r="A125" s="149"/>
      <c r="B125" s="125" t="s">
        <v>71</v>
      </c>
      <c r="C125" s="126"/>
      <c r="D125" s="127">
        <f>D113*T125</f>
        <v>14.354392000000017</v>
      </c>
      <c r="E125" s="127">
        <f t="shared" ref="E125:Q125" si="122">E113*U125</f>
        <v>15.398160058652039</v>
      </c>
      <c r="F125" s="127">
        <f t="shared" si="122"/>
        <v>16.55049788616768</v>
      </c>
      <c r="G125" s="127">
        <f t="shared" si="122"/>
        <v>17.825224546951628</v>
      </c>
      <c r="H125" s="127">
        <f t="shared" si="122"/>
        <v>19.238214813649918</v>
      </c>
      <c r="I125" s="127">
        <f t="shared" si="122"/>
        <v>20.807746669955357</v>
      </c>
      <c r="J125" s="127">
        <f t="shared" si="122"/>
        <v>22.55491434013922</v>
      </c>
      <c r="K125" s="127">
        <f t="shared" si="122"/>
        <v>24.504120446940327</v>
      </c>
      <c r="L125" s="127">
        <f t="shared" si="122"/>
        <v>26.683663976497314</v>
      </c>
      <c r="M125" s="127">
        <f t="shared" si="122"/>
        <v>29.126444558809514</v>
      </c>
      <c r="N125" s="127">
        <f t="shared" si="122"/>
        <v>31.870808352627169</v>
      </c>
      <c r="O125" s="127">
        <f t="shared" si="122"/>
        <v>34.961566808174609</v>
      </c>
      <c r="P125" s="127">
        <f t="shared" si="122"/>
        <v>38.451227095397172</v>
      </c>
      <c r="Q125" s="127">
        <f t="shared" si="122"/>
        <v>42.401482449320213</v>
      </c>
      <c r="R125" s="68">
        <f>RATE(9,,-H125,Q125)</f>
        <v>9.1780017329872482E-2</v>
      </c>
      <c r="S125" s="125" t="s">
        <v>71</v>
      </c>
      <c r="T125" s="116">
        <v>0.23000000000000007</v>
      </c>
      <c r="U125" s="116">
        <v>0.230153232131076</v>
      </c>
      <c r="V125" s="116">
        <v>0.23030656634948232</v>
      </c>
      <c r="W125" s="116">
        <v>0.23046000272323239</v>
      </c>
      <c r="X125" s="116">
        <v>0.23061354132038475</v>
      </c>
      <c r="Y125" s="116">
        <v>0.23076718220904338</v>
      </c>
      <c r="Z125" s="116">
        <v>0.23092092545735762</v>
      </c>
      <c r="AA125" s="116">
        <v>0.23107477113352223</v>
      </c>
      <c r="AB125" s="116">
        <v>0.23122871930577729</v>
      </c>
      <c r="AC125" s="116">
        <v>0.23138277004240856</v>
      </c>
      <c r="AD125" s="116">
        <v>0.23153692341174703</v>
      </c>
      <c r="AE125" s="116">
        <v>0.23169117948216938</v>
      </c>
      <c r="AF125" s="116">
        <v>0.23184553832209787</v>
      </c>
      <c r="AG125" s="137">
        <v>0.23200000000000018</v>
      </c>
    </row>
    <row r="126" spans="1:33" s="117" customFormat="1" x14ac:dyDescent="0.35">
      <c r="A126" s="149"/>
      <c r="B126" s="125" t="s">
        <v>72</v>
      </c>
      <c r="C126" s="126"/>
      <c r="D126" s="127">
        <f>D113*T126</f>
        <v>12.482080000000009</v>
      </c>
      <c r="E126" s="127">
        <f t="shared" ref="E126:Q126" si="123">E113*U126</f>
        <v>13.385924379086369</v>
      </c>
      <c r="F126" s="127">
        <f t="shared" si="123"/>
        <v>14.383612636160777</v>
      </c>
      <c r="G126" s="127">
        <f t="shared" si="123"/>
        <v>15.48707147971667</v>
      </c>
      <c r="H126" s="127">
        <f t="shared" si="123"/>
        <v>16.709999659928584</v>
      </c>
      <c r="I126" s="127">
        <f t="shared" si="123"/>
        <v>18.068167207877948</v>
      </c>
      <c r="J126" s="127">
        <f t="shared" si="123"/>
        <v>19.579771049104576</v>
      </c>
      <c r="K126" s="127">
        <f t="shared" si="123"/>
        <v>21.265858683729103</v>
      </c>
      <c r="L126" s="127">
        <f t="shared" si="123"/>
        <v>23.150834268522093</v>
      </c>
      <c r="M126" s="127">
        <f t="shared" si="123"/>
        <v>25.263064725575479</v>
      </c>
      <c r="N126" s="127">
        <f t="shared" si="123"/>
        <v>27.635607607405973</v>
      </c>
      <c r="O126" s="127">
        <f t="shared" si="123"/>
        <v>30.307087586797845</v>
      </c>
      <c r="P126" s="127">
        <f t="shared" si="123"/>
        <v>33.322754890800852</v>
      </c>
      <c r="Q126" s="127">
        <f t="shared" si="123"/>
        <v>36.735767122040279</v>
      </c>
      <c r="R126" s="68">
        <f>RATE(9,,-H126,Q126)</f>
        <v>9.1471799172495399E-2</v>
      </c>
      <c r="S126" s="125" t="s">
        <v>72</v>
      </c>
      <c r="T126" s="116">
        <v>0.19999999999999998</v>
      </c>
      <c r="U126" s="116">
        <v>0.20007674612901705</v>
      </c>
      <c r="V126" s="116">
        <v>0.20015352170787573</v>
      </c>
      <c r="W126" s="116">
        <v>0.2002303267478768</v>
      </c>
      <c r="X126" s="116">
        <v>0.20030716126032544</v>
      </c>
      <c r="Y126" s="116">
        <v>0.20038402525653101</v>
      </c>
      <c r="Z126" s="116">
        <v>0.20046091874780753</v>
      </c>
      <c r="AA126" s="116">
        <v>0.20053784174547304</v>
      </c>
      <c r="AB126" s="116">
        <v>0.20061479426085005</v>
      </c>
      <c r="AC126" s="116">
        <v>0.20069177630526541</v>
      </c>
      <c r="AD126" s="116">
        <v>0.20076878789005037</v>
      </c>
      <c r="AE126" s="116">
        <v>0.20084582902654041</v>
      </c>
      <c r="AF126" s="116">
        <v>0.20092289972607549</v>
      </c>
      <c r="AG126" s="137">
        <v>0.20099999999999973</v>
      </c>
    </row>
    <row r="127" spans="1:33" s="117" customFormat="1" x14ac:dyDescent="0.35">
      <c r="A127" s="149"/>
      <c r="B127" s="125" t="s">
        <v>73</v>
      </c>
      <c r="C127" s="126"/>
      <c r="D127" s="127">
        <f>D113*T127</f>
        <v>6.2410400000000044</v>
      </c>
      <c r="E127" s="127">
        <f t="shared" ref="E127:Q127" si="124">E113*U127</f>
        <v>6.7005939842434676</v>
      </c>
      <c r="F127" s="127">
        <f t="shared" si="124"/>
        <v>7.2082168939910281</v>
      </c>
      <c r="G127" s="127">
        <f t="shared" si="124"/>
        <v>7.770055157871476</v>
      </c>
      <c r="H127" s="127">
        <f t="shared" si="124"/>
        <v>8.3931729355950644</v>
      </c>
      <c r="I127" s="127">
        <f t="shared" si="124"/>
        <v>9.0857077456541884</v>
      </c>
      <c r="J127" s="127">
        <f t="shared" si="124"/>
        <v>9.8570555206129242</v>
      </c>
      <c r="K127" s="127">
        <f t="shared" si="124"/>
        <v>10.718091213617278</v>
      </c>
      <c r="L127" s="127">
        <f t="shared" si="124"/>
        <v>11.681432468229048</v>
      </c>
      <c r="M127" s="127">
        <f t="shared" si="124"/>
        <v>12.761755592529324</v>
      </c>
      <c r="N127" s="127">
        <f t="shared" si="124"/>
        <v>13.976175237297824</v>
      </c>
      <c r="O127" s="127">
        <f t="shared" si="124"/>
        <v>15.344701881832128</v>
      </c>
      <c r="P127" s="127">
        <f t="shared" si="124"/>
        <v>16.890794627300878</v>
      </c>
      <c r="Q127" s="127">
        <f t="shared" si="124"/>
        <v>18.642031076856259</v>
      </c>
      <c r="R127" s="68">
        <f>RATE(9,,-H127,Q127)</f>
        <v>9.2716373466320848E-2</v>
      </c>
      <c r="S127" s="125" t="s">
        <v>73</v>
      </c>
      <c r="T127" s="116">
        <v>9.9999999999999992E-2</v>
      </c>
      <c r="U127" s="116">
        <v>0.10015244398015953</v>
      </c>
      <c r="V127" s="116">
        <v>0.10030512035198993</v>
      </c>
      <c r="W127" s="116">
        <v>0.10045802946975833</v>
      </c>
      <c r="X127" s="116">
        <v>0.10061117168827188</v>
      </c>
      <c r="Y127" s="116">
        <v>0.10076454736287864</v>
      </c>
      <c r="Z127" s="116">
        <v>0.10091815684946834</v>
      </c>
      <c r="AA127" s="116">
        <v>0.10107200050447333</v>
      </c>
      <c r="AB127" s="116">
        <v>0.10122607868486923</v>
      </c>
      <c r="AC127" s="116">
        <v>0.10138039174817587</v>
      </c>
      <c r="AD127" s="116">
        <v>0.10153494005245813</v>
      </c>
      <c r="AE127" s="116">
        <v>0.10168972395632671</v>
      </c>
      <c r="AF127" s="116">
        <v>0.10184474381893897</v>
      </c>
      <c r="AG127" s="137">
        <v>0.10199999999999985</v>
      </c>
    </row>
    <row r="128" spans="1:33" s="117" customFormat="1" x14ac:dyDescent="0.35">
      <c r="A128" s="149"/>
      <c r="B128" s="125" t="s">
        <v>74</v>
      </c>
      <c r="C128" s="126"/>
      <c r="D128" s="127">
        <f>D113*T128</f>
        <v>3.1205200000000053</v>
      </c>
      <c r="E128" s="127">
        <f t="shared" ref="E128:Q128" si="125">E113*U128</f>
        <v>3.3144710712494261</v>
      </c>
      <c r="F128" s="127">
        <f t="shared" si="125"/>
        <v>3.527110224042568</v>
      </c>
      <c r="G128" s="127">
        <f t="shared" si="125"/>
        <v>3.7606600253446656</v>
      </c>
      <c r="H128" s="127">
        <f t="shared" si="125"/>
        <v>4.0176549500852348</v>
      </c>
      <c r="I128" s="127">
        <f t="shared" si="125"/>
        <v>4.3009914097824495</v>
      </c>
      <c r="J128" s="127">
        <f t="shared" si="125"/>
        <v>4.6139867687547786</v>
      </c>
      <c r="K128" s="127">
        <f t="shared" si="125"/>
        <v>4.9604491306882377</v>
      </c>
      <c r="L128" s="127">
        <f t="shared" si="125"/>
        <v>5.3447600646267128</v>
      </c>
      <c r="M128" s="127">
        <f t="shared" si="125"/>
        <v>5.7719729164342457</v>
      </c>
      <c r="N128" s="127">
        <f t="shared" si="125"/>
        <v>6.2479299423417025</v>
      </c>
      <c r="O128" s="127">
        <f t="shared" si="125"/>
        <v>6.779402234440159</v>
      </c>
      <c r="P128" s="127">
        <f t="shared" si="125"/>
        <v>7.3742573209867572</v>
      </c>
      <c r="Q128" s="127">
        <f t="shared" si="125"/>
        <v>8.0416604645263092</v>
      </c>
      <c r="R128" s="68">
        <f>RATE(9,,-H128,Q128)</f>
        <v>8.0154550706708239E-2</v>
      </c>
      <c r="S128" s="125" t="s">
        <v>74</v>
      </c>
      <c r="T128" s="116">
        <f>1-SUM(T124:T127)</f>
        <v>5.0000000000000044E-2</v>
      </c>
      <c r="U128" s="116">
        <f t="shared" ref="U128:AG128" si="126">1-SUM(U124:U127)</f>
        <v>4.9540739084886765E-2</v>
      </c>
      <c r="V128" s="116">
        <f t="shared" si="126"/>
        <v>4.9081100183354764E-2</v>
      </c>
      <c r="W128" s="116">
        <f t="shared" si="126"/>
        <v>4.8621082859250597E-2</v>
      </c>
      <c r="X128" s="116">
        <f t="shared" si="126"/>
        <v>4.8160686675831288E-2</v>
      </c>
      <c r="Y128" s="116">
        <f t="shared" si="126"/>
        <v>4.7699911195762668E-2</v>
      </c>
      <c r="Z128" s="116">
        <f t="shared" si="126"/>
        <v>4.7238755981118041E-2</v>
      </c>
      <c r="AA128" s="116">
        <f t="shared" si="126"/>
        <v>4.6777220593379298E-2</v>
      </c>
      <c r="AB128" s="116">
        <f t="shared" si="126"/>
        <v>4.631530459343336E-2</v>
      </c>
      <c r="AC128" s="116">
        <f t="shared" si="126"/>
        <v>4.5853007541573509E-2</v>
      </c>
      <c r="AD128" s="116">
        <f t="shared" si="126"/>
        <v>4.5390328997497287E-2</v>
      </c>
      <c r="AE128" s="116">
        <f t="shared" si="126"/>
        <v>4.4927268520306485E-2</v>
      </c>
      <c r="AF128" s="116">
        <f t="shared" si="126"/>
        <v>4.4463825668505264E-2</v>
      </c>
      <c r="AG128" s="116">
        <f t="shared" si="126"/>
        <v>4.4000000000000372E-2</v>
      </c>
    </row>
    <row r="129" spans="1:33" x14ac:dyDescent="0.35">
      <c r="A129" s="2"/>
      <c r="D129" s="81" t="b">
        <f>D113=SUM(D124:D128)</f>
        <v>1</v>
      </c>
      <c r="E129" s="81" t="b">
        <f t="shared" ref="E129:Q129" si="127">E113=SUM(E124:E128)</f>
        <v>1</v>
      </c>
      <c r="F129" s="81" t="b">
        <f t="shared" si="127"/>
        <v>1</v>
      </c>
      <c r="G129" s="81" t="b">
        <f t="shared" si="127"/>
        <v>1</v>
      </c>
      <c r="H129" s="81" t="b">
        <f t="shared" si="127"/>
        <v>1</v>
      </c>
      <c r="I129" s="81" t="b">
        <f t="shared" si="127"/>
        <v>1</v>
      </c>
      <c r="J129" s="81" t="b">
        <f t="shared" si="127"/>
        <v>1</v>
      </c>
      <c r="K129" s="81" t="b">
        <f t="shared" si="127"/>
        <v>1</v>
      </c>
      <c r="L129" s="81" t="b">
        <f t="shared" si="127"/>
        <v>1</v>
      </c>
      <c r="M129" s="81" t="b">
        <f t="shared" si="127"/>
        <v>1</v>
      </c>
      <c r="N129" s="81" t="b">
        <f t="shared" si="127"/>
        <v>1</v>
      </c>
      <c r="O129" s="81" t="b">
        <f t="shared" si="127"/>
        <v>1</v>
      </c>
      <c r="P129" s="81" t="b">
        <f t="shared" si="127"/>
        <v>1</v>
      </c>
      <c r="Q129" s="81" t="b">
        <f t="shared" si="127"/>
        <v>1</v>
      </c>
      <c r="R129" s="21"/>
    </row>
    <row r="130" spans="1:33" s="117" customFormat="1" x14ac:dyDescent="0.35">
      <c r="A130" s="149" t="s">
        <v>75</v>
      </c>
      <c r="B130" s="128" t="s">
        <v>76</v>
      </c>
      <c r="C130" s="129"/>
      <c r="D130" s="130">
        <f>D113*T130</f>
        <v>13.730288000000014</v>
      </c>
      <c r="E130" s="130">
        <f t="shared" ref="E130:P130" si="128">E113*U130</f>
        <v>14.744334973115697</v>
      </c>
      <c r="F130" s="130">
        <f t="shared" si="128"/>
        <v>15.864593072838062</v>
      </c>
      <c r="G130" s="130">
        <f t="shared" si="128"/>
        <v>17.10465810361455</v>
      </c>
      <c r="H130" s="130">
        <f t="shared" si="128"/>
        <v>18.480157682511464</v>
      </c>
      <c r="I130" s="130">
        <f t="shared" si="128"/>
        <v>20.00909605314521</v>
      </c>
      <c r="J130" s="130">
        <f t="shared" si="128"/>
        <v>21.712264143858647</v>
      </c>
      <c r="K130" s="130">
        <f t="shared" si="128"/>
        <v>23.613728455030625</v>
      </c>
      <c r="L130" s="130">
        <f t="shared" si="128"/>
        <v>25.741415442314985</v>
      </c>
      <c r="M130" s="130">
        <f t="shared" si="128"/>
        <v>28.12781190039491</v>
      </c>
      <c r="N130" s="130">
        <f t="shared" si="128"/>
        <v>30.81080664468066</v>
      </c>
      <c r="O130" s="130">
        <f t="shared" si="128"/>
        <v>33.834704791537824</v>
      </c>
      <c r="P130" s="130">
        <f t="shared" si="128"/>
        <v>37.251453479270928</v>
      </c>
      <c r="Q130" s="130">
        <f>Q113*AG130</f>
        <v>41.122127375418309</v>
      </c>
      <c r="R130" s="68">
        <f t="shared" ref="R130:R135" si="129">RATE(9,,-H130,Q130)</f>
        <v>9.2940842862137968E-2</v>
      </c>
      <c r="S130" s="134" t="s">
        <v>76</v>
      </c>
      <c r="T130" s="116">
        <v>0.22000000000000003</v>
      </c>
      <c r="U130" s="116">
        <v>0.22038063877502673</v>
      </c>
      <c r="V130" s="116">
        <v>0.22076193612222184</v>
      </c>
      <c r="W130" s="116">
        <v>0.22114389318103134</v>
      </c>
      <c r="X130" s="116">
        <v>0.22152651109287255</v>
      </c>
      <c r="Y130" s="116">
        <v>0.22190979100113767</v>
      </c>
      <c r="Z130" s="116">
        <v>0.22229373405119721</v>
      </c>
      <c r="AA130" s="116">
        <v>0.22267834139040343</v>
      </c>
      <c r="AB130" s="116">
        <v>0.2230636141680935</v>
      </c>
      <c r="AC130" s="116">
        <v>0.22344955353559337</v>
      </c>
      <c r="AD130" s="116">
        <v>0.22383616064622086</v>
      </c>
      <c r="AE130" s="116">
        <v>0.22422343665528938</v>
      </c>
      <c r="AF130" s="116">
        <v>0.22461138272011094</v>
      </c>
      <c r="AG130" s="116">
        <v>0.22500000000000017</v>
      </c>
    </row>
    <row r="131" spans="1:33" s="117" customFormat="1" x14ac:dyDescent="0.35">
      <c r="A131" s="149"/>
      <c r="B131" s="128" t="s">
        <v>77</v>
      </c>
      <c r="C131" s="129"/>
      <c r="D131" s="130">
        <f>D113*T131</f>
        <v>23.715952000000019</v>
      </c>
      <c r="E131" s="130">
        <f t="shared" ref="E131:Q131" si="130">E113*U131</f>
        <v>25.423500544000024</v>
      </c>
      <c r="F131" s="130">
        <f t="shared" si="130"/>
        <v>27.307902229761392</v>
      </c>
      <c r="G131" s="130">
        <f t="shared" si="130"/>
        <v>29.391587467679837</v>
      </c>
      <c r="H131" s="130">
        <f t="shared" si="130"/>
        <v>31.700313812148053</v>
      </c>
      <c r="I131" s="130">
        <f t="shared" si="130"/>
        <v>34.26372701219028</v>
      </c>
      <c r="J131" s="130">
        <f t="shared" si="130"/>
        <v>37.116027628408318</v>
      </c>
      <c r="K131" s="130">
        <f t="shared" si="130"/>
        <v>40.296765086729479</v>
      </c>
      <c r="L131" s="130">
        <f t="shared" si="130"/>
        <v>43.851785978454082</v>
      </c>
      <c r="M131" s="130">
        <f t="shared" si="130"/>
        <v>47.834369561393999</v>
      </c>
      <c r="N131" s="130">
        <f t="shared" si="130"/>
        <v>52.306591085091171</v>
      </c>
      <c r="O131" s="130">
        <f t="shared" si="130"/>
        <v>57.34096315966476</v>
      </c>
      <c r="P131" s="130">
        <f t="shared" si="130"/>
        <v>63.022417433591244</v>
      </c>
      <c r="Q131" s="130">
        <f t="shared" si="130"/>
        <v>69.450704011817535</v>
      </c>
      <c r="R131" s="68">
        <f t="shared" si="129"/>
        <v>9.1053128651780932E-2</v>
      </c>
      <c r="S131" s="134" t="s">
        <v>77</v>
      </c>
      <c r="T131" s="116">
        <v>0.38</v>
      </c>
      <c r="U131" s="116">
        <v>0.38</v>
      </c>
      <c r="V131" s="116">
        <v>0.38</v>
      </c>
      <c r="W131" s="116">
        <v>0.38</v>
      </c>
      <c r="X131" s="116">
        <v>0.38</v>
      </c>
      <c r="Y131" s="116">
        <v>0.38</v>
      </c>
      <c r="Z131" s="116">
        <v>0.38</v>
      </c>
      <c r="AA131" s="116">
        <v>0.38</v>
      </c>
      <c r="AB131" s="116">
        <v>0.38</v>
      </c>
      <c r="AC131" s="116">
        <v>0.38</v>
      </c>
      <c r="AD131" s="116">
        <v>0.38</v>
      </c>
      <c r="AE131" s="116">
        <v>0.38</v>
      </c>
      <c r="AF131" s="116">
        <v>0.38</v>
      </c>
      <c r="AG131" s="116">
        <v>0.38</v>
      </c>
    </row>
    <row r="132" spans="1:33" s="117" customFormat="1" x14ac:dyDescent="0.35">
      <c r="A132" s="149"/>
      <c r="B132" s="128" t="s">
        <v>78</v>
      </c>
      <c r="C132" s="129"/>
      <c r="D132" s="132">
        <f>D113*T132</f>
        <v>10.609768000000008</v>
      </c>
      <c r="E132" s="132">
        <f t="shared" ref="E132:Q132" si="131">E113*U132</f>
        <v>11.428658652203508</v>
      </c>
      <c r="F132" s="132">
        <f t="shared" si="131"/>
        <v>12.335104739291886</v>
      </c>
      <c r="G132" s="132">
        <f t="shared" si="131"/>
        <v>13.340500833598956</v>
      </c>
      <c r="H132" s="132">
        <f t="shared" si="131"/>
        <v>14.45796739964762</v>
      </c>
      <c r="I132" s="132">
        <f t="shared" si="131"/>
        <v>15.702647070358504</v>
      </c>
      <c r="J132" s="132">
        <f t="shared" si="131"/>
        <v>17.092057551144194</v>
      </c>
      <c r="K132" s="132">
        <f t="shared" si="131"/>
        <v>18.646513049622996</v>
      </c>
      <c r="L132" s="132">
        <f t="shared" si="131"/>
        <v>20.389628850079003</v>
      </c>
      <c r="M132" s="132">
        <f t="shared" si="131"/>
        <v>22.348927045701352</v>
      </c>
      <c r="N132" s="132">
        <f t="shared" si="131"/>
        <v>24.556565686504637</v>
      </c>
      <c r="O132" s="132">
        <f t="shared" si="131"/>
        <v>27.050218925698452</v>
      </c>
      <c r="P132" s="132">
        <f t="shared" si="131"/>
        <v>29.874142447008644</v>
      </c>
      <c r="Q132" s="132">
        <f t="shared" si="131"/>
        <v>33.080466910891978</v>
      </c>
      <c r="R132" s="68">
        <f t="shared" si="129"/>
        <v>9.6327953768005098E-2</v>
      </c>
      <c r="S132" s="134" t="s">
        <v>78</v>
      </c>
      <c r="T132" s="116">
        <v>0.16999999999999998</v>
      </c>
      <c r="U132" s="116">
        <v>0.17082188506343435</v>
      </c>
      <c r="V132" s="116">
        <v>0.17164774362720694</v>
      </c>
      <c r="W132" s="116">
        <v>0.17247759490167405</v>
      </c>
      <c r="X132" s="116">
        <v>0.17331145819006682</v>
      </c>
      <c r="Y132" s="116">
        <v>0.17414935288894001</v>
      </c>
      <c r="Z132" s="116">
        <v>0.17499129848862341</v>
      </c>
      <c r="AA132" s="116">
        <v>0.17583731457367507</v>
      </c>
      <c r="AB132" s="116">
        <v>0.17668742082333691</v>
      </c>
      <c r="AC132" s="116">
        <v>0.17754163701199244</v>
      </c>
      <c r="AD132" s="116">
        <v>0.17839998300962681</v>
      </c>
      <c r="AE132" s="116">
        <v>0.17926247878228888</v>
      </c>
      <c r="AF132" s="116">
        <v>0.18012914439255584</v>
      </c>
      <c r="AG132" s="116">
        <v>0.18099999999999969</v>
      </c>
    </row>
    <row r="133" spans="1:33" s="117" customFormat="1" x14ac:dyDescent="0.35">
      <c r="A133" s="149"/>
      <c r="B133" s="128" t="s">
        <v>79</v>
      </c>
      <c r="C133" s="129"/>
      <c r="D133" s="132">
        <f>D113*T133</f>
        <v>8.7374560000000088</v>
      </c>
      <c r="E133" s="132">
        <f t="shared" ref="E133:Q133" si="132">E113*U133</f>
        <v>9.3716824005377628</v>
      </c>
      <c r="F133" s="132">
        <f t="shared" si="132"/>
        <v>10.071828651150229</v>
      </c>
      <c r="G133" s="132">
        <f t="shared" si="132"/>
        <v>10.846279904984032</v>
      </c>
      <c r="H133" s="132">
        <f t="shared" si="132"/>
        <v>11.704668042711566</v>
      </c>
      <c r="I133" s="132">
        <f t="shared" si="132"/>
        <v>12.658082330813158</v>
      </c>
      <c r="J133" s="132">
        <f t="shared" si="132"/>
        <v>13.71931978730079</v>
      </c>
      <c r="K133" s="132">
        <f t="shared" si="132"/>
        <v>14.903183494272396</v>
      </c>
      <c r="L133" s="132">
        <f t="shared" si="132"/>
        <v>16.226838960073856</v>
      </c>
      <c r="M133" s="132">
        <f t="shared" si="132"/>
        <v>17.710240952947135</v>
      </c>
      <c r="N133" s="132">
        <f t="shared" si="132"/>
        <v>19.376646122615632</v>
      </c>
      <c r="O133" s="132">
        <f t="shared" si="132"/>
        <v>21.253230349705483</v>
      </c>
      <c r="P133" s="132">
        <f t="shared" si="132"/>
        <v>23.371834312326875</v>
      </c>
      <c r="Q133" s="132">
        <f t="shared" si="132"/>
        <v>25.769866488595504</v>
      </c>
      <c r="R133" s="68">
        <f t="shared" si="129"/>
        <v>9.1650641087791432E-2</v>
      </c>
      <c r="S133" s="134" t="s">
        <v>79</v>
      </c>
      <c r="T133" s="116">
        <v>0.14000000000000001</v>
      </c>
      <c r="U133" s="116">
        <v>0.14007667063947282</v>
      </c>
      <c r="V133" s="116">
        <v>0.14015338326742385</v>
      </c>
      <c r="W133" s="116">
        <v>0.1402301379068481</v>
      </c>
      <c r="X133" s="116">
        <v>0.14030693458075291</v>
      </c>
      <c r="Y133" s="116">
        <v>0.14038377331215846</v>
      </c>
      <c r="Z133" s="116">
        <v>0.14046065412409731</v>
      </c>
      <c r="AA133" s="116">
        <v>0.14053757703961495</v>
      </c>
      <c r="AB133" s="116">
        <v>0.14061454208176913</v>
      </c>
      <c r="AC133" s="116">
        <v>0.14069154927363042</v>
      </c>
      <c r="AD133" s="116">
        <v>0.14076859863828203</v>
      </c>
      <c r="AE133" s="116">
        <v>0.14084569019881982</v>
      </c>
      <c r="AF133" s="116">
        <v>0.14092282397835218</v>
      </c>
      <c r="AG133" s="116">
        <v>0.14100000000000026</v>
      </c>
    </row>
    <row r="134" spans="1:33" s="117" customFormat="1" x14ac:dyDescent="0.35">
      <c r="A134" s="149"/>
      <c r="B134" s="128" t="s">
        <v>80</v>
      </c>
      <c r="C134" s="129"/>
      <c r="D134" s="132">
        <f>D113*T134</f>
        <v>2.496416000000004</v>
      </c>
      <c r="E134" s="132">
        <f t="shared" ref="E134:Q134" si="133">E113*U134</f>
        <v>2.481675065607305</v>
      </c>
      <c r="F134" s="132">
        <f t="shared" si="133"/>
        <v>2.4719010550231166</v>
      </c>
      <c r="G134" s="132">
        <f t="shared" si="133"/>
        <v>2.4671693516861999</v>
      </c>
      <c r="H134" s="132">
        <f t="shared" si="133"/>
        <v>2.4675880247661137</v>
      </c>
      <c r="I134" s="132">
        <f t="shared" si="133"/>
        <v>2.4733004025641359</v>
      </c>
      <c r="J134" s="132">
        <f t="shared" si="133"/>
        <v>2.4844881557632563</v>
      </c>
      <c r="K134" s="132">
        <f t="shared" si="133"/>
        <v>2.5013749677301269</v>
      </c>
      <c r="L134" s="132">
        <f t="shared" si="133"/>
        <v>2.5242308842466539</v>
      </c>
      <c r="M134" s="132">
        <f t="shared" si="133"/>
        <v>2.5533774532974123</v>
      </c>
      <c r="N134" s="132">
        <f t="shared" si="133"/>
        <v>2.5891937875535151</v>
      </c>
      <c r="O134" s="132">
        <f t="shared" si="133"/>
        <v>2.6321237088332969</v>
      </c>
      <c r="P134" s="132">
        <f t="shared" si="133"/>
        <v>2.6826841661549015</v>
      </c>
      <c r="Q134" s="132">
        <f t="shared" si="133"/>
        <v>2.7414751583612196</v>
      </c>
      <c r="R134" s="68">
        <f t="shared" si="129"/>
        <v>1.1763652668880976E-2</v>
      </c>
      <c r="S134" s="134" t="s">
        <v>80</v>
      </c>
      <c r="T134" s="116">
        <v>4.0000000000000029E-2</v>
      </c>
      <c r="U134" s="116">
        <v>3.7093103024844219E-2</v>
      </c>
      <c r="V134" s="116">
        <v>3.4397457300292665E-2</v>
      </c>
      <c r="W134" s="116">
        <v>3.1897710685810869E-2</v>
      </c>
      <c r="X134" s="116">
        <v>2.9579626718136409E-2</v>
      </c>
      <c r="Y134" s="116">
        <v>2.7430003532306693E-2</v>
      </c>
      <c r="Z134" s="116">
        <v>2.543659867489231E-2</v>
      </c>
      <c r="AA134" s="116">
        <v>2.3588059381234896E-2</v>
      </c>
      <c r="AB134" s="116">
        <v>2.1873857919607213E-2</v>
      </c>
      <c r="AC134" s="116">
        <v>2.0284231634069862E-2</v>
      </c>
      <c r="AD134" s="116">
        <v>1.8810127344558929E-2</v>
      </c>
      <c r="AE134" s="116">
        <v>1.7443149787554083E-2</v>
      </c>
      <c r="AF134" s="116">
        <v>1.617551380368832E-2</v>
      </c>
      <c r="AG134" s="116">
        <v>1.5000000000000005E-2</v>
      </c>
    </row>
    <row r="135" spans="1:33" s="117" customFormat="1" x14ac:dyDescent="0.35">
      <c r="A135" s="149"/>
      <c r="B135" s="128" t="s">
        <v>81</v>
      </c>
      <c r="C135" s="129"/>
      <c r="D135" s="132">
        <f>D113*T135</f>
        <v>1.2482080000000013</v>
      </c>
      <c r="E135" s="132">
        <f t="shared" ref="E135:Q135" si="134">E113*U135</f>
        <v>1.3479252220136972</v>
      </c>
      <c r="F135" s="132">
        <f t="shared" si="134"/>
        <v>1.4584879446205488</v>
      </c>
      <c r="G135" s="132">
        <f t="shared" si="134"/>
        <v>1.581326687837727</v>
      </c>
      <c r="H135" s="132">
        <f t="shared" si="134"/>
        <v>1.7180910335849393</v>
      </c>
      <c r="I135" s="132">
        <f t="shared" si="134"/>
        <v>1.8706875842334261</v>
      </c>
      <c r="J135" s="132">
        <f t="shared" si="134"/>
        <v>2.041325236059286</v>
      </c>
      <c r="K135" s="132">
        <f t="shared" si="134"/>
        <v>2.2325693158332403</v>
      </c>
      <c r="L135" s="132">
        <f t="shared" si="134"/>
        <v>2.4474064852838424</v>
      </c>
      <c r="M135" s="132">
        <f t="shared" si="134"/>
        <v>2.6893227633188315</v>
      </c>
      <c r="N135" s="132">
        <f t="shared" si="134"/>
        <v>2.9623975733352701</v>
      </c>
      <c r="O135" s="132">
        <f t="shared" si="134"/>
        <v>3.2714174230902016</v>
      </c>
      <c r="P135" s="132">
        <f t="shared" si="134"/>
        <v>3.6220137066210509</v>
      </c>
      <c r="Q135" s="132">
        <f t="shared" si="134"/>
        <v>4.0208302322631218</v>
      </c>
      <c r="R135" s="68">
        <f t="shared" si="129"/>
        <v>9.9081636469361273E-2</v>
      </c>
      <c r="S135" s="134" t="s">
        <v>81</v>
      </c>
      <c r="T135" s="116">
        <v>2.0000000000000004E-2</v>
      </c>
      <c r="U135" s="116">
        <v>2.0147169878464571E-2</v>
      </c>
      <c r="V135" s="116">
        <v>2.0295422705585511E-2</v>
      </c>
      <c r="W135" s="116">
        <v>2.0444766450233912E-2</v>
      </c>
      <c r="X135" s="116">
        <v>2.0595209139919784E-2</v>
      </c>
      <c r="Y135" s="116">
        <v>2.0746758861223506E-2</v>
      </c>
      <c r="Z135" s="116">
        <v>2.0899423760230504E-2</v>
      </c>
      <c r="AA135" s="116">
        <v>2.1053212042969137E-2</v>
      </c>
      <c r="AB135" s="116">
        <v>2.1208131975851766E-2</v>
      </c>
      <c r="AC135" s="116">
        <v>2.1364191886119096E-2</v>
      </c>
      <c r="AD135" s="116">
        <v>2.1521400162287797E-2</v>
      </c>
      <c r="AE135" s="116">
        <v>2.1679765254601358E-2</v>
      </c>
      <c r="AF135" s="116">
        <v>2.1839295675484361E-2</v>
      </c>
      <c r="AG135" s="116">
        <v>2.2000000000000006E-2</v>
      </c>
    </row>
    <row r="136" spans="1:33" s="117" customFormat="1" x14ac:dyDescent="0.35">
      <c r="A136" s="149"/>
      <c r="B136" s="128" t="s">
        <v>82</v>
      </c>
      <c r="C136" s="129"/>
      <c r="D136" s="132">
        <f>D113*T136</f>
        <v>1.8723119999999962</v>
      </c>
      <c r="E136" s="132">
        <f t="shared" ref="E136:Q136" si="135">E113*U136</f>
        <v>2.1061719425220686</v>
      </c>
      <c r="F136" s="132">
        <f t="shared" si="135"/>
        <v>2.3530829119500121</v>
      </c>
      <c r="G136" s="132">
        <f t="shared" si="135"/>
        <v>2.6147604602824805</v>
      </c>
      <c r="H136" s="132">
        <f t="shared" si="135"/>
        <v>2.8930924576514307</v>
      </c>
      <c r="I136" s="132">
        <f t="shared" si="135"/>
        <v>3.190162210353916</v>
      </c>
      <c r="J136" s="132">
        <f t="shared" si="135"/>
        <v>3.5082744143294984</v>
      </c>
      <c r="K136" s="132">
        <f t="shared" si="135"/>
        <v>3.8499842800692532</v>
      </c>
      <c r="L136" s="132">
        <f t="shared" si="135"/>
        <v>4.2181301849530586</v>
      </c>
      <c r="M136" s="132">
        <f t="shared" si="135"/>
        <v>4.6158702213516305</v>
      </c>
      <c r="N136" s="132">
        <f t="shared" si="135"/>
        <v>5.0467230083537915</v>
      </c>
      <c r="O136" s="132">
        <f t="shared" si="135"/>
        <v>5.5146131142719632</v>
      </c>
      <c r="P136" s="132">
        <f t="shared" si="135"/>
        <v>6.0239213855296061</v>
      </c>
      <c r="Q136" s="132">
        <f t="shared" si="135"/>
        <v>6.5795403800668897</v>
      </c>
      <c r="R136" s="68">
        <f>RATE(9,,-H136,Q136)</f>
        <v>9.5590198271604199E-2</v>
      </c>
      <c r="S136" s="134" t="s">
        <v>82</v>
      </c>
      <c r="T136" s="116">
        <f>1-SUM(T130:T135)</f>
        <v>2.9999999999999916E-2</v>
      </c>
      <c r="U136" s="116">
        <f t="shared" ref="U136:AG136" si="136">1-SUM(U130:U135)</f>
        <v>3.1480532618757273E-2</v>
      </c>
      <c r="V136" s="116">
        <f t="shared" si="136"/>
        <v>3.2744056977269231E-2</v>
      </c>
      <c r="W136" s="116">
        <f t="shared" si="136"/>
        <v>3.380589687440172E-2</v>
      </c>
      <c r="X136" s="116">
        <f t="shared" si="136"/>
        <v>3.468026027825144E-2</v>
      </c>
      <c r="Y136" s="116">
        <f t="shared" si="136"/>
        <v>3.5380320404233667E-2</v>
      </c>
      <c r="Z136" s="116">
        <f t="shared" si="136"/>
        <v>3.5918290900959216E-2</v>
      </c>
      <c r="AA136" s="116">
        <f t="shared" si="136"/>
        <v>3.6305495572102608E-2</v>
      </c>
      <c r="AB136" s="116">
        <f t="shared" si="136"/>
        <v>3.655243303134148E-2</v>
      </c>
      <c r="AC136" s="116">
        <f t="shared" si="136"/>
        <v>3.6668836658594883E-2</v>
      </c>
      <c r="AD136" s="116">
        <f t="shared" si="136"/>
        <v>3.6663730199023692E-2</v>
      </c>
      <c r="AE136" s="116">
        <f t="shared" si="136"/>
        <v>3.6545479321446361E-2</v>
      </c>
      <c r="AF136" s="116">
        <f t="shared" si="136"/>
        <v>3.6321839429808267E-2</v>
      </c>
      <c r="AG136" s="116">
        <f t="shared" si="136"/>
        <v>3.599999999999981E-2</v>
      </c>
    </row>
    <row r="137" spans="1:33" x14ac:dyDescent="0.35">
      <c r="D137" t="b">
        <f>D113=SUM(D130:D136)</f>
        <v>0</v>
      </c>
      <c r="E137" t="b">
        <f t="shared" ref="E137:Q137" si="137">E113=SUM(E130:E136)</f>
        <v>1</v>
      </c>
      <c r="F137" t="b">
        <f t="shared" si="137"/>
        <v>1</v>
      </c>
      <c r="G137" t="b">
        <f t="shared" si="137"/>
        <v>1</v>
      </c>
      <c r="H137" t="b">
        <f t="shared" si="137"/>
        <v>1</v>
      </c>
      <c r="I137" t="b">
        <f t="shared" si="137"/>
        <v>1</v>
      </c>
      <c r="J137" t="b">
        <f t="shared" si="137"/>
        <v>1</v>
      </c>
      <c r="K137" t="b">
        <f t="shared" si="137"/>
        <v>1</v>
      </c>
      <c r="L137" t="b">
        <f t="shared" si="137"/>
        <v>1</v>
      </c>
      <c r="M137" t="b">
        <f t="shared" si="137"/>
        <v>1</v>
      </c>
      <c r="N137" t="b">
        <f t="shared" si="137"/>
        <v>1</v>
      </c>
      <c r="O137" t="b">
        <f t="shared" si="137"/>
        <v>1</v>
      </c>
      <c r="P137" t="b">
        <f t="shared" si="137"/>
        <v>1</v>
      </c>
      <c r="Q137" t="b">
        <f t="shared" si="137"/>
        <v>1</v>
      </c>
    </row>
    <row r="139" spans="1:33" ht="25" x14ac:dyDescent="0.5">
      <c r="A139" s="146" t="s">
        <v>100</v>
      </c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63"/>
    </row>
    <row r="140" spans="1:33" ht="23.5" thickBot="1" x14ac:dyDescent="0.55000000000000004">
      <c r="A140" s="63"/>
      <c r="B140" s="63"/>
      <c r="C140" s="63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</row>
    <row r="141" spans="1:33" ht="16" hidden="1" thickBot="1" x14ac:dyDescent="0.4">
      <c r="A141" s="42"/>
      <c r="B141" s="43"/>
      <c r="C141" s="93"/>
      <c r="D141" s="91">
        <v>2023</v>
      </c>
      <c r="E141" s="65">
        <v>2024</v>
      </c>
      <c r="F141" s="65">
        <v>2025</v>
      </c>
      <c r="G141" s="65">
        <v>2026</v>
      </c>
      <c r="H141" s="65">
        <v>2027</v>
      </c>
      <c r="I141" s="65">
        <v>2028</v>
      </c>
      <c r="J141" s="65">
        <v>2029</v>
      </c>
      <c r="K141" s="65">
        <v>2030</v>
      </c>
      <c r="L141" s="65">
        <v>2031</v>
      </c>
      <c r="M141" s="65">
        <v>2032</v>
      </c>
      <c r="N141" s="65">
        <v>2033</v>
      </c>
      <c r="O141" s="65">
        <v>2034</v>
      </c>
      <c r="P141" s="65">
        <v>2035</v>
      </c>
      <c r="Q141" s="65">
        <v>2036</v>
      </c>
      <c r="R141" s="66" t="s">
        <v>13</v>
      </c>
    </row>
    <row r="142" spans="1:33" ht="16" hidden="1" thickBot="1" x14ac:dyDescent="0.4">
      <c r="A142" s="25"/>
      <c r="B142" s="94"/>
      <c r="C142" s="95"/>
      <c r="D142" s="92" t="e">
        <f>#REF!</f>
        <v>#REF!</v>
      </c>
      <c r="E142" s="92" t="e">
        <f>#REF!</f>
        <v>#REF!</v>
      </c>
      <c r="F142" s="92" t="e">
        <f>#REF!</f>
        <v>#REF!</v>
      </c>
      <c r="G142" s="92" t="e">
        <f>#REF!</f>
        <v>#REF!</v>
      </c>
      <c r="H142" s="92" t="e">
        <f>#REF!</f>
        <v>#REF!</v>
      </c>
      <c r="I142" s="92" t="e">
        <f>#REF!</f>
        <v>#REF!</v>
      </c>
      <c r="J142" s="92" t="e">
        <f>#REF!</f>
        <v>#REF!</v>
      </c>
      <c r="K142" s="92" t="e">
        <f>#REF!</f>
        <v>#REF!</v>
      </c>
      <c r="L142" s="92" t="e">
        <f>#REF!</f>
        <v>#REF!</v>
      </c>
      <c r="M142" s="92" t="e">
        <f>#REF!</f>
        <v>#REF!</v>
      </c>
      <c r="N142" s="92" t="e">
        <f>#REF!</f>
        <v>#REF!</v>
      </c>
      <c r="O142" s="92" t="e">
        <f>#REF!</f>
        <v>#REF!</v>
      </c>
      <c r="P142" s="92" t="e">
        <f>#REF!</f>
        <v>#REF!</v>
      </c>
      <c r="Q142" s="92" t="e">
        <f>#REF!</f>
        <v>#REF!</v>
      </c>
      <c r="R142" s="68" t="e">
        <f>RATE(12,,-E142,Q142)</f>
        <v>#REF!</v>
      </c>
      <c r="T142" s="65">
        <v>2023</v>
      </c>
      <c r="U142" s="65">
        <v>2024</v>
      </c>
      <c r="V142" s="65">
        <v>2025</v>
      </c>
      <c r="W142" s="65">
        <v>2026</v>
      </c>
      <c r="X142" s="65">
        <v>2027</v>
      </c>
      <c r="Y142" s="65">
        <v>2028</v>
      </c>
      <c r="Z142" s="65">
        <v>2029</v>
      </c>
      <c r="AA142" s="65">
        <v>2030</v>
      </c>
      <c r="AB142" s="65">
        <v>2031</v>
      </c>
      <c r="AC142" s="65">
        <v>2032</v>
      </c>
      <c r="AD142" s="65">
        <v>2033</v>
      </c>
      <c r="AE142" s="65">
        <v>2034</v>
      </c>
      <c r="AF142" s="65">
        <v>2035</v>
      </c>
      <c r="AG142" s="65">
        <v>2036</v>
      </c>
    </row>
    <row r="143" spans="1:33" ht="15" hidden="1" thickBot="1" x14ac:dyDescent="0.4">
      <c r="A143" s="150" t="s">
        <v>49</v>
      </c>
      <c r="B143" s="52" t="s">
        <v>34</v>
      </c>
      <c r="C143" s="45"/>
      <c r="D143" s="79" t="e">
        <f t="shared" ref="D143:Q143" si="138">D142*T143</f>
        <v>#REF!</v>
      </c>
      <c r="E143" s="79" t="e">
        <f t="shared" si="138"/>
        <v>#REF!</v>
      </c>
      <c r="F143" s="79" t="e">
        <f t="shared" si="138"/>
        <v>#REF!</v>
      </c>
      <c r="G143" s="79" t="e">
        <f t="shared" si="138"/>
        <v>#REF!</v>
      </c>
      <c r="H143" s="79" t="e">
        <f t="shared" si="138"/>
        <v>#REF!</v>
      </c>
      <c r="I143" s="79" t="e">
        <f t="shared" si="138"/>
        <v>#REF!</v>
      </c>
      <c r="J143" s="79" t="e">
        <f t="shared" si="138"/>
        <v>#REF!</v>
      </c>
      <c r="K143" s="79" t="e">
        <f t="shared" si="138"/>
        <v>#REF!</v>
      </c>
      <c r="L143" s="79" t="e">
        <f t="shared" si="138"/>
        <v>#REF!</v>
      </c>
      <c r="M143" s="79" t="e">
        <f t="shared" si="138"/>
        <v>#REF!</v>
      </c>
      <c r="N143" s="79" t="e">
        <f t="shared" si="138"/>
        <v>#REF!</v>
      </c>
      <c r="O143" s="79" t="e">
        <f t="shared" si="138"/>
        <v>#REF!</v>
      </c>
      <c r="P143" s="79" t="e">
        <f t="shared" si="138"/>
        <v>#REF!</v>
      </c>
      <c r="Q143" s="79" t="e">
        <f t="shared" si="138"/>
        <v>#REF!</v>
      </c>
      <c r="R143" s="77" t="e">
        <f>RATE(12,,-E143,Q143)</f>
        <v>#REF!</v>
      </c>
      <c r="S143" s="52"/>
      <c r="T143" s="12">
        <v>0.56000000000000005</v>
      </c>
      <c r="U143" s="12">
        <v>0.56092161367703952</v>
      </c>
      <c r="V143" s="12">
        <v>0.56184474408938223</v>
      </c>
      <c r="W143" s="12">
        <v>0.56276939373317769</v>
      </c>
      <c r="X143" s="12">
        <v>0.56369556510868446</v>
      </c>
      <c r="Y143" s="12">
        <v>0.56462326072027491</v>
      </c>
      <c r="Z143" s="12">
        <v>0.56555248307644368</v>
      </c>
      <c r="AA143" s="12">
        <v>0.56648323468981299</v>
      </c>
      <c r="AB143" s="12">
        <v>0.56741551807714108</v>
      </c>
      <c r="AC143" s="12">
        <v>0.56834933575932756</v>
      </c>
      <c r="AD143" s="12">
        <v>0.56928469026142059</v>
      </c>
      <c r="AE143" s="12">
        <v>0.57022158411262425</v>
      </c>
      <c r="AF143" s="12">
        <v>0.57116001984630527</v>
      </c>
      <c r="AG143" s="12">
        <v>0.57209999999999905</v>
      </c>
    </row>
    <row r="144" spans="1:33" ht="15" hidden="1" thickBot="1" x14ac:dyDescent="0.4">
      <c r="A144" s="151"/>
      <c r="B144" s="53" t="s">
        <v>35</v>
      </c>
      <c r="C144" s="46"/>
      <c r="D144" s="80" t="e">
        <f t="shared" ref="D144:Q144" si="139">D142*T144</f>
        <v>#REF!</v>
      </c>
      <c r="E144" s="80" t="e">
        <f t="shared" si="139"/>
        <v>#REF!</v>
      </c>
      <c r="F144" s="80" t="e">
        <f t="shared" si="139"/>
        <v>#REF!</v>
      </c>
      <c r="G144" s="80" t="e">
        <f t="shared" si="139"/>
        <v>#REF!</v>
      </c>
      <c r="H144" s="80" t="e">
        <f t="shared" si="139"/>
        <v>#REF!</v>
      </c>
      <c r="I144" s="80" t="e">
        <f t="shared" si="139"/>
        <v>#REF!</v>
      </c>
      <c r="J144" s="80" t="e">
        <f t="shared" si="139"/>
        <v>#REF!</v>
      </c>
      <c r="K144" s="80" t="e">
        <f t="shared" si="139"/>
        <v>#REF!</v>
      </c>
      <c r="L144" s="80" t="e">
        <f t="shared" si="139"/>
        <v>#REF!</v>
      </c>
      <c r="M144" s="80" t="e">
        <f t="shared" si="139"/>
        <v>#REF!</v>
      </c>
      <c r="N144" s="80" t="e">
        <f t="shared" si="139"/>
        <v>#REF!</v>
      </c>
      <c r="O144" s="80" t="e">
        <f t="shared" si="139"/>
        <v>#REF!</v>
      </c>
      <c r="P144" s="80" t="e">
        <f t="shared" si="139"/>
        <v>#REF!</v>
      </c>
      <c r="Q144" s="80" t="e">
        <f t="shared" si="139"/>
        <v>#REF!</v>
      </c>
      <c r="R144" s="78" t="e">
        <f>RATE(12,,-E144,Q144)</f>
        <v>#REF!</v>
      </c>
      <c r="S144" s="53"/>
      <c r="T144" s="12">
        <f>1-T143</f>
        <v>0.43999999999999995</v>
      </c>
      <c r="U144" s="12">
        <f t="shared" ref="U144:AG144" si="140">1-U143</f>
        <v>0.43907838632296048</v>
      </c>
      <c r="V144" s="12">
        <f t="shared" si="140"/>
        <v>0.43815525591061777</v>
      </c>
      <c r="W144" s="12">
        <f t="shared" si="140"/>
        <v>0.43723060626682231</v>
      </c>
      <c r="X144" s="12">
        <f t="shared" si="140"/>
        <v>0.43630443489131554</v>
      </c>
      <c r="Y144" s="12">
        <f t="shared" si="140"/>
        <v>0.43537673927972509</v>
      </c>
      <c r="Z144" s="12">
        <f t="shared" si="140"/>
        <v>0.43444751692355632</v>
      </c>
      <c r="AA144" s="12">
        <f t="shared" si="140"/>
        <v>0.43351676531018701</v>
      </c>
      <c r="AB144" s="12">
        <f t="shared" si="140"/>
        <v>0.43258448192285892</v>
      </c>
      <c r="AC144" s="12">
        <f t="shared" si="140"/>
        <v>0.43165066424067244</v>
      </c>
      <c r="AD144" s="12">
        <f t="shared" si="140"/>
        <v>0.43071530973857941</v>
      </c>
      <c r="AE144" s="12">
        <f t="shared" si="140"/>
        <v>0.42977841588737575</v>
      </c>
      <c r="AF144" s="12">
        <f t="shared" si="140"/>
        <v>0.42883998015369473</v>
      </c>
      <c r="AG144" s="12">
        <f t="shared" si="140"/>
        <v>0.42790000000000095</v>
      </c>
    </row>
    <row r="145" spans="1:33" ht="15" hidden="1" thickBot="1" x14ac:dyDescent="0.4">
      <c r="A145" s="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21"/>
    </row>
    <row r="146" spans="1:33" ht="15" hidden="1" thickBot="1" x14ac:dyDescent="0.4">
      <c r="A146" s="150" t="s">
        <v>15</v>
      </c>
      <c r="B146" s="57" t="s">
        <v>16</v>
      </c>
      <c r="C146" s="47"/>
      <c r="D146" s="82" t="e">
        <f t="shared" ref="D146:Q146" si="141">D142*T146</f>
        <v>#REF!</v>
      </c>
      <c r="E146" s="82" t="e">
        <f t="shared" si="141"/>
        <v>#REF!</v>
      </c>
      <c r="F146" s="82" t="e">
        <f t="shared" si="141"/>
        <v>#REF!</v>
      </c>
      <c r="G146" s="82" t="e">
        <f t="shared" si="141"/>
        <v>#REF!</v>
      </c>
      <c r="H146" s="82" t="e">
        <f t="shared" si="141"/>
        <v>#REF!</v>
      </c>
      <c r="I146" s="82" t="e">
        <f t="shared" si="141"/>
        <v>#REF!</v>
      </c>
      <c r="J146" s="82" t="e">
        <f t="shared" si="141"/>
        <v>#REF!</v>
      </c>
      <c r="K146" s="82" t="e">
        <f t="shared" si="141"/>
        <v>#REF!</v>
      </c>
      <c r="L146" s="82" t="e">
        <f t="shared" si="141"/>
        <v>#REF!</v>
      </c>
      <c r="M146" s="82" t="e">
        <f t="shared" si="141"/>
        <v>#REF!</v>
      </c>
      <c r="N146" s="82" t="e">
        <f t="shared" si="141"/>
        <v>#REF!</v>
      </c>
      <c r="O146" s="82" t="e">
        <f t="shared" si="141"/>
        <v>#REF!</v>
      </c>
      <c r="P146" s="82" t="e">
        <f t="shared" si="141"/>
        <v>#REF!</v>
      </c>
      <c r="Q146" s="82" t="e">
        <f t="shared" si="141"/>
        <v>#REF!</v>
      </c>
      <c r="R146" s="69" t="e">
        <f>RATE(12,,-E146,Q146)</f>
        <v>#REF!</v>
      </c>
      <c r="S146" s="57"/>
      <c r="T146" s="12">
        <v>0.47099999999999992</v>
      </c>
      <c r="U146" s="12">
        <v>0.47038461538461535</v>
      </c>
      <c r="V146" s="12">
        <v>0.46976923076923072</v>
      </c>
      <c r="W146" s="12">
        <v>0.46915384615384609</v>
      </c>
      <c r="X146" s="12">
        <v>0.46853846153846151</v>
      </c>
      <c r="Y146" s="12">
        <v>0.46792307692307689</v>
      </c>
      <c r="Z146" s="12">
        <v>0.46730769230769226</v>
      </c>
      <c r="AA146" s="12">
        <v>0.46669230769230763</v>
      </c>
      <c r="AB146" s="12">
        <v>0.46607692307692306</v>
      </c>
      <c r="AC146" s="12">
        <v>0.46546153846153843</v>
      </c>
      <c r="AD146" s="12">
        <v>0.4648461538461538</v>
      </c>
      <c r="AE146" s="12">
        <v>0.46423076923076922</v>
      </c>
      <c r="AF146" s="12">
        <v>0.4636153846153846</v>
      </c>
      <c r="AG146" s="12">
        <v>0.46299999999999997</v>
      </c>
    </row>
    <row r="147" spans="1:33" ht="15" hidden="1" thickBot="1" x14ac:dyDescent="0.4">
      <c r="A147" s="151"/>
      <c r="B147" s="58" t="s">
        <v>17</v>
      </c>
      <c r="C147" s="48"/>
      <c r="D147" s="83" t="e">
        <f t="shared" ref="D147:Q147" si="142">D142*T147</f>
        <v>#REF!</v>
      </c>
      <c r="E147" s="83" t="e">
        <f t="shared" si="142"/>
        <v>#REF!</v>
      </c>
      <c r="F147" s="83" t="e">
        <f t="shared" si="142"/>
        <v>#REF!</v>
      </c>
      <c r="G147" s="83" t="e">
        <f t="shared" si="142"/>
        <v>#REF!</v>
      </c>
      <c r="H147" s="83" t="e">
        <f t="shared" si="142"/>
        <v>#REF!</v>
      </c>
      <c r="I147" s="83" t="e">
        <f t="shared" si="142"/>
        <v>#REF!</v>
      </c>
      <c r="J147" s="83" t="e">
        <f t="shared" si="142"/>
        <v>#REF!</v>
      </c>
      <c r="K147" s="83" t="e">
        <f t="shared" si="142"/>
        <v>#REF!</v>
      </c>
      <c r="L147" s="83" t="e">
        <f t="shared" si="142"/>
        <v>#REF!</v>
      </c>
      <c r="M147" s="83" t="e">
        <f t="shared" si="142"/>
        <v>#REF!</v>
      </c>
      <c r="N147" s="83" t="e">
        <f t="shared" si="142"/>
        <v>#REF!</v>
      </c>
      <c r="O147" s="83" t="e">
        <f t="shared" si="142"/>
        <v>#REF!</v>
      </c>
      <c r="P147" s="83" t="e">
        <f t="shared" si="142"/>
        <v>#REF!</v>
      </c>
      <c r="Q147" s="83" t="e">
        <f t="shared" si="142"/>
        <v>#REF!</v>
      </c>
      <c r="R147" s="70" t="e">
        <f>RATE(12,,-E147,Q147)</f>
        <v>#REF!</v>
      </c>
      <c r="S147" s="58"/>
      <c r="T147" s="12">
        <f>1-T146</f>
        <v>0.52900000000000014</v>
      </c>
      <c r="U147" s="12">
        <f t="shared" ref="U147:AG147" si="143">1-U146</f>
        <v>0.5296153846153846</v>
      </c>
      <c r="V147" s="12">
        <f t="shared" si="143"/>
        <v>0.53023076923076928</v>
      </c>
      <c r="W147" s="12">
        <f t="shared" si="143"/>
        <v>0.53084615384615397</v>
      </c>
      <c r="X147" s="12">
        <f t="shared" si="143"/>
        <v>0.53146153846153843</v>
      </c>
      <c r="Y147" s="12">
        <f t="shared" si="143"/>
        <v>0.53207692307692311</v>
      </c>
      <c r="Z147" s="12">
        <f t="shared" si="143"/>
        <v>0.5326923076923078</v>
      </c>
      <c r="AA147" s="12">
        <f t="shared" si="143"/>
        <v>0.53330769230769237</v>
      </c>
      <c r="AB147" s="12">
        <f t="shared" si="143"/>
        <v>0.53392307692307694</v>
      </c>
      <c r="AC147" s="12">
        <f t="shared" si="143"/>
        <v>0.53453846153846163</v>
      </c>
      <c r="AD147" s="12">
        <f t="shared" si="143"/>
        <v>0.5351538461538462</v>
      </c>
      <c r="AE147" s="12">
        <f t="shared" si="143"/>
        <v>0.53576923076923078</v>
      </c>
      <c r="AF147" s="12">
        <f t="shared" si="143"/>
        <v>0.53638461538461546</v>
      </c>
      <c r="AG147" s="12">
        <f t="shared" si="143"/>
        <v>0.53700000000000003</v>
      </c>
    </row>
    <row r="148" spans="1:33" ht="15" hidden="1" thickBot="1" x14ac:dyDescent="0.4">
      <c r="A148" s="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21"/>
    </row>
    <row r="149" spans="1:33" ht="15" hidden="1" thickBot="1" x14ac:dyDescent="0.4">
      <c r="A149" s="150" t="s">
        <v>18</v>
      </c>
      <c r="B149" s="54" t="s">
        <v>19</v>
      </c>
      <c r="C149" s="49"/>
      <c r="D149" s="84" t="e">
        <f t="shared" ref="D149:Q149" si="144">D142*T149</f>
        <v>#REF!</v>
      </c>
      <c r="E149" s="84" t="e">
        <f t="shared" si="144"/>
        <v>#REF!</v>
      </c>
      <c r="F149" s="84" t="e">
        <f t="shared" si="144"/>
        <v>#REF!</v>
      </c>
      <c r="G149" s="84" t="e">
        <f t="shared" si="144"/>
        <v>#REF!</v>
      </c>
      <c r="H149" s="84" t="e">
        <f t="shared" si="144"/>
        <v>#REF!</v>
      </c>
      <c r="I149" s="84" t="e">
        <f t="shared" si="144"/>
        <v>#REF!</v>
      </c>
      <c r="J149" s="84" t="e">
        <f t="shared" si="144"/>
        <v>#REF!</v>
      </c>
      <c r="K149" s="84" t="e">
        <f t="shared" si="144"/>
        <v>#REF!</v>
      </c>
      <c r="L149" s="84" t="e">
        <f t="shared" si="144"/>
        <v>#REF!</v>
      </c>
      <c r="M149" s="84" t="e">
        <f t="shared" si="144"/>
        <v>#REF!</v>
      </c>
      <c r="N149" s="84" t="e">
        <f t="shared" si="144"/>
        <v>#REF!</v>
      </c>
      <c r="O149" s="84" t="e">
        <f t="shared" si="144"/>
        <v>#REF!</v>
      </c>
      <c r="P149" s="84" t="e">
        <f t="shared" si="144"/>
        <v>#REF!</v>
      </c>
      <c r="Q149" s="84" t="e">
        <f t="shared" si="144"/>
        <v>#REF!</v>
      </c>
      <c r="R149" s="71" t="e">
        <f>RATE(12,,-E149,Q149)</f>
        <v>#REF!</v>
      </c>
      <c r="S149" s="54"/>
      <c r="T149" s="12">
        <v>0.40099999999999997</v>
      </c>
      <c r="U149" s="12">
        <v>0.40265090533119946</v>
      </c>
      <c r="V149" s="12">
        <v>0.40430860739160734</v>
      </c>
      <c r="W149" s="12">
        <v>0.40597313416316017</v>
      </c>
      <c r="X149" s="12">
        <v>0.40764451374299493</v>
      </c>
      <c r="Y149" s="12">
        <v>0.40932277434392395</v>
      </c>
      <c r="Z149" s="12">
        <v>0.41100794429491083</v>
      </c>
      <c r="AA149" s="12">
        <v>0.4127000520415488</v>
      </c>
      <c r="AB149" s="12">
        <v>0.41439912614654062</v>
      </c>
      <c r="AC149" s="12">
        <v>0.41610519529018092</v>
      </c>
      <c r="AD149" s="12">
        <v>0.41781828827084017</v>
      </c>
      <c r="AE149" s="12">
        <v>0.4195384340054511</v>
      </c>
      <c r="AF149" s="12">
        <v>0.4212656615299965</v>
      </c>
      <c r="AG149" s="12">
        <v>0.42299999999999938</v>
      </c>
    </row>
    <row r="150" spans="1:33" ht="15" hidden="1" thickBot="1" x14ac:dyDescent="0.4">
      <c r="A150" s="151"/>
      <c r="B150" s="56" t="s">
        <v>20</v>
      </c>
      <c r="C150" s="44"/>
      <c r="D150" s="85" t="e">
        <f t="shared" ref="D150:Q150" si="145">D142*T150</f>
        <v>#REF!</v>
      </c>
      <c r="E150" s="85" t="e">
        <f t="shared" si="145"/>
        <v>#REF!</v>
      </c>
      <c r="F150" s="85" t="e">
        <f t="shared" si="145"/>
        <v>#REF!</v>
      </c>
      <c r="G150" s="85" t="e">
        <f t="shared" si="145"/>
        <v>#REF!</v>
      </c>
      <c r="H150" s="85" t="e">
        <f t="shared" si="145"/>
        <v>#REF!</v>
      </c>
      <c r="I150" s="85" t="e">
        <f t="shared" si="145"/>
        <v>#REF!</v>
      </c>
      <c r="J150" s="85" t="e">
        <f t="shared" si="145"/>
        <v>#REF!</v>
      </c>
      <c r="K150" s="85" t="e">
        <f t="shared" si="145"/>
        <v>#REF!</v>
      </c>
      <c r="L150" s="85" t="e">
        <f t="shared" si="145"/>
        <v>#REF!</v>
      </c>
      <c r="M150" s="85" t="e">
        <f t="shared" si="145"/>
        <v>#REF!</v>
      </c>
      <c r="N150" s="85" t="e">
        <f t="shared" si="145"/>
        <v>#REF!</v>
      </c>
      <c r="O150" s="85" t="e">
        <f t="shared" si="145"/>
        <v>#REF!</v>
      </c>
      <c r="P150" s="85" t="e">
        <f t="shared" si="145"/>
        <v>#REF!</v>
      </c>
      <c r="Q150" s="85" t="e">
        <f t="shared" si="145"/>
        <v>#REF!</v>
      </c>
      <c r="R150" s="72" t="e">
        <f>RATE(12,,-E150,Q150)</f>
        <v>#REF!</v>
      </c>
      <c r="S150" s="56"/>
      <c r="T150" s="12">
        <f>1-T149</f>
        <v>0.59899999999999998</v>
      </c>
      <c r="U150" s="12">
        <f t="shared" ref="U150:AG150" si="146">1-U149</f>
        <v>0.59734909466880048</v>
      </c>
      <c r="V150" s="12">
        <f t="shared" si="146"/>
        <v>0.59569139260839266</v>
      </c>
      <c r="W150" s="12">
        <f t="shared" si="146"/>
        <v>0.59402686583683983</v>
      </c>
      <c r="X150" s="12">
        <f t="shared" si="146"/>
        <v>0.59235548625700507</v>
      </c>
      <c r="Y150" s="12">
        <f t="shared" si="146"/>
        <v>0.59067722565607605</v>
      </c>
      <c r="Z150" s="12">
        <f t="shared" si="146"/>
        <v>0.58899205570508917</v>
      </c>
      <c r="AA150" s="12">
        <f t="shared" si="146"/>
        <v>0.5872999479584512</v>
      </c>
      <c r="AB150" s="12">
        <f t="shared" si="146"/>
        <v>0.58560087385345938</v>
      </c>
      <c r="AC150" s="12">
        <f t="shared" si="146"/>
        <v>0.58389480470981914</v>
      </c>
      <c r="AD150" s="12">
        <f t="shared" si="146"/>
        <v>0.58218171172915989</v>
      </c>
      <c r="AE150" s="12">
        <f t="shared" si="146"/>
        <v>0.5804615659945489</v>
      </c>
      <c r="AF150" s="12">
        <f t="shared" si="146"/>
        <v>0.57873433847000344</v>
      </c>
      <c r="AG150" s="12">
        <f t="shared" si="146"/>
        <v>0.57700000000000062</v>
      </c>
    </row>
    <row r="151" spans="1:33" ht="15" hidden="1" thickBot="1" x14ac:dyDescent="0.4">
      <c r="A151" s="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21"/>
    </row>
    <row r="152" spans="1:33" ht="15" hidden="1" thickBot="1" x14ac:dyDescent="0.4">
      <c r="A152" s="150" t="s">
        <v>14</v>
      </c>
      <c r="B152" s="59" t="s">
        <v>21</v>
      </c>
      <c r="C152" s="50"/>
      <c r="D152" s="86" t="e">
        <f t="shared" ref="D152:Q152" si="147">D142*T152</f>
        <v>#REF!</v>
      </c>
      <c r="E152" s="86" t="e">
        <f t="shared" si="147"/>
        <v>#REF!</v>
      </c>
      <c r="F152" s="86" t="e">
        <f t="shared" si="147"/>
        <v>#REF!</v>
      </c>
      <c r="G152" s="86" t="e">
        <f t="shared" si="147"/>
        <v>#REF!</v>
      </c>
      <c r="H152" s="86" t="e">
        <f t="shared" si="147"/>
        <v>#REF!</v>
      </c>
      <c r="I152" s="86" t="e">
        <f t="shared" si="147"/>
        <v>#REF!</v>
      </c>
      <c r="J152" s="86" t="e">
        <f t="shared" si="147"/>
        <v>#REF!</v>
      </c>
      <c r="K152" s="86" t="e">
        <f t="shared" si="147"/>
        <v>#REF!</v>
      </c>
      <c r="L152" s="86" t="e">
        <f t="shared" si="147"/>
        <v>#REF!</v>
      </c>
      <c r="M152" s="86" t="e">
        <f t="shared" si="147"/>
        <v>#REF!</v>
      </c>
      <c r="N152" s="86" t="e">
        <f t="shared" si="147"/>
        <v>#REF!</v>
      </c>
      <c r="O152" s="86" t="e">
        <f t="shared" si="147"/>
        <v>#REF!</v>
      </c>
      <c r="P152" s="86" t="e">
        <f t="shared" si="147"/>
        <v>#REF!</v>
      </c>
      <c r="Q152" s="86" t="e">
        <f t="shared" si="147"/>
        <v>#REF!</v>
      </c>
      <c r="R152" s="73" t="e">
        <f t="shared" ref="R152:R157" si="148">RATE(12,,-E152,Q152)</f>
        <v>#REF!</v>
      </c>
      <c r="S152" s="59"/>
      <c r="T152" s="12">
        <v>0.25</v>
      </c>
      <c r="U152" s="12">
        <v>0.25155593539307364</v>
      </c>
      <c r="V152" s="12">
        <v>0.25312155452593693</v>
      </c>
      <c r="W152" s="12">
        <v>0.25469691766768382</v>
      </c>
      <c r="X152" s="12">
        <v>0.25628208546250747</v>
      </c>
      <c r="Y152" s="12">
        <v>0.2578771189320348</v>
      </c>
      <c r="Z152" s="12">
        <v>0.25948207947767565</v>
      </c>
      <c r="AA152" s="12">
        <v>0.2610970288829863</v>
      </c>
      <c r="AB152" s="12">
        <v>0.26272202931604799</v>
      </c>
      <c r="AC152" s="12">
        <v>0.26435714333185978</v>
      </c>
      <c r="AD152" s="12">
        <v>0.26600243387474731</v>
      </c>
      <c r="AE152" s="12">
        <v>0.26765796428078514</v>
      </c>
      <c r="AF152" s="12">
        <v>0.26932379828023517</v>
      </c>
      <c r="AG152" s="12">
        <v>0.27100000000000013</v>
      </c>
    </row>
    <row r="153" spans="1:33" ht="15" hidden="1" thickBot="1" x14ac:dyDescent="0.4">
      <c r="A153" s="155"/>
      <c r="B153" s="60" t="s">
        <v>22</v>
      </c>
      <c r="C153" s="41"/>
      <c r="D153" s="87" t="e">
        <f t="shared" ref="D153:Q153" si="149">D142*T153</f>
        <v>#REF!</v>
      </c>
      <c r="E153" s="87" t="e">
        <f t="shared" si="149"/>
        <v>#REF!</v>
      </c>
      <c r="F153" s="87" t="e">
        <f t="shared" si="149"/>
        <v>#REF!</v>
      </c>
      <c r="G153" s="87" t="e">
        <f t="shared" si="149"/>
        <v>#REF!</v>
      </c>
      <c r="H153" s="87" t="e">
        <f t="shared" si="149"/>
        <v>#REF!</v>
      </c>
      <c r="I153" s="87" t="e">
        <f t="shared" si="149"/>
        <v>#REF!</v>
      </c>
      <c r="J153" s="87" t="e">
        <f t="shared" si="149"/>
        <v>#REF!</v>
      </c>
      <c r="K153" s="87" t="e">
        <f t="shared" si="149"/>
        <v>#REF!</v>
      </c>
      <c r="L153" s="87" t="e">
        <f t="shared" si="149"/>
        <v>#REF!</v>
      </c>
      <c r="M153" s="87" t="e">
        <f t="shared" si="149"/>
        <v>#REF!</v>
      </c>
      <c r="N153" s="87" t="e">
        <f t="shared" si="149"/>
        <v>#REF!</v>
      </c>
      <c r="O153" s="87" t="e">
        <f t="shared" si="149"/>
        <v>#REF!</v>
      </c>
      <c r="P153" s="87" t="e">
        <f t="shared" si="149"/>
        <v>#REF!</v>
      </c>
      <c r="Q153" s="87" t="e">
        <f t="shared" si="149"/>
        <v>#REF!</v>
      </c>
      <c r="R153" s="74" t="e">
        <f t="shared" si="148"/>
        <v>#REF!</v>
      </c>
      <c r="S153" s="60"/>
      <c r="T153" s="12">
        <v>0.38</v>
      </c>
      <c r="U153" s="12">
        <v>0.38090988938047371</v>
      </c>
      <c r="V153" s="12">
        <v>0.38182195744169661</v>
      </c>
      <c r="W153" s="12">
        <v>0.38273620940040159</v>
      </c>
      <c r="X153" s="12">
        <v>0.38365265048581265</v>
      </c>
      <c r="Y153" s="12">
        <v>0.38457128593967477</v>
      </c>
      <c r="Z153" s="12">
        <v>0.38549212101628438</v>
      </c>
      <c r="AA153" s="12">
        <v>0.38641516098251855</v>
      </c>
      <c r="AB153" s="12">
        <v>0.38734041111786593</v>
      </c>
      <c r="AC153" s="12">
        <v>0.38826787671445667</v>
      </c>
      <c r="AD153" s="12">
        <v>0.38919756307709236</v>
      </c>
      <c r="AE153" s="12">
        <v>0.39012947552327681</v>
      </c>
      <c r="AF153" s="12">
        <v>0.3910636193832463</v>
      </c>
      <c r="AG153" s="12">
        <v>0.39200000000000002</v>
      </c>
    </row>
    <row r="154" spans="1:33" ht="15" hidden="1" thickBot="1" x14ac:dyDescent="0.4">
      <c r="A154" s="155"/>
      <c r="B154" s="61" t="s">
        <v>23</v>
      </c>
      <c r="C154" s="41"/>
      <c r="D154" s="88" t="e">
        <f t="shared" ref="D154:Q154" si="150">D153*T154</f>
        <v>#REF!</v>
      </c>
      <c r="E154" s="88" t="e">
        <f t="shared" si="150"/>
        <v>#REF!</v>
      </c>
      <c r="F154" s="88" t="e">
        <f t="shared" si="150"/>
        <v>#REF!</v>
      </c>
      <c r="G154" s="88" t="e">
        <f t="shared" si="150"/>
        <v>#REF!</v>
      </c>
      <c r="H154" s="88" t="e">
        <f t="shared" si="150"/>
        <v>#REF!</v>
      </c>
      <c r="I154" s="88" t="e">
        <f t="shared" si="150"/>
        <v>#REF!</v>
      </c>
      <c r="J154" s="88" t="e">
        <f t="shared" si="150"/>
        <v>#REF!</v>
      </c>
      <c r="K154" s="88" t="e">
        <f t="shared" si="150"/>
        <v>#REF!</v>
      </c>
      <c r="L154" s="88" t="e">
        <f t="shared" si="150"/>
        <v>#REF!</v>
      </c>
      <c r="M154" s="88" t="e">
        <f t="shared" si="150"/>
        <v>#REF!</v>
      </c>
      <c r="N154" s="88" t="e">
        <f t="shared" si="150"/>
        <v>#REF!</v>
      </c>
      <c r="O154" s="88" t="e">
        <f t="shared" si="150"/>
        <v>#REF!</v>
      </c>
      <c r="P154" s="88" t="e">
        <f t="shared" si="150"/>
        <v>#REF!</v>
      </c>
      <c r="Q154" s="88" t="e">
        <f t="shared" si="150"/>
        <v>#REF!</v>
      </c>
      <c r="R154" s="74" t="e">
        <f t="shared" si="148"/>
        <v>#REF!</v>
      </c>
      <c r="S154" s="61"/>
      <c r="T154" s="67">
        <v>0.34999999999999987</v>
      </c>
      <c r="U154" s="67">
        <v>0.34938588387166564</v>
      </c>
      <c r="V154" s="67">
        <v>0.34877284528224306</v>
      </c>
      <c r="W154" s="67">
        <v>0.34816088234106346</v>
      </c>
      <c r="X154" s="67">
        <v>0.34754999316077562</v>
      </c>
      <c r="Y154" s="67">
        <v>0.34694017585733994</v>
      </c>
      <c r="Z154" s="67">
        <v>0.34633142855002247</v>
      </c>
      <c r="AA154" s="67">
        <v>0.34572374936138933</v>
      </c>
      <c r="AB154" s="67">
        <v>0.34511713641730069</v>
      </c>
      <c r="AC154" s="67">
        <v>0.34451158784690528</v>
      </c>
      <c r="AD154" s="67">
        <v>0.34390710178263434</v>
      </c>
      <c r="AE154" s="67">
        <v>0.34330367636019604</v>
      </c>
      <c r="AF154" s="67">
        <v>0.34270130971856966</v>
      </c>
      <c r="AG154" s="67">
        <v>0.34209999999999979</v>
      </c>
    </row>
    <row r="155" spans="1:33" ht="15" hidden="1" thickBot="1" x14ac:dyDescent="0.4">
      <c r="A155" s="155"/>
      <c r="B155" s="61" t="s">
        <v>24</v>
      </c>
      <c r="C155" s="41"/>
      <c r="D155" s="88" t="e">
        <f t="shared" ref="D155:Q155" si="151">D153*T155</f>
        <v>#REF!</v>
      </c>
      <c r="E155" s="88" t="e">
        <f t="shared" si="151"/>
        <v>#REF!</v>
      </c>
      <c r="F155" s="88" t="e">
        <f t="shared" si="151"/>
        <v>#REF!</v>
      </c>
      <c r="G155" s="88" t="e">
        <f t="shared" si="151"/>
        <v>#REF!</v>
      </c>
      <c r="H155" s="88" t="e">
        <f t="shared" si="151"/>
        <v>#REF!</v>
      </c>
      <c r="I155" s="88" t="e">
        <f t="shared" si="151"/>
        <v>#REF!</v>
      </c>
      <c r="J155" s="88" t="e">
        <f t="shared" si="151"/>
        <v>#REF!</v>
      </c>
      <c r="K155" s="88" t="e">
        <f t="shared" si="151"/>
        <v>#REF!</v>
      </c>
      <c r="L155" s="88" t="e">
        <f t="shared" si="151"/>
        <v>#REF!</v>
      </c>
      <c r="M155" s="88" t="e">
        <f t="shared" si="151"/>
        <v>#REF!</v>
      </c>
      <c r="N155" s="88" t="e">
        <f t="shared" si="151"/>
        <v>#REF!</v>
      </c>
      <c r="O155" s="88" t="e">
        <f t="shared" si="151"/>
        <v>#REF!</v>
      </c>
      <c r="P155" s="88" t="e">
        <f t="shared" si="151"/>
        <v>#REF!</v>
      </c>
      <c r="Q155" s="88" t="e">
        <f t="shared" si="151"/>
        <v>#REF!</v>
      </c>
      <c r="R155" s="74" t="e">
        <f t="shared" si="148"/>
        <v>#REF!</v>
      </c>
      <c r="S155" s="61"/>
      <c r="T155" s="67">
        <v>0.28000000000000003</v>
      </c>
      <c r="U155" s="67">
        <v>0.28097918830490543</v>
      </c>
      <c r="V155" s="67">
        <v>0.28196180093029821</v>
      </c>
      <c r="W155" s="67">
        <v>0.28294784985137333</v>
      </c>
      <c r="X155" s="67">
        <v>0.28393734708520407</v>
      </c>
      <c r="Y155" s="67">
        <v>0.28493030469088876</v>
      </c>
      <c r="Z155" s="67">
        <v>0.28592673476969749</v>
      </c>
      <c r="AA155" s="67">
        <v>0.28692664946521995</v>
      </c>
      <c r="AB155" s="67">
        <v>0.28793006096351298</v>
      </c>
      <c r="AC155" s="67">
        <v>0.28893698149324931</v>
      </c>
      <c r="AD155" s="67">
        <v>0.28994742332586665</v>
      </c>
      <c r="AE155" s="67">
        <v>0.29096139877571725</v>
      </c>
      <c r="AF155" s="67">
        <v>0.29197892020021765</v>
      </c>
      <c r="AG155" s="67">
        <v>0.29299999999999965</v>
      </c>
    </row>
    <row r="156" spans="1:33" ht="15" hidden="1" thickBot="1" x14ac:dyDescent="0.4">
      <c r="A156" s="155"/>
      <c r="B156" s="61" t="s">
        <v>25</v>
      </c>
      <c r="C156" s="41"/>
      <c r="D156" s="88" t="e">
        <f t="shared" ref="D156:Q156" si="152">D153*T156</f>
        <v>#REF!</v>
      </c>
      <c r="E156" s="88" t="e">
        <f t="shared" si="152"/>
        <v>#REF!</v>
      </c>
      <c r="F156" s="88" t="e">
        <f t="shared" si="152"/>
        <v>#REF!</v>
      </c>
      <c r="G156" s="88" t="e">
        <f t="shared" si="152"/>
        <v>#REF!</v>
      </c>
      <c r="H156" s="88" t="e">
        <f t="shared" si="152"/>
        <v>#REF!</v>
      </c>
      <c r="I156" s="88" t="e">
        <f t="shared" si="152"/>
        <v>#REF!</v>
      </c>
      <c r="J156" s="88" t="e">
        <f t="shared" si="152"/>
        <v>#REF!</v>
      </c>
      <c r="K156" s="88" t="e">
        <f t="shared" si="152"/>
        <v>#REF!</v>
      </c>
      <c r="L156" s="88" t="e">
        <f t="shared" si="152"/>
        <v>#REF!</v>
      </c>
      <c r="M156" s="88" t="e">
        <f t="shared" si="152"/>
        <v>#REF!</v>
      </c>
      <c r="N156" s="88" t="e">
        <f t="shared" si="152"/>
        <v>#REF!</v>
      </c>
      <c r="O156" s="88" t="e">
        <f t="shared" si="152"/>
        <v>#REF!</v>
      </c>
      <c r="P156" s="88" t="e">
        <f t="shared" si="152"/>
        <v>#REF!</v>
      </c>
      <c r="Q156" s="88" t="e">
        <f t="shared" si="152"/>
        <v>#REF!</v>
      </c>
      <c r="R156" s="74" t="e">
        <f t="shared" si="148"/>
        <v>#REF!</v>
      </c>
      <c r="S156" s="61"/>
      <c r="T156" s="67">
        <f>1-SUM(T154:T155)</f>
        <v>0.37000000000000011</v>
      </c>
      <c r="U156" s="67">
        <f t="shared" ref="U156:AG156" si="153">1-SUM(U154:U155)</f>
        <v>0.36963492782342899</v>
      </c>
      <c r="V156" s="67">
        <f t="shared" si="153"/>
        <v>0.36926535378745873</v>
      </c>
      <c r="W156" s="67">
        <f t="shared" si="153"/>
        <v>0.36889126780756321</v>
      </c>
      <c r="X156" s="67">
        <f t="shared" si="153"/>
        <v>0.36851265975402026</v>
      </c>
      <c r="Y156" s="67">
        <f t="shared" si="153"/>
        <v>0.3681295194517713</v>
      </c>
      <c r="Z156" s="67">
        <f t="shared" si="153"/>
        <v>0.36774183668028004</v>
      </c>
      <c r="AA156" s="67">
        <f t="shared" si="153"/>
        <v>0.36734960117339077</v>
      </c>
      <c r="AB156" s="67">
        <f t="shared" si="153"/>
        <v>0.36695280261918639</v>
      </c>
      <c r="AC156" s="67">
        <f t="shared" si="153"/>
        <v>0.36655143065984541</v>
      </c>
      <c r="AD156" s="67">
        <f t="shared" si="153"/>
        <v>0.36614547489149896</v>
      </c>
      <c r="AE156" s="67">
        <f t="shared" si="153"/>
        <v>0.36573492486408665</v>
      </c>
      <c r="AF156" s="67">
        <f t="shared" si="153"/>
        <v>0.36531977008121275</v>
      </c>
      <c r="AG156" s="67">
        <f t="shared" si="153"/>
        <v>0.36490000000000056</v>
      </c>
    </row>
    <row r="157" spans="1:33" ht="15" hidden="1" thickBot="1" x14ac:dyDescent="0.4">
      <c r="A157" s="151"/>
      <c r="B157" s="62" t="s">
        <v>26</v>
      </c>
      <c r="C157" s="51"/>
      <c r="D157" s="89" t="e">
        <f t="shared" ref="D157:Q157" si="154">D142*T157</f>
        <v>#REF!</v>
      </c>
      <c r="E157" s="89" t="e">
        <f t="shared" si="154"/>
        <v>#REF!</v>
      </c>
      <c r="F157" s="89" t="e">
        <f t="shared" si="154"/>
        <v>#REF!</v>
      </c>
      <c r="G157" s="89" t="e">
        <f t="shared" si="154"/>
        <v>#REF!</v>
      </c>
      <c r="H157" s="89" t="e">
        <f t="shared" si="154"/>
        <v>#REF!</v>
      </c>
      <c r="I157" s="89" t="e">
        <f t="shared" si="154"/>
        <v>#REF!</v>
      </c>
      <c r="J157" s="89" t="e">
        <f t="shared" si="154"/>
        <v>#REF!</v>
      </c>
      <c r="K157" s="89" t="e">
        <f t="shared" si="154"/>
        <v>#REF!</v>
      </c>
      <c r="L157" s="89" t="e">
        <f t="shared" si="154"/>
        <v>#REF!</v>
      </c>
      <c r="M157" s="89" t="e">
        <f t="shared" si="154"/>
        <v>#REF!</v>
      </c>
      <c r="N157" s="89" t="e">
        <f t="shared" si="154"/>
        <v>#REF!</v>
      </c>
      <c r="O157" s="89" t="e">
        <f t="shared" si="154"/>
        <v>#REF!</v>
      </c>
      <c r="P157" s="89" t="e">
        <f t="shared" si="154"/>
        <v>#REF!</v>
      </c>
      <c r="Q157" s="89" t="e">
        <f t="shared" si="154"/>
        <v>#REF!</v>
      </c>
      <c r="R157" s="75" t="e">
        <f t="shared" si="148"/>
        <v>#REF!</v>
      </c>
      <c r="S157" s="62"/>
      <c r="T157" s="12">
        <f>1-SUM(T152+T153)</f>
        <v>0.37</v>
      </c>
      <c r="U157" s="12">
        <f t="shared" ref="U157:AG157" si="155">1-SUM(U152+U153)</f>
        <v>0.36753417522645271</v>
      </c>
      <c r="V157" s="12">
        <f t="shared" si="155"/>
        <v>0.36505648803236646</v>
      </c>
      <c r="W157" s="12">
        <f t="shared" si="155"/>
        <v>0.36256687293191459</v>
      </c>
      <c r="X157" s="12">
        <f t="shared" si="155"/>
        <v>0.36006526405167993</v>
      </c>
      <c r="Y157" s="12">
        <f t="shared" si="155"/>
        <v>0.35755159512829038</v>
      </c>
      <c r="Z157" s="12">
        <f t="shared" si="155"/>
        <v>0.35502579950603996</v>
      </c>
      <c r="AA157" s="12">
        <f t="shared" si="155"/>
        <v>0.35248781013449515</v>
      </c>
      <c r="AB157" s="12">
        <f t="shared" si="155"/>
        <v>0.34993755956608608</v>
      </c>
      <c r="AC157" s="12">
        <f t="shared" si="155"/>
        <v>0.3473749799536836</v>
      </c>
      <c r="AD157" s="12">
        <f t="shared" si="155"/>
        <v>0.34480000304816039</v>
      </c>
      <c r="AE157" s="12">
        <f t="shared" si="155"/>
        <v>0.34221256019593804</v>
      </c>
      <c r="AF157" s="12">
        <f t="shared" si="155"/>
        <v>0.33961258233651859</v>
      </c>
      <c r="AG157" s="12">
        <f t="shared" si="155"/>
        <v>0.33699999999999986</v>
      </c>
    </row>
    <row r="158" spans="1:33" ht="15" hidden="1" thickBot="1" x14ac:dyDescent="0.4">
      <c r="A158" s="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21"/>
    </row>
    <row r="159" spans="1:33" ht="15" hidden="1" thickBot="1" x14ac:dyDescent="0.4">
      <c r="A159" s="152" t="s">
        <v>27</v>
      </c>
      <c r="B159" s="54" t="s">
        <v>28</v>
      </c>
      <c r="C159" s="49"/>
      <c r="D159" s="84" t="e">
        <f t="shared" ref="D159:Q159" si="156">D142*T159</f>
        <v>#REF!</v>
      </c>
      <c r="E159" s="84" t="e">
        <f t="shared" si="156"/>
        <v>#REF!</v>
      </c>
      <c r="F159" s="84" t="e">
        <f t="shared" si="156"/>
        <v>#REF!</v>
      </c>
      <c r="G159" s="84" t="e">
        <f t="shared" si="156"/>
        <v>#REF!</v>
      </c>
      <c r="H159" s="84" t="e">
        <f t="shared" si="156"/>
        <v>#REF!</v>
      </c>
      <c r="I159" s="84" t="e">
        <f t="shared" si="156"/>
        <v>#REF!</v>
      </c>
      <c r="J159" s="84" t="e">
        <f t="shared" si="156"/>
        <v>#REF!</v>
      </c>
      <c r="K159" s="84" t="e">
        <f t="shared" si="156"/>
        <v>#REF!</v>
      </c>
      <c r="L159" s="84" t="e">
        <f t="shared" si="156"/>
        <v>#REF!</v>
      </c>
      <c r="M159" s="84" t="e">
        <f t="shared" si="156"/>
        <v>#REF!</v>
      </c>
      <c r="N159" s="84" t="e">
        <f t="shared" si="156"/>
        <v>#REF!</v>
      </c>
      <c r="O159" s="84" t="e">
        <f t="shared" si="156"/>
        <v>#REF!</v>
      </c>
      <c r="P159" s="84" t="e">
        <f t="shared" si="156"/>
        <v>#REF!</v>
      </c>
      <c r="Q159" s="84" t="e">
        <f t="shared" si="156"/>
        <v>#REF!</v>
      </c>
      <c r="R159" s="71" t="e">
        <f>RATE(12,,-E159,Q159)</f>
        <v>#REF!</v>
      </c>
      <c r="S159" s="54"/>
      <c r="T159" s="12">
        <v>0.40099999999999997</v>
      </c>
      <c r="U159" s="12">
        <v>0.40265090533119946</v>
      </c>
      <c r="V159" s="12">
        <v>0.40430860739160734</v>
      </c>
      <c r="W159" s="12">
        <v>0.40597313416316017</v>
      </c>
      <c r="X159" s="12">
        <v>0.40764451374299493</v>
      </c>
      <c r="Y159" s="12">
        <v>0.40932277434392395</v>
      </c>
      <c r="Z159" s="12">
        <v>0.41100794429491083</v>
      </c>
      <c r="AA159" s="12">
        <v>0.4127000520415488</v>
      </c>
      <c r="AB159" s="12">
        <v>0.41439912614654062</v>
      </c>
      <c r="AC159" s="12">
        <v>0.41610519529018092</v>
      </c>
      <c r="AD159" s="12">
        <v>0.41781828827084017</v>
      </c>
      <c r="AE159" s="12">
        <v>0.4195384340054511</v>
      </c>
      <c r="AF159" s="12">
        <v>0.4212656615299965</v>
      </c>
      <c r="AG159" s="12">
        <v>0.42299999999999938</v>
      </c>
    </row>
    <row r="160" spans="1:33" ht="15" hidden="1" thickBot="1" x14ac:dyDescent="0.4">
      <c r="A160" s="154"/>
      <c r="B160" s="55" t="s">
        <v>29</v>
      </c>
      <c r="C160" s="40"/>
      <c r="D160" s="90" t="e">
        <f t="shared" ref="D160:Q160" si="157">D142*T160</f>
        <v>#REF!</v>
      </c>
      <c r="E160" s="90" t="e">
        <f t="shared" si="157"/>
        <v>#REF!</v>
      </c>
      <c r="F160" s="90" t="e">
        <f t="shared" si="157"/>
        <v>#REF!</v>
      </c>
      <c r="G160" s="90" t="e">
        <f t="shared" si="157"/>
        <v>#REF!</v>
      </c>
      <c r="H160" s="90" t="e">
        <f t="shared" si="157"/>
        <v>#REF!</v>
      </c>
      <c r="I160" s="90" t="e">
        <f t="shared" si="157"/>
        <v>#REF!</v>
      </c>
      <c r="J160" s="90" t="e">
        <f t="shared" si="157"/>
        <v>#REF!</v>
      </c>
      <c r="K160" s="90" t="e">
        <f t="shared" si="157"/>
        <v>#REF!</v>
      </c>
      <c r="L160" s="90" t="e">
        <f t="shared" si="157"/>
        <v>#REF!</v>
      </c>
      <c r="M160" s="90" t="e">
        <f t="shared" si="157"/>
        <v>#REF!</v>
      </c>
      <c r="N160" s="90" t="e">
        <f t="shared" si="157"/>
        <v>#REF!</v>
      </c>
      <c r="O160" s="90" t="e">
        <f t="shared" si="157"/>
        <v>#REF!</v>
      </c>
      <c r="P160" s="90" t="e">
        <f t="shared" si="157"/>
        <v>#REF!</v>
      </c>
      <c r="Q160" s="90" t="e">
        <f t="shared" si="157"/>
        <v>#REF!</v>
      </c>
      <c r="R160" s="76" t="e">
        <f>RATE(12,,-E160,Q160)</f>
        <v>#REF!</v>
      </c>
      <c r="S160" s="55"/>
      <c r="T160" s="12">
        <v>0.43099999999999999</v>
      </c>
      <c r="U160" s="12">
        <v>0.43183634674261745</v>
      </c>
      <c r="V160" s="12">
        <v>0.43267431639909548</v>
      </c>
      <c r="W160" s="12">
        <v>0.43351391211866536</v>
      </c>
      <c r="X160" s="12">
        <v>0.43435513705666956</v>
      </c>
      <c r="Y160" s="12">
        <v>0.43519799437457324</v>
      </c>
      <c r="Z160" s="12">
        <v>0.43604248723997657</v>
      </c>
      <c r="AA160" s="12">
        <v>0.43688861882662616</v>
      </c>
      <c r="AB160" s="12">
        <v>0.43773639231442729</v>
      </c>
      <c r="AC160" s="12">
        <v>0.43858581088945586</v>
      </c>
      <c r="AD160" s="12">
        <v>0.43943687774397006</v>
      </c>
      <c r="AE160" s="12">
        <v>0.44028959607642287</v>
      </c>
      <c r="AF160" s="12">
        <v>0.44114396909147369</v>
      </c>
      <c r="AG160" s="12">
        <v>0.44200000000000028</v>
      </c>
    </row>
    <row r="161" spans="1:33" ht="15" hidden="1" thickBot="1" x14ac:dyDescent="0.4">
      <c r="A161" s="153"/>
      <c r="B161" s="56" t="s">
        <v>30</v>
      </c>
      <c r="C161" s="44"/>
      <c r="D161" s="85" t="e">
        <f t="shared" ref="D161:Q161" si="158">D142*T161</f>
        <v>#REF!</v>
      </c>
      <c r="E161" s="85" t="e">
        <f t="shared" si="158"/>
        <v>#REF!</v>
      </c>
      <c r="F161" s="85" t="e">
        <f t="shared" si="158"/>
        <v>#REF!</v>
      </c>
      <c r="G161" s="85" t="e">
        <f t="shared" si="158"/>
        <v>#REF!</v>
      </c>
      <c r="H161" s="85" t="e">
        <f t="shared" si="158"/>
        <v>#REF!</v>
      </c>
      <c r="I161" s="85" t="e">
        <f t="shared" si="158"/>
        <v>#REF!</v>
      </c>
      <c r="J161" s="85" t="e">
        <f t="shared" si="158"/>
        <v>#REF!</v>
      </c>
      <c r="K161" s="85" t="e">
        <f t="shared" si="158"/>
        <v>#REF!</v>
      </c>
      <c r="L161" s="85" t="e">
        <f t="shared" si="158"/>
        <v>#REF!</v>
      </c>
      <c r="M161" s="85" t="e">
        <f t="shared" si="158"/>
        <v>#REF!</v>
      </c>
      <c r="N161" s="85" t="e">
        <f t="shared" si="158"/>
        <v>#REF!</v>
      </c>
      <c r="O161" s="85" t="e">
        <f t="shared" si="158"/>
        <v>#REF!</v>
      </c>
      <c r="P161" s="85" t="e">
        <f t="shared" si="158"/>
        <v>#REF!</v>
      </c>
      <c r="Q161" s="85" t="e">
        <f t="shared" si="158"/>
        <v>#REF!</v>
      </c>
      <c r="R161" s="72" t="e">
        <f>RATE(12,,-E161,Q161)</f>
        <v>#REF!</v>
      </c>
      <c r="S161" s="56"/>
      <c r="T161" s="12">
        <f>1-SUM(T159:T160)</f>
        <v>0.16800000000000004</v>
      </c>
      <c r="U161" s="12">
        <f t="shared" ref="U161:AG161" si="159">1-SUM(U159:U160)</f>
        <v>0.16551274792618309</v>
      </c>
      <c r="V161" s="12">
        <f t="shared" si="159"/>
        <v>0.16301707620929717</v>
      </c>
      <c r="W161" s="12">
        <f t="shared" si="159"/>
        <v>0.16051295371817442</v>
      </c>
      <c r="X161" s="12">
        <f t="shared" si="159"/>
        <v>0.15800034920033545</v>
      </c>
      <c r="Y161" s="12">
        <f t="shared" si="159"/>
        <v>0.15547923128150276</v>
      </c>
      <c r="Z161" s="12">
        <f t="shared" si="159"/>
        <v>0.15294956846511254</v>
      </c>
      <c r="AA161" s="12">
        <f t="shared" si="159"/>
        <v>0.15041132913182498</v>
      </c>
      <c r="AB161" s="12">
        <f t="shared" si="159"/>
        <v>0.14786448153903209</v>
      </c>
      <c r="AC161" s="12">
        <f t="shared" si="159"/>
        <v>0.14530899382036322</v>
      </c>
      <c r="AD161" s="12">
        <f t="shared" si="159"/>
        <v>0.14274483398518978</v>
      </c>
      <c r="AE161" s="12">
        <f t="shared" si="159"/>
        <v>0.14017196991812608</v>
      </c>
      <c r="AF161" s="12">
        <f t="shared" si="159"/>
        <v>0.13759036937852986</v>
      </c>
      <c r="AG161" s="12">
        <f t="shared" si="159"/>
        <v>0.13500000000000034</v>
      </c>
    </row>
    <row r="162" spans="1:33" ht="15.5" x14ac:dyDescent="0.35">
      <c r="A162" s="42"/>
      <c r="B162" s="43"/>
      <c r="C162" s="93"/>
      <c r="D162" s="91">
        <v>2023</v>
      </c>
      <c r="E162" s="65">
        <v>2024</v>
      </c>
      <c r="F162" s="65">
        <v>2025</v>
      </c>
      <c r="G162" s="65">
        <v>2026</v>
      </c>
      <c r="H162" s="65">
        <v>2027</v>
      </c>
      <c r="I162" s="65">
        <v>2028</v>
      </c>
      <c r="J162" s="65">
        <v>2029</v>
      </c>
      <c r="K162" s="65">
        <v>2030</v>
      </c>
      <c r="L162" s="65">
        <v>2031</v>
      </c>
      <c r="M162" s="65">
        <v>2032</v>
      </c>
      <c r="N162" s="65">
        <v>2033</v>
      </c>
      <c r="O162" s="65">
        <v>2034</v>
      </c>
      <c r="P162" s="65">
        <v>2035</v>
      </c>
      <c r="Q162" s="65">
        <v>2036</v>
      </c>
      <c r="R162" s="66" t="s">
        <v>84</v>
      </c>
    </row>
    <row r="163" spans="1:33" ht="16" thickBot="1" x14ac:dyDescent="0.4">
      <c r="A163" s="1"/>
      <c r="C163" s="21"/>
      <c r="D163" s="92">
        <f>'Market Analysis '!C63</f>
        <v>81.913650000000075</v>
      </c>
      <c r="E163" s="92">
        <f>'Market Analysis '!D63</f>
        <v>88.548655650000072</v>
      </c>
      <c r="F163" s="92">
        <f>'Market Analysis '!E63</f>
        <v>95.777614289798748</v>
      </c>
      <c r="G163" s="92">
        <f>'Market Analysis '!F63</f>
        <v>103.65834580344254</v>
      </c>
      <c r="H163" s="92">
        <f>'Market Analysis '!G63</f>
        <v>112.25472451202864</v>
      </c>
      <c r="I163" s="92">
        <f>'Market Analysis '!H63</f>
        <v>121.63735565165177</v>
      </c>
      <c r="J163" s="92">
        <f>'Market Analysis '!I63</f>
        <v>131.88433200418942</v>
      </c>
      <c r="K163" s="92">
        <f>'Market Analysis '!J63</f>
        <v>143.08208070186211</v>
      </c>
      <c r="L163" s="92">
        <f>'Market Analysis '!K63</f>
        <v>155.32631154307853</v>
      </c>
      <c r="M163" s="92">
        <f>'Market Analysis '!L63</f>
        <v>168.72307965479678</v>
      </c>
      <c r="N163" s="92">
        <f>'Market Analysis '!M63</f>
        <v>183.38997704153218</v>
      </c>
      <c r="O163" s="92">
        <f>'Market Analysis '!N63</f>
        <v>199.45746950313699</v>
      </c>
      <c r="P163" s="92">
        <f>'Market Analysis '!O63</f>
        <v>217.07039761699141</v>
      </c>
      <c r="Q163" s="92">
        <f>'Market Analysis '!P63</f>
        <v>236.38966300490364</v>
      </c>
      <c r="R163" s="68">
        <f t="shared" ref="R163:R168" si="160">RATE(9,,-H163,Q163)</f>
        <v>8.6265493012898722E-2</v>
      </c>
      <c r="T163" s="65">
        <v>2023</v>
      </c>
      <c r="U163" s="65">
        <v>2024</v>
      </c>
      <c r="V163" s="65">
        <v>2025</v>
      </c>
      <c r="W163" s="65">
        <v>2026</v>
      </c>
      <c r="X163" s="65">
        <v>2027</v>
      </c>
      <c r="Y163" s="65">
        <v>2028</v>
      </c>
      <c r="Z163" s="65">
        <v>2029</v>
      </c>
      <c r="AA163" s="65">
        <v>2030</v>
      </c>
      <c r="AB163" s="65">
        <v>2031</v>
      </c>
      <c r="AC163" s="65">
        <v>2032</v>
      </c>
      <c r="AD163" s="65">
        <v>2033</v>
      </c>
      <c r="AE163" s="65">
        <v>2034</v>
      </c>
      <c r="AF163" s="65">
        <v>2035</v>
      </c>
      <c r="AG163" s="65">
        <v>2036</v>
      </c>
    </row>
    <row r="164" spans="1:33" s="121" customFormat="1" x14ac:dyDescent="0.35">
      <c r="A164" s="147" t="s">
        <v>59</v>
      </c>
      <c r="B164" s="118" t="s">
        <v>60</v>
      </c>
      <c r="C164" s="119"/>
      <c r="D164" s="120">
        <f>D163*T164</f>
        <v>28.66977750000002</v>
      </c>
      <c r="E164" s="120">
        <f t="shared" ref="E164" si="161">E163*U164</f>
        <v>31.312009165948076</v>
      </c>
      <c r="F164" s="120">
        <f>F163*V164</f>
        <v>34.217942912338799</v>
      </c>
      <c r="G164" s="120">
        <f t="shared" ref="G164:Q164" si="162">G163*W164</f>
        <v>37.415803438002335</v>
      </c>
      <c r="H164" s="120">
        <f t="shared" si="162"/>
        <v>40.937031652400847</v>
      </c>
      <c r="I164" s="120">
        <f t="shared" si="162"/>
        <v>44.81667261945001</v>
      </c>
      <c r="J164" s="120">
        <f t="shared" si="162"/>
        <v>49.093812805867252</v>
      </c>
      <c r="K164" s="120">
        <f t="shared" si="162"/>
        <v>53.812073211048627</v>
      </c>
      <c r="L164" s="120">
        <f t="shared" si="162"/>
        <v>59.020165873347693</v>
      </c>
      <c r="M164" s="120">
        <f t="shared" si="162"/>
        <v>64.772522299142565</v>
      </c>
      <c r="N164" s="120">
        <f t="shared" si="162"/>
        <v>71.130003566482515</v>
      </c>
      <c r="O164" s="120">
        <f t="shared" si="162"/>
        <v>78.160703237841233</v>
      </c>
      <c r="P164" s="120">
        <f t="shared" si="162"/>
        <v>85.94085580371609</v>
      </c>
      <c r="Q164" s="120">
        <f t="shared" si="162"/>
        <v>94.555865201961481</v>
      </c>
      <c r="R164" s="68">
        <f t="shared" si="160"/>
        <v>9.7480728008901618E-2</v>
      </c>
      <c r="S164" s="118" t="s">
        <v>60</v>
      </c>
      <c r="T164" s="116">
        <v>0.34999999999999992</v>
      </c>
      <c r="U164" s="116">
        <v>0.35361360300841621</v>
      </c>
      <c r="V164" s="116">
        <v>0.35726451495026795</v>
      </c>
      <c r="W164" s="116">
        <v>0.36095312102462412</v>
      </c>
      <c r="X164" s="116">
        <v>0.36467981040757214</v>
      </c>
      <c r="Y164" s="116">
        <v>0.36844497629327921</v>
      </c>
      <c r="Z164" s="116">
        <v>0.37224901593547705</v>
      </c>
      <c r="AA164" s="116">
        <v>0.37609233068937542</v>
      </c>
      <c r="AB164" s="116">
        <v>0.37997532605400802</v>
      </c>
      <c r="AC164" s="116">
        <v>0.38389841171501571</v>
      </c>
      <c r="AD164" s="116">
        <v>0.38786200158787171</v>
      </c>
      <c r="AE164" s="116">
        <v>0.39186651386155258</v>
      </c>
      <c r="AF164" s="116">
        <v>0.39591237104266019</v>
      </c>
      <c r="AG164" s="116">
        <v>0.40000000000000013</v>
      </c>
    </row>
    <row r="165" spans="1:33" s="117" customFormat="1" x14ac:dyDescent="0.35">
      <c r="A165" s="148"/>
      <c r="B165" s="113" t="s">
        <v>61</v>
      </c>
      <c r="C165" s="114"/>
      <c r="D165" s="115">
        <f>D163*T165</f>
        <v>24.574095000000025</v>
      </c>
      <c r="E165" s="115">
        <f t="shared" ref="E165:Q165" si="163">E163*U165</f>
        <v>26.578177826838939</v>
      </c>
      <c r="F165" s="115">
        <f t="shared" si="163"/>
        <v>28.762671540892008</v>
      </c>
      <c r="G165" s="115">
        <f t="shared" si="163"/>
        <v>31.145223861969573</v>
      </c>
      <c r="H165" s="115">
        <f t="shared" si="163"/>
        <v>33.745338365916602</v>
      </c>
      <c r="I165" s="115">
        <f t="shared" si="163"/>
        <v>36.584582645439916</v>
      </c>
      <c r="J165" s="115">
        <f t="shared" si="163"/>
        <v>39.686821221945145</v>
      </c>
      <c r="K165" s="115">
        <f t="shared" si="163"/>
        <v>43.078476312883275</v>
      </c>
      <c r="L165" s="115">
        <f t="shared" si="163"/>
        <v>46.78881996821471</v>
      </c>
      <c r="M165" s="115">
        <f t="shared" si="163"/>
        <v>50.850301555155241</v>
      </c>
      <c r="N165" s="115">
        <f t="shared" si="163"/>
        <v>55.298915100506477</v>
      </c>
      <c r="O165" s="115">
        <f t="shared" si="163"/>
        <v>60.174611603942388</v>
      </c>
      <c r="P165" s="115">
        <f t="shared" si="163"/>
        <v>65.521762124388587</v>
      </c>
      <c r="Q165" s="115">
        <f t="shared" si="163"/>
        <v>71.389678227480971</v>
      </c>
      <c r="R165" s="68">
        <f t="shared" si="160"/>
        <v>8.6820845497383947E-2</v>
      </c>
      <c r="S165" s="113" t="s">
        <v>61</v>
      </c>
      <c r="T165" s="116">
        <v>0.30000000000000004</v>
      </c>
      <c r="U165" s="116">
        <v>0.30015337479422161</v>
      </c>
      <c r="V165" s="116">
        <v>0.30030682800120145</v>
      </c>
      <c r="W165" s="116">
        <v>0.30046035966102813</v>
      </c>
      <c r="X165" s="116">
        <v>0.30061396981381056</v>
      </c>
      <c r="Y165" s="116">
        <v>0.30076765849967829</v>
      </c>
      <c r="Z165" s="116">
        <v>0.30092142575878128</v>
      </c>
      <c r="AA165" s="116">
        <v>0.30107527163128989</v>
      </c>
      <c r="AB165" s="116">
        <v>0.30122919615739541</v>
      </c>
      <c r="AC165" s="116">
        <v>0.30138319937730923</v>
      </c>
      <c r="AD165" s="116">
        <v>0.30153728133126367</v>
      </c>
      <c r="AE165" s="116">
        <v>0.30169144205951126</v>
      </c>
      <c r="AF165" s="116">
        <v>0.3018456816023255</v>
      </c>
      <c r="AG165" s="116">
        <v>0.30200000000000032</v>
      </c>
    </row>
    <row r="166" spans="1:33" s="117" customFormat="1" x14ac:dyDescent="0.35">
      <c r="A166" s="148"/>
      <c r="B166" s="113" t="s">
        <v>62</v>
      </c>
      <c r="C166" s="114"/>
      <c r="D166" s="115">
        <f>D163*T166</f>
        <v>12.287047500000011</v>
      </c>
      <c r="E166" s="115">
        <f t="shared" ref="E166:Q166" si="164">E163*U166</f>
        <v>13.302546411757604</v>
      </c>
      <c r="F166" s="115">
        <f t="shared" si="164"/>
        <v>14.410477692547103</v>
      </c>
      <c r="G166" s="115">
        <f t="shared" si="164"/>
        <v>15.619969736262947</v>
      </c>
      <c r="H166" s="115">
        <f t="shared" si="164"/>
        <v>16.941119041049063</v>
      </c>
      <c r="I166" s="115">
        <f t="shared" si="164"/>
        <v>18.385099626984267</v>
      </c>
      <c r="J166" s="115">
        <f t="shared" si="164"/>
        <v>19.96428555477922</v>
      </c>
      <c r="K166" s="115">
        <f t="shared" si="164"/>
        <v>21.692388199319552</v>
      </c>
      <c r="L166" s="115">
        <f t="shared" si="164"/>
        <v>23.584610151135266</v>
      </c>
      <c r="M166" s="115">
        <f t="shared" si="164"/>
        <v>25.657817868542967</v>
      </c>
      <c r="N166" s="115">
        <f t="shared" si="164"/>
        <v>27.930735487700463</v>
      </c>
      <c r="O166" s="115">
        <f t="shared" si="164"/>
        <v>30.424162522202181</v>
      </c>
      <c r="P166" s="115">
        <f t="shared" si="164"/>
        <v>33.161218553966563</v>
      </c>
      <c r="Q166" s="115">
        <f t="shared" si="164"/>
        <v>36.167618439750207</v>
      </c>
      <c r="R166" s="68">
        <f t="shared" si="160"/>
        <v>8.7921439356934694E-2</v>
      </c>
      <c r="S166" s="113" t="s">
        <v>62</v>
      </c>
      <c r="T166" s="116">
        <v>0.15</v>
      </c>
      <c r="U166" s="116">
        <v>0.15022866597023929</v>
      </c>
      <c r="V166" s="116">
        <v>0.15045768052798492</v>
      </c>
      <c r="W166" s="116">
        <v>0.15068704420463749</v>
      </c>
      <c r="X166" s="116">
        <v>0.15091675753240782</v>
      </c>
      <c r="Y166" s="116">
        <v>0.15114682104431795</v>
      </c>
      <c r="Z166" s="116">
        <v>0.15137723527420252</v>
      </c>
      <c r="AA166" s="116">
        <v>0.15160800075670999</v>
      </c>
      <c r="AB166" s="116">
        <v>0.15183911802730382</v>
      </c>
      <c r="AC166" s="116">
        <v>0.1520705876222638</v>
      </c>
      <c r="AD166" s="116">
        <v>0.15230241007868719</v>
      </c>
      <c r="AE166" s="116">
        <v>0.15253458593449007</v>
      </c>
      <c r="AF166" s="116">
        <v>0.15276711572840845</v>
      </c>
      <c r="AG166" s="116">
        <v>0.15299999999999978</v>
      </c>
    </row>
    <row r="167" spans="1:33" s="117" customFormat="1" x14ac:dyDescent="0.35">
      <c r="A167" s="148"/>
      <c r="B167" s="113" t="s">
        <v>63</v>
      </c>
      <c r="C167" s="114"/>
      <c r="D167" s="115">
        <f>D163*T167</f>
        <v>9.8296380000000116</v>
      </c>
      <c r="E167" s="115">
        <f t="shared" ref="E167:Q167" si="165">E163*U167</f>
        <v>10.639357862896988</v>
      </c>
      <c r="F167" s="115">
        <f t="shared" si="165"/>
        <v>11.522578054754399</v>
      </c>
      <c r="G167" s="115">
        <f t="shared" si="165"/>
        <v>12.486540108405016</v>
      </c>
      <c r="H167" s="115">
        <f t="shared" si="165"/>
        <v>13.53925193984027</v>
      </c>
      <c r="I167" s="115">
        <f t="shared" si="165"/>
        <v>14.689574302890243</v>
      </c>
      <c r="J167" s="115">
        <f t="shared" si="165"/>
        <v>15.947317577563572</v>
      </c>
      <c r="K167" s="115">
        <f t="shared" si="165"/>
        <v>17.323350194458058</v>
      </c>
      <c r="L167" s="115">
        <f t="shared" si="165"/>
        <v>18.829720170054685</v>
      </c>
      <c r="M167" s="115">
        <f t="shared" si="165"/>
        <v>20.479791423997668</v>
      </c>
      <c r="N167" s="115">
        <f t="shared" si="165"/>
        <v>22.288396773095933</v>
      </c>
      <c r="O167" s="115">
        <f t="shared" si="165"/>
        <v>24.27200975173238</v>
      </c>
      <c r="P167" s="115">
        <f t="shared" si="165"/>
        <v>26.448937699212667</v>
      </c>
      <c r="Q167" s="115">
        <f t="shared" si="165"/>
        <v>28.839538886598206</v>
      </c>
      <c r="R167" s="68">
        <f t="shared" si="160"/>
        <v>8.7647541471476076E-2</v>
      </c>
      <c r="S167" s="113" t="s">
        <v>63</v>
      </c>
      <c r="T167" s="116">
        <v>0.12000000000000002</v>
      </c>
      <c r="U167" s="116">
        <v>0.12015267521339246</v>
      </c>
      <c r="V167" s="116">
        <v>0.12030554467445809</v>
      </c>
      <c r="W167" s="116">
        <v>0.12045860863033696</v>
      </c>
      <c r="X167" s="116">
        <v>0.12061186732848356</v>
      </c>
      <c r="Y167" s="116">
        <v>0.12076532101666719</v>
      </c>
      <c r="Z167" s="116">
        <v>0.1209189699429724</v>
      </c>
      <c r="AA167" s="116">
        <v>0.12107281435579939</v>
      </c>
      <c r="AB167" s="116">
        <v>0.12122685450386435</v>
      </c>
      <c r="AC167" s="116">
        <v>0.12138109063619994</v>
      </c>
      <c r="AD167" s="116">
        <v>0.12153552300215566</v>
      </c>
      <c r="AE167" s="116">
        <v>0.12169015185139827</v>
      </c>
      <c r="AF167" s="116">
        <v>0.12184497743391219</v>
      </c>
      <c r="AG167" s="116">
        <v>0.12199999999999984</v>
      </c>
    </row>
    <row r="168" spans="1:33" s="117" customFormat="1" x14ac:dyDescent="0.35">
      <c r="A168" s="148"/>
      <c r="B168" s="113" t="s">
        <v>64</v>
      </c>
      <c r="C168" s="114"/>
      <c r="D168" s="115">
        <f>D163*T168</f>
        <v>6.5530920000000119</v>
      </c>
      <c r="E168" s="115">
        <f t="shared" ref="E168:G168" si="166">E163*U168</f>
        <v>6.7165643825584622</v>
      </c>
      <c r="F168" s="115">
        <f t="shared" si="166"/>
        <v>6.8639440892664423</v>
      </c>
      <c r="G168" s="115">
        <f t="shared" si="166"/>
        <v>6.990808658802675</v>
      </c>
      <c r="H168" s="115">
        <f>H163*X168</f>
        <v>7.0919835128218489</v>
      </c>
      <c r="I168" s="115">
        <f t="shared" ref="I168:Q168" si="167">I163*Y168</f>
        <v>7.1614264568873471</v>
      </c>
      <c r="J168" s="115">
        <f t="shared" si="167"/>
        <v>7.1920948440342283</v>
      </c>
      <c r="K168" s="115">
        <f t="shared" si="167"/>
        <v>7.1757927841525957</v>
      </c>
      <c r="L168" s="115">
        <f t="shared" si="167"/>
        <v>7.1029953803261821</v>
      </c>
      <c r="M168" s="115">
        <f t="shared" si="167"/>
        <v>6.9626465079583255</v>
      </c>
      <c r="N168" s="115">
        <f t="shared" si="167"/>
        <v>6.7419261137468158</v>
      </c>
      <c r="O168" s="115">
        <f t="shared" si="167"/>
        <v>6.425982387418796</v>
      </c>
      <c r="P168" s="115">
        <f t="shared" si="167"/>
        <v>5.9976234357075198</v>
      </c>
      <c r="Q168" s="115">
        <f t="shared" si="167"/>
        <v>5.4369622491127627</v>
      </c>
      <c r="R168" s="68">
        <f t="shared" si="160"/>
        <v>-2.9095506361046786E-2</v>
      </c>
      <c r="S168" s="113" t="s">
        <v>64</v>
      </c>
      <c r="T168" s="116">
        <f>1-SUM(T164:T167)</f>
        <v>8.0000000000000071E-2</v>
      </c>
      <c r="U168" s="116">
        <f t="shared" ref="U168:AG168" si="168">1-SUM(U164:U167)</f>
        <v>7.585168101373041E-2</v>
      </c>
      <c r="V168" s="116">
        <f t="shared" si="168"/>
        <v>7.1665431846087646E-2</v>
      </c>
      <c r="W168" s="116">
        <f t="shared" si="168"/>
        <v>6.7440866479373307E-2</v>
      </c>
      <c r="X168" s="116">
        <f t="shared" si="168"/>
        <v>6.3177594917725788E-2</v>
      </c>
      <c r="Y168" s="116">
        <f t="shared" si="168"/>
        <v>5.887522314605742E-2</v>
      </c>
      <c r="Z168" s="116">
        <f t="shared" si="168"/>
        <v>5.4533353088566772E-2</v>
      </c>
      <c r="AA168" s="116">
        <f t="shared" si="168"/>
        <v>5.0151582566825281E-2</v>
      </c>
      <c r="AB168" s="116">
        <f t="shared" si="168"/>
        <v>4.5729505257428471E-2</v>
      </c>
      <c r="AC168" s="116">
        <f t="shared" si="168"/>
        <v>4.126671064921128E-2</v>
      </c>
      <c r="AD168" s="116">
        <f t="shared" si="168"/>
        <v>3.6762784000021864E-2</v>
      </c>
      <c r="AE168" s="116">
        <f t="shared" si="168"/>
        <v>3.2217306293047754E-2</v>
      </c>
      <c r="AF168" s="116">
        <f t="shared" si="168"/>
        <v>2.7629854192693704E-2</v>
      </c>
      <c r="AG168" s="116">
        <f t="shared" si="168"/>
        <v>2.2999999999999909E-2</v>
      </c>
    </row>
    <row r="169" spans="1:33" x14ac:dyDescent="0.35">
      <c r="A169" s="1"/>
      <c r="D169" s="81" t="b">
        <f>D163=SUM(D164:D168)</f>
        <v>1</v>
      </c>
      <c r="E169" s="81" t="b">
        <f t="shared" ref="E169:Q169" si="169">E163=SUM(E164:E168)</f>
        <v>1</v>
      </c>
      <c r="F169" s="81" t="b">
        <f t="shared" si="169"/>
        <v>1</v>
      </c>
      <c r="G169" s="81" t="b">
        <f t="shared" si="169"/>
        <v>1</v>
      </c>
      <c r="H169" s="81" t="b">
        <f t="shared" si="169"/>
        <v>1</v>
      </c>
      <c r="I169" s="81" t="b">
        <f t="shared" si="169"/>
        <v>1</v>
      </c>
      <c r="J169" s="81" t="b">
        <f t="shared" si="169"/>
        <v>1</v>
      </c>
      <c r="K169" s="81" t="b">
        <f t="shared" si="169"/>
        <v>1</v>
      </c>
      <c r="L169" s="81" t="b">
        <f t="shared" si="169"/>
        <v>1</v>
      </c>
      <c r="M169" s="81" t="b">
        <f t="shared" si="169"/>
        <v>1</v>
      </c>
      <c r="N169" s="81" t="b">
        <f t="shared" si="169"/>
        <v>1</v>
      </c>
      <c r="O169" s="81" t="b">
        <f t="shared" si="169"/>
        <v>1</v>
      </c>
      <c r="P169" s="81" t="b">
        <f t="shared" si="169"/>
        <v>1</v>
      </c>
      <c r="Q169" s="81" t="b">
        <f t="shared" si="169"/>
        <v>1</v>
      </c>
      <c r="R169" s="21"/>
    </row>
    <row r="170" spans="1:33" s="117" customFormat="1" x14ac:dyDescent="0.35">
      <c r="A170" s="149" t="s">
        <v>65</v>
      </c>
      <c r="B170" s="122" t="s">
        <v>66</v>
      </c>
      <c r="C170" s="123"/>
      <c r="D170" s="124">
        <f>D163*T170</f>
        <v>57.339555000000061</v>
      </c>
      <c r="E170" s="124">
        <f t="shared" ref="E170:Q170" si="170">E163*U170</f>
        <v>62.018004365265774</v>
      </c>
      <c r="F170" s="124">
        <f t="shared" si="170"/>
        <v>67.117783419988285</v>
      </c>
      <c r="G170" s="124">
        <f t="shared" si="170"/>
        <v>72.680120636062483</v>
      </c>
      <c r="H170" s="124">
        <f t="shared" si="170"/>
        <v>78.750581442448208</v>
      </c>
      <c r="I170" s="124">
        <f t="shared" si="170"/>
        <v>85.379554810459396</v>
      </c>
      <c r="J170" s="124">
        <f t="shared" si="170"/>
        <v>92.622797710140347</v>
      </c>
      <c r="K170" s="124">
        <f t="shared" si="170"/>
        <v>100.54204469813176</v>
      </c>
      <c r="L170" s="124">
        <f t="shared" si="170"/>
        <v>109.205690854401</v>
      </c>
      <c r="M170" s="124">
        <f t="shared" si="170"/>
        <v>118.68955737425756</v>
      </c>
      <c r="N170" s="124">
        <f t="shared" si="170"/>
        <v>129.07775036221599</v>
      </c>
      <c r="O170" s="124">
        <f t="shared" si="170"/>
        <v>140.46362478739692</v>
      </c>
      <c r="P170" s="124">
        <f t="shared" si="170"/>
        <v>152.95086717145099</v>
      </c>
      <c r="Q170" s="124">
        <f t="shared" si="170"/>
        <v>166.65471241845736</v>
      </c>
      <c r="R170" s="68">
        <f>RATE(9,,-H170,Q170)</f>
        <v>8.6860383508857247E-2</v>
      </c>
      <c r="S170" s="122" t="s">
        <v>66</v>
      </c>
      <c r="T170" s="116">
        <v>0.70000000000000007</v>
      </c>
      <c r="U170" s="116">
        <v>0.70038335319736411</v>
      </c>
      <c r="V170" s="116">
        <v>0.70076691633711929</v>
      </c>
      <c r="W170" s="116">
        <v>0.70115068953424042</v>
      </c>
      <c r="X170" s="116">
        <v>0.70153467290376448</v>
      </c>
      <c r="Y170" s="116">
        <v>0.70191886656079228</v>
      </c>
      <c r="Z170" s="116">
        <v>0.70230327062048659</v>
      </c>
      <c r="AA170" s="116">
        <v>0.70268788519807479</v>
      </c>
      <c r="AB170" s="116">
        <v>0.70307271040884567</v>
      </c>
      <c r="AC170" s="116">
        <v>0.70345774636815217</v>
      </c>
      <c r="AD170" s="116">
        <v>0.70384299319141008</v>
      </c>
      <c r="AE170" s="116">
        <v>0.70422845099409903</v>
      </c>
      <c r="AF170" s="116">
        <v>0.70461411989176093</v>
      </c>
      <c r="AG170" s="116">
        <v>0.70500000000000129</v>
      </c>
    </row>
    <row r="171" spans="1:33" s="117" customFormat="1" x14ac:dyDescent="0.35">
      <c r="A171" s="149"/>
      <c r="B171" s="122" t="s">
        <v>67</v>
      </c>
      <c r="C171" s="123"/>
      <c r="D171" s="124">
        <f>D163*T171</f>
        <v>16.382730000000016</v>
      </c>
      <c r="E171" s="124">
        <f t="shared" ref="E171:Q171" si="171">E163*U171</f>
        <v>17.723291525436043</v>
      </c>
      <c r="F171" s="124">
        <f t="shared" si="171"/>
        <v>19.184868974057284</v>
      </c>
      <c r="G171" s="124">
        <f t="shared" si="171"/>
        <v>20.779328542962464</v>
      </c>
      <c r="H171" s="124">
        <f t="shared" si="171"/>
        <v>22.519786950268116</v>
      </c>
      <c r="I171" s="124">
        <f t="shared" si="171"/>
        <v>24.420751968081241</v>
      </c>
      <c r="J171" s="124">
        <f t="shared" si="171"/>
        <v>26.498279694576102</v>
      </c>
      <c r="K171" s="124">
        <f t="shared" si="171"/>
        <v>28.770150668138875</v>
      </c>
      <c r="L171" s="124">
        <f t="shared" si="171"/>
        <v>31.25606720408669</v>
      </c>
      <c r="M171" s="124">
        <f t="shared" si="171"/>
        <v>33.977874650359013</v>
      </c>
      <c r="N171" s="124">
        <f t="shared" si="171"/>
        <v>36.959809618352239</v>
      </c>
      <c r="O171" s="124">
        <f t="shared" si="171"/>
        <v>40.228778655084461</v>
      </c>
      <c r="P171" s="124">
        <f t="shared" si="171"/>
        <v>43.814671290460389</v>
      </c>
      <c r="Q171" s="124">
        <f t="shared" si="171"/>
        <v>47.750711926990611</v>
      </c>
      <c r="R171" s="68">
        <f>RATE(9,,-H171,Q171)</f>
        <v>8.7097249826889836E-2</v>
      </c>
      <c r="S171" s="122" t="s">
        <v>67</v>
      </c>
      <c r="T171" s="116">
        <v>0.20000000000000004</v>
      </c>
      <c r="U171" s="116">
        <v>0.2001531406133327</v>
      </c>
      <c r="V171" s="116">
        <v>0.2003063984869026</v>
      </c>
      <c r="W171" s="116">
        <v>0.20045977371049628</v>
      </c>
      <c r="X171" s="116">
        <v>0.20061326637396906</v>
      </c>
      <c r="Y171" s="116">
        <v>0.2007668765672449</v>
      </c>
      <c r="Z171" s="116">
        <v>0.20092060438031684</v>
      </c>
      <c r="AA171" s="116">
        <v>0.20107444990324672</v>
      </c>
      <c r="AB171" s="116">
        <v>0.20122841322616528</v>
      </c>
      <c r="AC171" s="116">
        <v>0.20138249443927231</v>
      </c>
      <c r="AD171" s="116">
        <v>0.20153669363283677</v>
      </c>
      <c r="AE171" s="116">
        <v>0.2016910108971966</v>
      </c>
      <c r="AF171" s="116">
        <v>0.20184544632275897</v>
      </c>
      <c r="AG171" s="116">
        <v>0.20200000000000032</v>
      </c>
    </row>
    <row r="172" spans="1:33" s="117" customFormat="1" x14ac:dyDescent="0.35">
      <c r="A172" s="149"/>
      <c r="B172" s="122" t="s">
        <v>68</v>
      </c>
      <c r="C172" s="123"/>
      <c r="D172" s="124">
        <f>D163*T172</f>
        <v>8.1913649999999958</v>
      </c>
      <c r="E172" s="124">
        <f t="shared" ref="E172:L172" si="172">E163*U172</f>
        <v>8.8073597592982615</v>
      </c>
      <c r="F172" s="124">
        <f t="shared" si="172"/>
        <v>9.4749618957531858</v>
      </c>
      <c r="G172" s="124">
        <f t="shared" si="172"/>
        <v>10.198896624417603</v>
      </c>
      <c r="H172" s="124">
        <f t="shared" si="172"/>
        <v>10.984356119312324</v>
      </c>
      <c r="I172" s="124">
        <f t="shared" si="172"/>
        <v>11.83704887311114</v>
      </c>
      <c r="J172" s="124">
        <f t="shared" si="172"/>
        <v>12.763254599472969</v>
      </c>
      <c r="K172" s="124">
        <f t="shared" si="172"/>
        <v>13.769885335591475</v>
      </c>
      <c r="L172" s="124">
        <f t="shared" si="172"/>
        <v>14.864553484590848</v>
      </c>
      <c r="M172" s="124">
        <f>M163*AC172</f>
        <v>16.055647630180189</v>
      </c>
      <c r="N172" s="124">
        <f t="shared" ref="N172:Q172" si="173">N163*AD172</f>
        <v>17.352417060963955</v>
      </c>
      <c r="O172" s="124">
        <f t="shared" si="173"/>
        <v>18.765066060655631</v>
      </c>
      <c r="P172" s="124">
        <f t="shared" si="173"/>
        <v>20.304859155080035</v>
      </c>
      <c r="Q172" s="124">
        <f t="shared" si="173"/>
        <v>21.984238659455663</v>
      </c>
      <c r="R172" s="68">
        <f>RATE(9,,-H172,Q172)</f>
        <v>8.0144527136725971E-2</v>
      </c>
      <c r="S172" s="122" t="s">
        <v>68</v>
      </c>
      <c r="T172" s="116">
        <f>1-SUM(T170:T171)</f>
        <v>9.9999999999999867E-2</v>
      </c>
      <c r="U172" s="116">
        <f t="shared" ref="U172:AG172" si="174">1-SUM(U170:U171)</f>
        <v>9.9463506189303219E-2</v>
      </c>
      <c r="V172" s="116">
        <f t="shared" si="174"/>
        <v>9.8926685175978135E-2</v>
      </c>
      <c r="W172" s="116">
        <f t="shared" si="174"/>
        <v>9.8389536755263296E-2</v>
      </c>
      <c r="X172" s="116">
        <f t="shared" si="174"/>
        <v>9.7852060722266487E-2</v>
      </c>
      <c r="Y172" s="116">
        <f t="shared" si="174"/>
        <v>9.7314256871962823E-2</v>
      </c>
      <c r="Z172" s="116">
        <f t="shared" si="174"/>
        <v>9.6776124999196522E-2</v>
      </c>
      <c r="AA172" s="116">
        <f t="shared" si="174"/>
        <v>9.6237664898678466E-2</v>
      </c>
      <c r="AB172" s="116">
        <f t="shared" si="174"/>
        <v>9.5698876364989083E-2</v>
      </c>
      <c r="AC172" s="116">
        <f t="shared" si="174"/>
        <v>9.5159759192575466E-2</v>
      </c>
      <c r="AD172" s="116">
        <f t="shared" si="174"/>
        <v>9.4620313175753146E-2</v>
      </c>
      <c r="AE172" s="116">
        <f t="shared" si="174"/>
        <v>9.4080538108704426E-2</v>
      </c>
      <c r="AF172" s="116">
        <f t="shared" si="174"/>
        <v>9.3540433785480159E-2</v>
      </c>
      <c r="AG172" s="116">
        <f t="shared" si="174"/>
        <v>9.2999999999998417E-2</v>
      </c>
    </row>
    <row r="173" spans="1:33" x14ac:dyDescent="0.35">
      <c r="A173" s="1"/>
      <c r="D173" s="81" t="b">
        <f>D163=SUM(D170:D172)</f>
        <v>1</v>
      </c>
      <c r="E173" s="81" t="b">
        <f t="shared" ref="E173:Q173" si="175">E163=SUM(E170:E172)</f>
        <v>1</v>
      </c>
      <c r="F173" s="81" t="b">
        <f t="shared" si="175"/>
        <v>1</v>
      </c>
      <c r="G173" s="81" t="b">
        <f t="shared" si="175"/>
        <v>1</v>
      </c>
      <c r="H173" s="81" t="b">
        <f t="shared" si="175"/>
        <v>1</v>
      </c>
      <c r="I173" s="81" t="b">
        <f t="shared" si="175"/>
        <v>1</v>
      </c>
      <c r="J173" s="81" t="b">
        <f t="shared" si="175"/>
        <v>1</v>
      </c>
      <c r="K173" s="81" t="b">
        <f t="shared" si="175"/>
        <v>1</v>
      </c>
      <c r="L173" s="81" t="b">
        <f t="shared" si="175"/>
        <v>1</v>
      </c>
      <c r="M173" s="81" t="b">
        <f t="shared" si="175"/>
        <v>1</v>
      </c>
      <c r="N173" s="81" t="b">
        <f t="shared" si="175"/>
        <v>1</v>
      </c>
      <c r="O173" s="81" t="b">
        <f t="shared" si="175"/>
        <v>1</v>
      </c>
      <c r="P173" s="81" t="b">
        <f t="shared" si="175"/>
        <v>1</v>
      </c>
      <c r="Q173" s="81" t="b">
        <f t="shared" si="175"/>
        <v>1</v>
      </c>
      <c r="R173" s="21"/>
    </row>
    <row r="174" spans="1:33" s="117" customFormat="1" x14ac:dyDescent="0.35">
      <c r="A174" s="149" t="s">
        <v>69</v>
      </c>
      <c r="B174" s="125" t="s">
        <v>70</v>
      </c>
      <c r="C174" s="126"/>
      <c r="D174" s="127">
        <f>D163*T174</f>
        <v>34.403733000000031</v>
      </c>
      <c r="E174" s="127">
        <f t="shared" ref="E174:Q174" si="176">E163*U174</f>
        <v>37.197239334360866</v>
      </c>
      <c r="F174" s="127">
        <f t="shared" si="176"/>
        <v>40.241318198043253</v>
      </c>
      <c r="G174" s="127">
        <f t="shared" si="176"/>
        <v>43.560404519057045</v>
      </c>
      <c r="H174" s="127">
        <f t="shared" si="176"/>
        <v>47.181495781496238</v>
      </c>
      <c r="I174" s="127">
        <f t="shared" si="176"/>
        <v>51.134438742195236</v>
      </c>
      <c r="J174" s="127">
        <f t="shared" si="176"/>
        <v>55.452250161991081</v>
      </c>
      <c r="K174" s="127">
        <f t="shared" si="176"/>
        <v>60.171475809137739</v>
      </c>
      <c r="L174" s="127">
        <f t="shared" si="176"/>
        <v>65.332592552388519</v>
      </c>
      <c r="M174" s="127">
        <f t="shared" si="176"/>
        <v>70.980458998357122</v>
      </c>
      <c r="N174" s="127">
        <f t="shared" si="176"/>
        <v>77.164820853080059</v>
      </c>
      <c r="O174" s="127">
        <f t="shared" si="176"/>
        <v>83.94087801398318</v>
      </c>
      <c r="P174" s="127">
        <f t="shared" si="176"/>
        <v>91.369921340377374</v>
      </c>
      <c r="Q174" s="127">
        <f t="shared" si="176"/>
        <v>99.520048125064392</v>
      </c>
      <c r="R174" s="68">
        <f>RATE(9,,-H174,Q174)</f>
        <v>8.6464224442474882E-2</v>
      </c>
      <c r="S174" s="125" t="s">
        <v>70</v>
      </c>
      <c r="T174" s="116">
        <v>0.42</v>
      </c>
      <c r="U174" s="116">
        <v>0.42007683867486062</v>
      </c>
      <c r="V174" s="116">
        <v>0.4201536914072973</v>
      </c>
      <c r="W174" s="116">
        <v>0.42023055819988187</v>
      </c>
      <c r="X174" s="116">
        <v>0.42030743905518658</v>
      </c>
      <c r="Y174" s="116">
        <v>0.42038433397578434</v>
      </c>
      <c r="Z174" s="116">
        <v>0.42046124296424836</v>
      </c>
      <c r="AA174" s="116">
        <v>0.42053816602315214</v>
      </c>
      <c r="AB174" s="116">
        <v>0.42061510315507006</v>
      </c>
      <c r="AC174" s="116">
        <v>0.42069205436257667</v>
      </c>
      <c r="AD174" s="116">
        <v>0.4207690196482472</v>
      </c>
      <c r="AE174" s="116">
        <v>0.42084599901465702</v>
      </c>
      <c r="AF174" s="116">
        <v>0.42092299246438242</v>
      </c>
      <c r="AG174" s="137">
        <v>0.42099999999999982</v>
      </c>
    </row>
    <row r="175" spans="1:33" s="117" customFormat="1" x14ac:dyDescent="0.35">
      <c r="A175" s="149"/>
      <c r="B175" s="125" t="s">
        <v>71</v>
      </c>
      <c r="C175" s="126"/>
      <c r="D175" s="127">
        <f>D163*T175</f>
        <v>18.840139500000024</v>
      </c>
      <c r="E175" s="127">
        <f t="shared" ref="E175:Q175" si="177">E163*U175</f>
        <v>20.379759298709182</v>
      </c>
      <c r="F175" s="127">
        <f t="shared" si="177"/>
        <v>22.058213480228662</v>
      </c>
      <c r="G175" s="127">
        <f t="shared" si="177"/>
        <v>23.889102656147134</v>
      </c>
      <c r="H175" s="127">
        <f t="shared" si="177"/>
        <v>25.887459549663124</v>
      </c>
      <c r="I175" s="127">
        <f t="shared" si="177"/>
        <v>28.069909815090938</v>
      </c>
      <c r="J175" s="127">
        <f t="shared" si="177"/>
        <v>30.454851999732828</v>
      </c>
      <c r="K175" s="127">
        <f t="shared" si="177"/>
        <v>33.062659051490947</v>
      </c>
      <c r="L175" s="127">
        <f t="shared" si="177"/>
        <v>35.915904092596222</v>
      </c>
      <c r="M175" s="127">
        <f t="shared" si="177"/>
        <v>39.039613540612827</v>
      </c>
      <c r="N175" s="127">
        <f t="shared" si="177"/>
        <v>42.461551068747283</v>
      </c>
      <c r="O175" s="127">
        <f t="shared" si="177"/>
        <v>46.21253636571064</v>
      </c>
      <c r="P175" s="127">
        <f t="shared" si="177"/>
        <v>50.326803189303206</v>
      </c>
      <c r="Q175" s="127">
        <f t="shared" si="177"/>
        <v>54.842401817137684</v>
      </c>
      <c r="R175" s="68">
        <f>RATE(9,,-H175,Q175)</f>
        <v>8.698919203610532E-2</v>
      </c>
      <c r="S175" s="125" t="s">
        <v>71</v>
      </c>
      <c r="T175" s="116">
        <v>0.23000000000000007</v>
      </c>
      <c r="U175" s="116">
        <v>0.230153232131076</v>
      </c>
      <c r="V175" s="116">
        <v>0.23030656634948232</v>
      </c>
      <c r="W175" s="116">
        <v>0.23046000272323239</v>
      </c>
      <c r="X175" s="116">
        <v>0.23061354132038475</v>
      </c>
      <c r="Y175" s="116">
        <v>0.23076718220904338</v>
      </c>
      <c r="Z175" s="116">
        <v>0.23092092545735762</v>
      </c>
      <c r="AA175" s="116">
        <v>0.23107477113352223</v>
      </c>
      <c r="AB175" s="116">
        <v>0.23122871930577729</v>
      </c>
      <c r="AC175" s="116">
        <v>0.23138277004240856</v>
      </c>
      <c r="AD175" s="116">
        <v>0.23153692341174703</v>
      </c>
      <c r="AE175" s="116">
        <v>0.23169117948216938</v>
      </c>
      <c r="AF175" s="116">
        <v>0.23184553832209787</v>
      </c>
      <c r="AG175" s="137">
        <v>0.23200000000000018</v>
      </c>
    </row>
    <row r="176" spans="1:33" s="117" customFormat="1" x14ac:dyDescent="0.35">
      <c r="A176" s="149"/>
      <c r="B176" s="125" t="s">
        <v>72</v>
      </c>
      <c r="C176" s="126"/>
      <c r="D176" s="127">
        <f>D163*T176</f>
        <v>16.382730000000013</v>
      </c>
      <c r="E176" s="127">
        <f t="shared" ref="E176:Q176" si="178">E163*U176</f>
        <v>17.716526896550814</v>
      </c>
      <c r="F176" s="127">
        <f t="shared" si="178"/>
        <v>19.170226800881782</v>
      </c>
      <c r="G176" s="127">
        <f t="shared" si="178"/>
        <v>20.755544450367704</v>
      </c>
      <c r="H176" s="127">
        <f t="shared" si="178"/>
        <v>22.485425205064328</v>
      </c>
      <c r="I176" s="127">
        <f t="shared" si="178"/>
        <v>24.374182947038236</v>
      </c>
      <c r="J176" s="127">
        <f t="shared" si="178"/>
        <v>26.437654362000686</v>
      </c>
      <c r="K176" s="127">
        <f t="shared" si="178"/>
        <v>28.693371656403027</v>
      </c>
      <c r="L176" s="127">
        <f t="shared" si="178"/>
        <v>31.160756033511397</v>
      </c>
      <c r="M176" s="127">
        <f t="shared" si="178"/>
        <v>33.861334559615955</v>
      </c>
      <c r="N176" s="127">
        <f t="shared" si="178"/>
        <v>36.818983401812581</v>
      </c>
      <c r="O176" s="127">
        <f t="shared" si="178"/>
        <v>40.060200817893453</v>
      </c>
      <c r="P176" s="127">
        <f t="shared" si="178"/>
        <v>43.614413733898104</v>
      </c>
      <c r="Q176" s="127">
        <f t="shared" si="178"/>
        <v>47.514322263985569</v>
      </c>
      <c r="R176" s="68">
        <f>RATE(9,,-H176,Q176)</f>
        <v>8.6682326368383675E-2</v>
      </c>
      <c r="S176" s="125" t="s">
        <v>72</v>
      </c>
      <c r="T176" s="116">
        <v>0.19999999999999998</v>
      </c>
      <c r="U176" s="116">
        <v>0.20007674612901705</v>
      </c>
      <c r="V176" s="116">
        <v>0.20015352170787573</v>
      </c>
      <c r="W176" s="116">
        <v>0.2002303267478768</v>
      </c>
      <c r="X176" s="116">
        <v>0.20030716126032544</v>
      </c>
      <c r="Y176" s="116">
        <v>0.20038402525653101</v>
      </c>
      <c r="Z176" s="116">
        <v>0.20046091874780753</v>
      </c>
      <c r="AA176" s="116">
        <v>0.20053784174547304</v>
      </c>
      <c r="AB176" s="116">
        <v>0.20061479426085005</v>
      </c>
      <c r="AC176" s="116">
        <v>0.20069177630526541</v>
      </c>
      <c r="AD176" s="116">
        <v>0.20076878789005037</v>
      </c>
      <c r="AE176" s="116">
        <v>0.20084582902654041</v>
      </c>
      <c r="AF176" s="116">
        <v>0.20092289972607549</v>
      </c>
      <c r="AG176" s="137">
        <v>0.20099999999999973</v>
      </c>
    </row>
    <row r="177" spans="1:33" s="117" customFormat="1" x14ac:dyDescent="0.35">
      <c r="A177" s="149"/>
      <c r="B177" s="125" t="s">
        <v>73</v>
      </c>
      <c r="C177" s="126"/>
      <c r="D177" s="127">
        <f>D163*T177</f>
        <v>8.1913650000000064</v>
      </c>
      <c r="E177" s="127">
        <f t="shared" ref="E177:Q177" si="179">E163*U177</f>
        <v>8.868364274505069</v>
      </c>
      <c r="F177" s="127">
        <f t="shared" si="179"/>
        <v>9.6069851283647338</v>
      </c>
      <c r="G177" s="127">
        <f t="shared" si="179"/>
        <v>10.413313157508631</v>
      </c>
      <c r="H177" s="127">
        <f t="shared" si="179"/>
        <v>11.294079360699376</v>
      </c>
      <c r="I177" s="127">
        <f t="shared" si="179"/>
        <v>12.256733084656179</v>
      </c>
      <c r="J177" s="127">
        <f t="shared" si="179"/>
        <v>13.309523703186144</v>
      </c>
      <c r="K177" s="127">
        <f t="shared" si="179"/>
        <v>14.461592132879701</v>
      </c>
      <c r="L177" s="127">
        <f t="shared" si="179"/>
        <v>15.723073434090178</v>
      </c>
      <c r="M177" s="127">
        <f t="shared" si="179"/>
        <v>17.10521191236198</v>
      </c>
      <c r="N177" s="127">
        <f t="shared" si="179"/>
        <v>18.620490325133641</v>
      </c>
      <c r="O177" s="127">
        <f t="shared" si="179"/>
        <v>20.282775014801455</v>
      </c>
      <c r="P177" s="127">
        <f t="shared" si="179"/>
        <v>22.107479035977711</v>
      </c>
      <c r="Q177" s="127">
        <f t="shared" si="179"/>
        <v>24.111745626500138</v>
      </c>
      <c r="R177" s="68">
        <f>RATE(9,,-H177,Q177)</f>
        <v>8.7921439356934555E-2</v>
      </c>
      <c r="S177" s="125" t="s">
        <v>73</v>
      </c>
      <c r="T177" s="116">
        <v>9.9999999999999992E-2</v>
      </c>
      <c r="U177" s="116">
        <v>0.10015244398015953</v>
      </c>
      <c r="V177" s="116">
        <v>0.10030512035198993</v>
      </c>
      <c r="W177" s="116">
        <v>0.10045802946975833</v>
      </c>
      <c r="X177" s="116">
        <v>0.10061117168827188</v>
      </c>
      <c r="Y177" s="116">
        <v>0.10076454736287864</v>
      </c>
      <c r="Z177" s="116">
        <v>0.10091815684946834</v>
      </c>
      <c r="AA177" s="116">
        <v>0.10107200050447333</v>
      </c>
      <c r="AB177" s="116">
        <v>0.10122607868486923</v>
      </c>
      <c r="AC177" s="116">
        <v>0.10138039174817587</v>
      </c>
      <c r="AD177" s="116">
        <v>0.10153494005245813</v>
      </c>
      <c r="AE177" s="116">
        <v>0.10168972395632671</v>
      </c>
      <c r="AF177" s="116">
        <v>0.10184474381893897</v>
      </c>
      <c r="AG177" s="137">
        <v>0.10199999999999985</v>
      </c>
    </row>
    <row r="178" spans="1:33" s="117" customFormat="1" x14ac:dyDescent="0.35">
      <c r="A178" s="149"/>
      <c r="B178" s="125" t="s">
        <v>74</v>
      </c>
      <c r="C178" s="126"/>
      <c r="D178" s="127">
        <f>D163*T178</f>
        <v>4.0956825000000077</v>
      </c>
      <c r="E178" s="127">
        <f t="shared" ref="E178:Q178" si="180">E163*U178</f>
        <v>4.3867658458741374</v>
      </c>
      <c r="F178" s="127">
        <f t="shared" si="180"/>
        <v>4.700870682280323</v>
      </c>
      <c r="G178" s="127">
        <f t="shared" si="180"/>
        <v>5.0399810203620312</v>
      </c>
      <c r="H178" s="127">
        <f t="shared" si="180"/>
        <v>5.4062646151055702</v>
      </c>
      <c r="I178" s="127">
        <f t="shared" si="180"/>
        <v>5.8020910626711899</v>
      </c>
      <c r="J178" s="127">
        <f t="shared" si="180"/>
        <v>6.2300517772786606</v>
      </c>
      <c r="K178" s="127">
        <f t="shared" si="180"/>
        <v>6.6929820519507031</v>
      </c>
      <c r="L178" s="127">
        <f t="shared" si="180"/>
        <v>7.193985430492206</v>
      </c>
      <c r="M178" s="127">
        <f t="shared" si="180"/>
        <v>7.736460643848905</v>
      </c>
      <c r="N178" s="127">
        <f t="shared" si="180"/>
        <v>8.3241313927586198</v>
      </c>
      <c r="O178" s="127">
        <f t="shared" si="180"/>
        <v>8.9610792907482768</v>
      </c>
      <c r="P178" s="127">
        <f t="shared" si="180"/>
        <v>9.6517803174350263</v>
      </c>
      <c r="Q178" s="127">
        <f t="shared" si="180"/>
        <v>10.401145172215848</v>
      </c>
      <c r="R178" s="68">
        <f>RATE(9,,-H178,Q178)</f>
        <v>7.5414738958779204E-2</v>
      </c>
      <c r="S178" s="125" t="s">
        <v>74</v>
      </c>
      <c r="T178" s="116">
        <f>1-SUM(T174:T177)</f>
        <v>5.0000000000000044E-2</v>
      </c>
      <c r="U178" s="116">
        <f t="shared" ref="U178:AG178" si="181">1-SUM(U174:U177)</f>
        <v>4.9540739084886765E-2</v>
      </c>
      <c r="V178" s="116">
        <f t="shared" si="181"/>
        <v>4.9081100183354764E-2</v>
      </c>
      <c r="W178" s="116">
        <f t="shared" si="181"/>
        <v>4.8621082859250597E-2</v>
      </c>
      <c r="X178" s="116">
        <f t="shared" si="181"/>
        <v>4.8160686675831288E-2</v>
      </c>
      <c r="Y178" s="116">
        <f t="shared" si="181"/>
        <v>4.7699911195762668E-2</v>
      </c>
      <c r="Z178" s="116">
        <f t="shared" si="181"/>
        <v>4.7238755981118041E-2</v>
      </c>
      <c r="AA178" s="116">
        <f t="shared" si="181"/>
        <v>4.6777220593379298E-2</v>
      </c>
      <c r="AB178" s="116">
        <f t="shared" si="181"/>
        <v>4.631530459343336E-2</v>
      </c>
      <c r="AC178" s="116">
        <f t="shared" si="181"/>
        <v>4.5853007541573509E-2</v>
      </c>
      <c r="AD178" s="116">
        <f t="shared" si="181"/>
        <v>4.5390328997497287E-2</v>
      </c>
      <c r="AE178" s="116">
        <f t="shared" si="181"/>
        <v>4.4927268520306485E-2</v>
      </c>
      <c r="AF178" s="116">
        <f t="shared" si="181"/>
        <v>4.4463825668505264E-2</v>
      </c>
      <c r="AG178" s="116">
        <f t="shared" si="181"/>
        <v>4.4000000000000372E-2</v>
      </c>
    </row>
    <row r="179" spans="1:33" x14ac:dyDescent="0.35">
      <c r="A179" s="2"/>
      <c r="D179" s="81" t="b">
        <f>D163=SUM(D174:D178)</f>
        <v>1</v>
      </c>
      <c r="E179" s="81" t="b">
        <f t="shared" ref="E179:Q179" si="182">E163=SUM(E174:E178)</f>
        <v>1</v>
      </c>
      <c r="F179" s="81" t="b">
        <f t="shared" si="182"/>
        <v>0</v>
      </c>
      <c r="G179" s="81" t="b">
        <f t="shared" si="182"/>
        <v>1</v>
      </c>
      <c r="H179" s="81" t="b">
        <f t="shared" si="182"/>
        <v>1</v>
      </c>
      <c r="I179" s="81" t="b">
        <f t="shared" si="182"/>
        <v>1</v>
      </c>
      <c r="J179" s="81" t="b">
        <f t="shared" si="182"/>
        <v>1</v>
      </c>
      <c r="K179" s="81" t="b">
        <f t="shared" si="182"/>
        <v>1</v>
      </c>
      <c r="L179" s="81" t="b">
        <f t="shared" si="182"/>
        <v>1</v>
      </c>
      <c r="M179" s="81" t="b">
        <f t="shared" si="182"/>
        <v>1</v>
      </c>
      <c r="N179" s="81" t="b">
        <f t="shared" si="182"/>
        <v>1</v>
      </c>
      <c r="O179" s="81" t="b">
        <f t="shared" si="182"/>
        <v>1</v>
      </c>
      <c r="P179" s="81" t="b">
        <f t="shared" si="182"/>
        <v>1</v>
      </c>
      <c r="Q179" s="81" t="b">
        <f t="shared" si="182"/>
        <v>1</v>
      </c>
      <c r="R179" s="21"/>
    </row>
    <row r="180" spans="1:33" s="117" customFormat="1" x14ac:dyDescent="0.35">
      <c r="A180" s="149" t="s">
        <v>75</v>
      </c>
      <c r="B180" s="128" t="s">
        <v>76</v>
      </c>
      <c r="C180" s="129"/>
      <c r="D180" s="130">
        <f>D163*T180</f>
        <v>18.021003000000018</v>
      </c>
      <c r="E180" s="130">
        <f t="shared" ref="E180:P180" si="183">E163*U180</f>
        <v>19.514409294816897</v>
      </c>
      <c r="F180" s="130">
        <f t="shared" si="183"/>
        <v>21.144051567783354</v>
      </c>
      <c r="G180" s="130">
        <f t="shared" si="183"/>
        <v>22.923410151678905</v>
      </c>
      <c r="H180" s="130">
        <f t="shared" si="183"/>
        <v>24.867397474841265</v>
      </c>
      <c r="I180" s="130">
        <f t="shared" si="183"/>
        <v>26.992520170589096</v>
      </c>
      <c r="J180" s="130">
        <f t="shared" si="183"/>
        <v>29.317060624059078</v>
      </c>
      <c r="K180" s="130">
        <f t="shared" si="183"/>
        <v>31.861280413378505</v>
      </c>
      <c r="L180" s="130">
        <f t="shared" si="183"/>
        <v>34.647648428198359</v>
      </c>
      <c r="M180" s="130">
        <f t="shared" si="183"/>
        <v>37.701096820014698</v>
      </c>
      <c r="N180" s="130">
        <f t="shared" si="183"/>
        <v>41.04930836197515</v>
      </c>
      <c r="O180" s="130">
        <f t="shared" si="183"/>
        <v>44.723039278560947</v>
      </c>
      <c r="P180" s="130">
        <f t="shared" si="183"/>
        <v>48.756482156356718</v>
      </c>
      <c r="Q180" s="130">
        <f>Q163*AG180</f>
        <v>53.187674176103357</v>
      </c>
      <c r="R180" s="68">
        <f t="shared" ref="R180:R185" si="184">RATE(9,,-H180,Q180)</f>
        <v>8.814492376093308E-2</v>
      </c>
      <c r="S180" s="134" t="s">
        <v>76</v>
      </c>
      <c r="T180" s="116">
        <v>0.22000000000000003</v>
      </c>
      <c r="U180" s="116">
        <v>0.22038063877502673</v>
      </c>
      <c r="V180" s="116">
        <v>0.22076193612222184</v>
      </c>
      <c r="W180" s="116">
        <v>0.22114389318103134</v>
      </c>
      <c r="X180" s="116">
        <v>0.22152651109287255</v>
      </c>
      <c r="Y180" s="116">
        <v>0.22190979100113767</v>
      </c>
      <c r="Z180" s="116">
        <v>0.22229373405119721</v>
      </c>
      <c r="AA180" s="116">
        <v>0.22267834139040343</v>
      </c>
      <c r="AB180" s="116">
        <v>0.2230636141680935</v>
      </c>
      <c r="AC180" s="116">
        <v>0.22344955353559337</v>
      </c>
      <c r="AD180" s="116">
        <v>0.22383616064622086</v>
      </c>
      <c r="AE180" s="116">
        <v>0.22422343665528938</v>
      </c>
      <c r="AF180" s="116">
        <v>0.22461138272011094</v>
      </c>
      <c r="AG180" s="116">
        <v>0.22500000000000017</v>
      </c>
    </row>
    <row r="181" spans="1:33" s="117" customFormat="1" x14ac:dyDescent="0.35">
      <c r="A181" s="149"/>
      <c r="B181" s="128" t="s">
        <v>77</v>
      </c>
      <c r="C181" s="129"/>
      <c r="D181" s="130">
        <f>D163*T181</f>
        <v>31.127187000000028</v>
      </c>
      <c r="E181" s="130">
        <f t="shared" ref="E181:Q181" si="185">E163*U181</f>
        <v>33.648489147000028</v>
      </c>
      <c r="F181" s="130">
        <f t="shared" si="185"/>
        <v>36.395493430123523</v>
      </c>
      <c r="G181" s="130">
        <f t="shared" si="185"/>
        <v>39.390171405308166</v>
      </c>
      <c r="H181" s="130">
        <f t="shared" si="185"/>
        <v>42.656795314570886</v>
      </c>
      <c r="I181" s="130">
        <f t="shared" si="185"/>
        <v>46.222195147627673</v>
      </c>
      <c r="J181" s="130">
        <f t="shared" si="185"/>
        <v>50.116046161591981</v>
      </c>
      <c r="K181" s="130">
        <f t="shared" si="185"/>
        <v>54.371190666707605</v>
      </c>
      <c r="L181" s="130">
        <f t="shared" si="185"/>
        <v>59.02399838636984</v>
      </c>
      <c r="M181" s="130">
        <f t="shared" si="185"/>
        <v>64.114770268822781</v>
      </c>
      <c r="N181" s="130">
        <f t="shared" si="185"/>
        <v>69.688191275782231</v>
      </c>
      <c r="O181" s="130">
        <f t="shared" si="185"/>
        <v>75.793838411192056</v>
      </c>
      <c r="P181" s="130">
        <f t="shared" si="185"/>
        <v>82.486751094456736</v>
      </c>
      <c r="Q181" s="130">
        <f t="shared" si="185"/>
        <v>89.828071941863385</v>
      </c>
      <c r="R181" s="68">
        <f t="shared" si="184"/>
        <v>8.6265493012898931E-2</v>
      </c>
      <c r="S181" s="134" t="s">
        <v>77</v>
      </c>
      <c r="T181" s="116">
        <v>0.38</v>
      </c>
      <c r="U181" s="116">
        <v>0.38</v>
      </c>
      <c r="V181" s="116">
        <v>0.38</v>
      </c>
      <c r="W181" s="116">
        <v>0.38</v>
      </c>
      <c r="X181" s="116">
        <v>0.38</v>
      </c>
      <c r="Y181" s="116">
        <v>0.38</v>
      </c>
      <c r="Z181" s="116">
        <v>0.38</v>
      </c>
      <c r="AA181" s="116">
        <v>0.38</v>
      </c>
      <c r="AB181" s="116">
        <v>0.38</v>
      </c>
      <c r="AC181" s="116">
        <v>0.38</v>
      </c>
      <c r="AD181" s="116">
        <v>0.38</v>
      </c>
      <c r="AE181" s="116">
        <v>0.38</v>
      </c>
      <c r="AF181" s="116">
        <v>0.38</v>
      </c>
      <c r="AG181" s="116">
        <v>0.38</v>
      </c>
    </row>
    <row r="182" spans="1:33" s="117" customFormat="1" x14ac:dyDescent="0.35">
      <c r="A182" s="149"/>
      <c r="B182" s="128" t="s">
        <v>78</v>
      </c>
      <c r="C182" s="129"/>
      <c r="D182" s="132">
        <f>D163*T182</f>
        <v>13.925320500000012</v>
      </c>
      <c r="E182" s="132">
        <f t="shared" ref="E182:Q182" si="186">E163*U182</f>
        <v>15.126048277965939</v>
      </c>
      <c r="F182" s="132">
        <f t="shared" si="186"/>
        <v>16.440011382840886</v>
      </c>
      <c r="G182" s="132">
        <f t="shared" si="186"/>
        <v>17.878742175663806</v>
      </c>
      <c r="H182" s="132">
        <f t="shared" si="186"/>
        <v>19.455029993903921</v>
      </c>
      <c r="I182" s="132">
        <f t="shared" si="186"/>
        <v>21.183066773857007</v>
      </c>
      <c r="J182" s="132">
        <f t="shared" si="186"/>
        <v>23.078610507717819</v>
      </c>
      <c r="K182" s="132">
        <f t="shared" si="186"/>
        <v>25.159168834229291</v>
      </c>
      <c r="L182" s="132">
        <f t="shared" si="186"/>
        <v>27.444205372548652</v>
      </c>
      <c r="M182" s="132">
        <f t="shared" si="186"/>
        <v>29.955371763617414</v>
      </c>
      <c r="N182" s="132">
        <f t="shared" si="186"/>
        <v>32.716768788345192</v>
      </c>
      <c r="O182" s="132">
        <f t="shared" si="186"/>
        <v>35.755240394775129</v>
      </c>
      <c r="P182" s="132">
        <f t="shared" si="186"/>
        <v>39.100704995700553</v>
      </c>
      <c r="Q182" s="132">
        <f t="shared" si="186"/>
        <v>42.786529003887487</v>
      </c>
      <c r="R182" s="68">
        <f t="shared" si="184"/>
        <v>9.1517171726621035E-2</v>
      </c>
      <c r="S182" s="134" t="s">
        <v>78</v>
      </c>
      <c r="T182" s="116">
        <v>0.16999999999999998</v>
      </c>
      <c r="U182" s="116">
        <v>0.17082188506343435</v>
      </c>
      <c r="V182" s="116">
        <v>0.17164774362720694</v>
      </c>
      <c r="W182" s="116">
        <v>0.17247759490167405</v>
      </c>
      <c r="X182" s="116">
        <v>0.17331145819006682</v>
      </c>
      <c r="Y182" s="116">
        <v>0.17414935288894001</v>
      </c>
      <c r="Z182" s="116">
        <v>0.17499129848862341</v>
      </c>
      <c r="AA182" s="116">
        <v>0.17583731457367507</v>
      </c>
      <c r="AB182" s="116">
        <v>0.17668742082333691</v>
      </c>
      <c r="AC182" s="116">
        <v>0.17754163701199244</v>
      </c>
      <c r="AD182" s="116">
        <v>0.17839998300962681</v>
      </c>
      <c r="AE182" s="116">
        <v>0.17926247878228888</v>
      </c>
      <c r="AF182" s="116">
        <v>0.18012914439255584</v>
      </c>
      <c r="AG182" s="116">
        <v>0.18099999999999969</v>
      </c>
    </row>
    <row r="183" spans="1:33" s="117" customFormat="1" x14ac:dyDescent="0.35">
      <c r="A183" s="149"/>
      <c r="B183" s="128" t="s">
        <v>79</v>
      </c>
      <c r="C183" s="129"/>
      <c r="D183" s="132">
        <f>D163*T183</f>
        <v>11.467911000000012</v>
      </c>
      <c r="E183" s="132">
        <f t="shared" ref="E183:Q183" si="187">E163*U183</f>
        <v>12.403600873053154</v>
      </c>
      <c r="F183" s="132">
        <f t="shared" si="187"/>
        <v>13.423556683997656</v>
      </c>
      <c r="G183" s="132">
        <f t="shared" si="187"/>
        <v>14.536024127212498</v>
      </c>
      <c r="H183" s="132">
        <f t="shared" si="187"/>
        <v>15.750116288489643</v>
      </c>
      <c r="I183" s="132">
        <f t="shared" si="187"/>
        <v>17.075910962091879</v>
      </c>
      <c r="J183" s="132">
        <f t="shared" si="187"/>
        <v>18.524559542028065</v>
      </c>
      <c r="K183" s="132">
        <f t="shared" si="187"/>
        <v>20.108408939626351</v>
      </c>
      <c r="L183" s="132">
        <f t="shared" si="187"/>
        <v>21.8411381708802</v>
      </c>
      <c r="M183" s="132">
        <f t="shared" si="187"/>
        <v>23.737911474851511</v>
      </c>
      <c r="N183" s="132">
        <f t="shared" si="187"/>
        <v>25.815550072443198</v>
      </c>
      <c r="O183" s="132">
        <f t="shared" si="187"/>
        <v>28.092724957479383</v>
      </c>
      <c r="P183" s="132">
        <f t="shared" si="187"/>
        <v>30.5901734342902</v>
      </c>
      <c r="Q183" s="132">
        <f t="shared" si="187"/>
        <v>33.330942483691473</v>
      </c>
      <c r="R183" s="68">
        <f t="shared" si="184"/>
        <v>8.6860383508857178E-2</v>
      </c>
      <c r="S183" s="134" t="s">
        <v>79</v>
      </c>
      <c r="T183" s="116">
        <v>0.14000000000000001</v>
      </c>
      <c r="U183" s="116">
        <v>0.14007667063947282</v>
      </c>
      <c r="V183" s="116">
        <v>0.14015338326742385</v>
      </c>
      <c r="W183" s="116">
        <v>0.1402301379068481</v>
      </c>
      <c r="X183" s="116">
        <v>0.14030693458075291</v>
      </c>
      <c r="Y183" s="116">
        <v>0.14038377331215846</v>
      </c>
      <c r="Z183" s="116">
        <v>0.14046065412409731</v>
      </c>
      <c r="AA183" s="116">
        <v>0.14053757703961495</v>
      </c>
      <c r="AB183" s="116">
        <v>0.14061454208176913</v>
      </c>
      <c r="AC183" s="116">
        <v>0.14069154927363042</v>
      </c>
      <c r="AD183" s="116">
        <v>0.14076859863828203</v>
      </c>
      <c r="AE183" s="116">
        <v>0.14084569019881982</v>
      </c>
      <c r="AF183" s="116">
        <v>0.14092282397835218</v>
      </c>
      <c r="AG183" s="116">
        <v>0.14100000000000026</v>
      </c>
    </row>
    <row r="184" spans="1:33" s="117" customFormat="1" x14ac:dyDescent="0.35">
      <c r="A184" s="149"/>
      <c r="B184" s="128" t="s">
        <v>80</v>
      </c>
      <c r="C184" s="129"/>
      <c r="D184" s="132">
        <f>D163*T184</f>
        <v>3.2765460000000055</v>
      </c>
      <c r="E184" s="132">
        <f t="shared" ref="E184:Q184" si="188">E163*U184</f>
        <v>3.2845444067369067</v>
      </c>
      <c r="F184" s="132">
        <f t="shared" si="188"/>
        <v>3.2945063978572531</v>
      </c>
      <c r="G184" s="132">
        <f t="shared" si="188"/>
        <v>3.3064639246079475</v>
      </c>
      <c r="H184" s="132">
        <f t="shared" si="188"/>
        <v>3.3204528484130447</v>
      </c>
      <c r="I184" s="132">
        <f t="shared" si="188"/>
        <v>3.3365130951852535</v>
      </c>
      <c r="J184" s="132">
        <f t="shared" si="188"/>
        <v>3.3546888246968218</v>
      </c>
      <c r="K184" s="132">
        <f t="shared" si="188"/>
        <v>3.3750286159861669</v>
      </c>
      <c r="L184" s="132">
        <f t="shared" si="188"/>
        <v>3.3975856698699456</v>
      </c>
      <c r="M184" s="132">
        <f t="shared" si="188"/>
        <v>3.4224180297315181</v>
      </c>
      <c r="N184" s="132">
        <f t="shared" si="188"/>
        <v>3.4495888218669588</v>
      </c>
      <c r="O184" s="132">
        <f t="shared" si="188"/>
        <v>3.4791665167897188</v>
      </c>
      <c r="P184" s="132">
        <f t="shared" si="188"/>
        <v>3.5112252130257566</v>
      </c>
      <c r="Q184" s="132">
        <f t="shared" si="188"/>
        <v>3.5458449450735556</v>
      </c>
      <c r="R184" s="68">
        <f t="shared" si="184"/>
        <v>7.3239461110923909E-3</v>
      </c>
      <c r="S184" s="134" t="s">
        <v>80</v>
      </c>
      <c r="T184" s="116">
        <v>4.0000000000000029E-2</v>
      </c>
      <c r="U184" s="116">
        <v>3.7093103024844219E-2</v>
      </c>
      <c r="V184" s="116">
        <v>3.4397457300292665E-2</v>
      </c>
      <c r="W184" s="116">
        <v>3.1897710685810869E-2</v>
      </c>
      <c r="X184" s="116">
        <v>2.9579626718136409E-2</v>
      </c>
      <c r="Y184" s="116">
        <v>2.7430003532306693E-2</v>
      </c>
      <c r="Z184" s="116">
        <v>2.543659867489231E-2</v>
      </c>
      <c r="AA184" s="116">
        <v>2.3588059381234896E-2</v>
      </c>
      <c r="AB184" s="116">
        <v>2.1873857919607213E-2</v>
      </c>
      <c r="AC184" s="116">
        <v>2.0284231634069862E-2</v>
      </c>
      <c r="AD184" s="116">
        <v>1.8810127344558929E-2</v>
      </c>
      <c r="AE184" s="116">
        <v>1.7443149787554083E-2</v>
      </c>
      <c r="AF184" s="116">
        <v>1.617551380368832E-2</v>
      </c>
      <c r="AG184" s="116">
        <v>1.5000000000000005E-2</v>
      </c>
    </row>
    <row r="185" spans="1:33" s="117" customFormat="1" x14ac:dyDescent="0.35">
      <c r="A185" s="149"/>
      <c r="B185" s="128" t="s">
        <v>81</v>
      </c>
      <c r="C185" s="129"/>
      <c r="D185" s="132">
        <f>D163*T185</f>
        <v>1.6382730000000019</v>
      </c>
      <c r="E185" s="132">
        <f t="shared" ref="E185:Q185" si="189">E163*U185</f>
        <v>1.7840048078902131</v>
      </c>
      <c r="F185" s="132">
        <f t="shared" si="189"/>
        <v>1.9438471677439928</v>
      </c>
      <c r="G185" s="132">
        <f t="shared" si="189"/>
        <v>2.1192706705689672</v>
      </c>
      <c r="H185" s="132">
        <f t="shared" si="189"/>
        <v>2.3119095282693096</v>
      </c>
      <c r="I185" s="132">
        <f t="shared" si="189"/>
        <v>2.5235808862217017</v>
      </c>
      <c r="J185" s="132">
        <f t="shared" si="189"/>
        <v>2.7563065418904844</v>
      </c>
      <c r="K185" s="132">
        <f t="shared" si="189"/>
        <v>3.0123373845655252</v>
      </c>
      <c r="L185" s="132">
        <f t="shared" si="189"/>
        <v>3.2941809145278769</v>
      </c>
      <c r="M185" s="132">
        <f t="shared" si="189"/>
        <v>3.6046322493620351</v>
      </c>
      <c r="N185" s="132">
        <f t="shared" si="189"/>
        <v>3.9468090816635861</v>
      </c>
      <c r="O185" s="132">
        <f t="shared" si="189"/>
        <v>4.3241911171048191</v>
      </c>
      <c r="P185" s="132">
        <f t="shared" si="189"/>
        <v>4.7406645959524312</v>
      </c>
      <c r="Q185" s="132">
        <f t="shared" si="189"/>
        <v>5.2005725861078815</v>
      </c>
      <c r="R185" s="68">
        <f t="shared" si="184"/>
        <v>9.4258771028340252E-2</v>
      </c>
      <c r="S185" s="134" t="s">
        <v>81</v>
      </c>
      <c r="T185" s="116">
        <v>2.0000000000000004E-2</v>
      </c>
      <c r="U185" s="116">
        <v>2.0147169878464571E-2</v>
      </c>
      <c r="V185" s="116">
        <v>2.0295422705585511E-2</v>
      </c>
      <c r="W185" s="116">
        <v>2.0444766450233912E-2</v>
      </c>
      <c r="X185" s="116">
        <v>2.0595209139919784E-2</v>
      </c>
      <c r="Y185" s="116">
        <v>2.0746758861223506E-2</v>
      </c>
      <c r="Z185" s="116">
        <v>2.0899423760230504E-2</v>
      </c>
      <c r="AA185" s="116">
        <v>2.1053212042969137E-2</v>
      </c>
      <c r="AB185" s="116">
        <v>2.1208131975851766E-2</v>
      </c>
      <c r="AC185" s="116">
        <v>2.1364191886119096E-2</v>
      </c>
      <c r="AD185" s="116">
        <v>2.1521400162287797E-2</v>
      </c>
      <c r="AE185" s="116">
        <v>2.1679765254601358E-2</v>
      </c>
      <c r="AF185" s="116">
        <v>2.1839295675484361E-2</v>
      </c>
      <c r="AG185" s="116">
        <v>2.2000000000000006E-2</v>
      </c>
    </row>
    <row r="186" spans="1:33" s="117" customFormat="1" x14ac:dyDescent="0.35">
      <c r="A186" s="149"/>
      <c r="B186" s="128" t="s">
        <v>82</v>
      </c>
      <c r="C186" s="129"/>
      <c r="D186" s="132">
        <f>D163*T186</f>
        <v>2.4574094999999954</v>
      </c>
      <c r="E186" s="132">
        <f t="shared" ref="E186:Q186" si="190">E163*U186</f>
        <v>2.7875588425369329</v>
      </c>
      <c r="F186" s="132">
        <f t="shared" si="190"/>
        <v>3.1361476594520861</v>
      </c>
      <c r="G186" s="132">
        <f t="shared" si="190"/>
        <v>3.504263348402251</v>
      </c>
      <c r="H186" s="132">
        <f t="shared" si="190"/>
        <v>3.8930230635405652</v>
      </c>
      <c r="I186" s="132">
        <f t="shared" si="190"/>
        <v>4.3035686160791622</v>
      </c>
      <c r="J186" s="132">
        <f t="shared" si="190"/>
        <v>4.7370598022051613</v>
      </c>
      <c r="K186" s="132">
        <f t="shared" si="190"/>
        <v>5.1946658473686833</v>
      </c>
      <c r="L186" s="132">
        <f t="shared" si="190"/>
        <v>5.6775546006836608</v>
      </c>
      <c r="M186" s="132">
        <f t="shared" si="190"/>
        <v>6.186879048396837</v>
      </c>
      <c r="N186" s="132">
        <f t="shared" si="190"/>
        <v>6.7237606394558851</v>
      </c>
      <c r="O186" s="132">
        <f t="shared" si="190"/>
        <v>7.2892688272349115</v>
      </c>
      <c r="P186" s="132">
        <f t="shared" si="190"/>
        <v>7.8843961272089969</v>
      </c>
      <c r="Q186" s="132">
        <f t="shared" si="190"/>
        <v>8.5100278681764863</v>
      </c>
      <c r="R186" s="68">
        <f>RATE(9,,-H186,Q186)</f>
        <v>9.0782653565568958E-2</v>
      </c>
      <c r="S186" s="134" t="s">
        <v>82</v>
      </c>
      <c r="T186" s="116">
        <f>1-SUM(T180:T185)</f>
        <v>2.9999999999999916E-2</v>
      </c>
      <c r="U186" s="116">
        <f t="shared" ref="U186:AG186" si="191">1-SUM(U180:U185)</f>
        <v>3.1480532618757273E-2</v>
      </c>
      <c r="V186" s="116">
        <f t="shared" si="191"/>
        <v>3.2744056977269231E-2</v>
      </c>
      <c r="W186" s="116">
        <f t="shared" si="191"/>
        <v>3.380589687440172E-2</v>
      </c>
      <c r="X186" s="116">
        <f t="shared" si="191"/>
        <v>3.468026027825144E-2</v>
      </c>
      <c r="Y186" s="116">
        <f t="shared" si="191"/>
        <v>3.5380320404233667E-2</v>
      </c>
      <c r="Z186" s="116">
        <f t="shared" si="191"/>
        <v>3.5918290900959216E-2</v>
      </c>
      <c r="AA186" s="116">
        <f t="shared" si="191"/>
        <v>3.6305495572102608E-2</v>
      </c>
      <c r="AB186" s="116">
        <f t="shared" si="191"/>
        <v>3.655243303134148E-2</v>
      </c>
      <c r="AC186" s="116">
        <f t="shared" si="191"/>
        <v>3.6668836658594883E-2</v>
      </c>
      <c r="AD186" s="116">
        <f t="shared" si="191"/>
        <v>3.6663730199023692E-2</v>
      </c>
      <c r="AE186" s="116">
        <f t="shared" si="191"/>
        <v>3.6545479321446361E-2</v>
      </c>
      <c r="AF186" s="116">
        <f t="shared" si="191"/>
        <v>3.6321839429808267E-2</v>
      </c>
      <c r="AG186" s="116">
        <f t="shared" si="191"/>
        <v>3.599999999999981E-2</v>
      </c>
    </row>
    <row r="187" spans="1:33" x14ac:dyDescent="0.35">
      <c r="D187" t="b">
        <f>D163=SUM(D180:D186)</f>
        <v>1</v>
      </c>
      <c r="E187" t="b">
        <f t="shared" ref="E187:Q187" si="192">E163=SUM(E180:E186)</f>
        <v>1</v>
      </c>
      <c r="F187" t="b">
        <f t="shared" si="192"/>
        <v>0</v>
      </c>
      <c r="G187" t="b">
        <f t="shared" si="192"/>
        <v>1</v>
      </c>
      <c r="H187" t="b">
        <f t="shared" si="192"/>
        <v>1</v>
      </c>
      <c r="I187" t="b">
        <f t="shared" si="192"/>
        <v>1</v>
      </c>
      <c r="J187" t="b">
        <f t="shared" si="192"/>
        <v>1</v>
      </c>
      <c r="K187" t="b">
        <f t="shared" si="192"/>
        <v>1</v>
      </c>
      <c r="L187" t="b">
        <f t="shared" si="192"/>
        <v>1</v>
      </c>
      <c r="M187" t="b">
        <f t="shared" si="192"/>
        <v>1</v>
      </c>
      <c r="N187" t="b">
        <f t="shared" si="192"/>
        <v>1</v>
      </c>
      <c r="O187" t="b">
        <f t="shared" si="192"/>
        <v>1</v>
      </c>
      <c r="P187" t="b">
        <f t="shared" si="192"/>
        <v>1</v>
      </c>
      <c r="Q187" t="b">
        <f t="shared" si="192"/>
        <v>1</v>
      </c>
    </row>
    <row r="188" spans="1:33" ht="25" x14ac:dyDescent="0.5">
      <c r="A188" s="146" t="s">
        <v>101</v>
      </c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63"/>
    </row>
    <row r="189" spans="1:33" ht="23.5" thickBot="1" x14ac:dyDescent="0.55000000000000004">
      <c r="A189" s="63"/>
      <c r="B189" s="63"/>
      <c r="C189" s="63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</row>
    <row r="190" spans="1:33" ht="16" hidden="1" thickBot="1" x14ac:dyDescent="0.4">
      <c r="A190" s="42"/>
      <c r="B190" s="43"/>
      <c r="C190" s="93"/>
      <c r="D190" s="91">
        <v>2023</v>
      </c>
      <c r="E190" s="65">
        <v>2024</v>
      </c>
      <c r="F190" s="65">
        <v>2025</v>
      </c>
      <c r="G190" s="65">
        <v>2026</v>
      </c>
      <c r="H190" s="65">
        <v>2027</v>
      </c>
      <c r="I190" s="65">
        <v>2028</v>
      </c>
      <c r="J190" s="65">
        <v>2029</v>
      </c>
      <c r="K190" s="65">
        <v>2030</v>
      </c>
      <c r="L190" s="65">
        <v>2031</v>
      </c>
      <c r="M190" s="65">
        <v>2032</v>
      </c>
      <c r="N190" s="65">
        <v>2033</v>
      </c>
      <c r="O190" s="65">
        <v>2034</v>
      </c>
      <c r="P190" s="65">
        <v>2035</v>
      </c>
      <c r="Q190" s="65">
        <v>2036</v>
      </c>
      <c r="R190" s="66" t="s">
        <v>13</v>
      </c>
    </row>
    <row r="191" spans="1:33" ht="16" hidden="1" thickBot="1" x14ac:dyDescent="0.4">
      <c r="A191" s="25"/>
      <c r="B191" s="94"/>
      <c r="C191" s="95"/>
      <c r="D191" s="92" t="e">
        <f>#REF!</f>
        <v>#REF!</v>
      </c>
      <c r="E191" s="92" t="e">
        <f>#REF!</f>
        <v>#REF!</v>
      </c>
      <c r="F191" s="92" t="e">
        <f>#REF!</f>
        <v>#REF!</v>
      </c>
      <c r="G191" s="92" t="e">
        <f>#REF!</f>
        <v>#REF!</v>
      </c>
      <c r="H191" s="92" t="e">
        <f>#REF!</f>
        <v>#REF!</v>
      </c>
      <c r="I191" s="92" t="e">
        <f>#REF!</f>
        <v>#REF!</v>
      </c>
      <c r="J191" s="92" t="e">
        <f>#REF!</f>
        <v>#REF!</v>
      </c>
      <c r="K191" s="92" t="e">
        <f>#REF!</f>
        <v>#REF!</v>
      </c>
      <c r="L191" s="92" t="e">
        <f>#REF!</f>
        <v>#REF!</v>
      </c>
      <c r="M191" s="92" t="e">
        <f>#REF!</f>
        <v>#REF!</v>
      </c>
      <c r="N191" s="92" t="e">
        <f>#REF!</f>
        <v>#REF!</v>
      </c>
      <c r="O191" s="92" t="e">
        <f>#REF!</f>
        <v>#REF!</v>
      </c>
      <c r="P191" s="92" t="e">
        <f>#REF!</f>
        <v>#REF!</v>
      </c>
      <c r="Q191" s="92" t="e">
        <f>#REF!</f>
        <v>#REF!</v>
      </c>
      <c r="R191" s="68" t="e">
        <f>RATE(12,,-E191,Q191)</f>
        <v>#REF!</v>
      </c>
      <c r="T191" s="65">
        <v>2023</v>
      </c>
      <c r="U191" s="65">
        <v>2024</v>
      </c>
      <c r="V191" s="65">
        <v>2025</v>
      </c>
      <c r="W191" s="65">
        <v>2026</v>
      </c>
      <c r="X191" s="65">
        <v>2027</v>
      </c>
      <c r="Y191" s="65">
        <v>2028</v>
      </c>
      <c r="Z191" s="65">
        <v>2029</v>
      </c>
      <c r="AA191" s="65">
        <v>2030</v>
      </c>
      <c r="AB191" s="65">
        <v>2031</v>
      </c>
      <c r="AC191" s="65">
        <v>2032</v>
      </c>
      <c r="AD191" s="65">
        <v>2033</v>
      </c>
      <c r="AE191" s="65">
        <v>2034</v>
      </c>
      <c r="AF191" s="65">
        <v>2035</v>
      </c>
      <c r="AG191" s="65">
        <v>2036</v>
      </c>
    </row>
    <row r="192" spans="1:33" ht="15" hidden="1" thickBot="1" x14ac:dyDescent="0.4">
      <c r="A192" s="150" t="s">
        <v>49</v>
      </c>
      <c r="B192" s="52" t="s">
        <v>34</v>
      </c>
      <c r="C192" s="45"/>
      <c r="D192" s="79" t="e">
        <f t="shared" ref="D192:Q192" si="193">D191*T192</f>
        <v>#REF!</v>
      </c>
      <c r="E192" s="79" t="e">
        <f t="shared" si="193"/>
        <v>#REF!</v>
      </c>
      <c r="F192" s="79" t="e">
        <f t="shared" si="193"/>
        <v>#REF!</v>
      </c>
      <c r="G192" s="79" t="e">
        <f t="shared" si="193"/>
        <v>#REF!</v>
      </c>
      <c r="H192" s="79" t="e">
        <f t="shared" si="193"/>
        <v>#REF!</v>
      </c>
      <c r="I192" s="79" t="e">
        <f t="shared" si="193"/>
        <v>#REF!</v>
      </c>
      <c r="J192" s="79" t="e">
        <f t="shared" si="193"/>
        <v>#REF!</v>
      </c>
      <c r="K192" s="79" t="e">
        <f t="shared" si="193"/>
        <v>#REF!</v>
      </c>
      <c r="L192" s="79" t="e">
        <f t="shared" si="193"/>
        <v>#REF!</v>
      </c>
      <c r="M192" s="79" t="e">
        <f t="shared" si="193"/>
        <v>#REF!</v>
      </c>
      <c r="N192" s="79" t="e">
        <f t="shared" si="193"/>
        <v>#REF!</v>
      </c>
      <c r="O192" s="79" t="e">
        <f t="shared" si="193"/>
        <v>#REF!</v>
      </c>
      <c r="P192" s="79" t="e">
        <f t="shared" si="193"/>
        <v>#REF!</v>
      </c>
      <c r="Q192" s="79" t="e">
        <f t="shared" si="193"/>
        <v>#REF!</v>
      </c>
      <c r="R192" s="77" t="e">
        <f>RATE(12,,-E192,Q192)</f>
        <v>#REF!</v>
      </c>
      <c r="S192" s="52"/>
      <c r="T192" s="12">
        <v>0.56000000000000005</v>
      </c>
      <c r="U192" s="12">
        <v>0.56092161367703952</v>
      </c>
      <c r="V192" s="12">
        <v>0.56184474408938223</v>
      </c>
      <c r="W192" s="12">
        <v>0.56276939373317769</v>
      </c>
      <c r="X192" s="12">
        <v>0.56369556510868446</v>
      </c>
      <c r="Y192" s="12">
        <v>0.56462326072027491</v>
      </c>
      <c r="Z192" s="12">
        <v>0.56555248307644368</v>
      </c>
      <c r="AA192" s="12">
        <v>0.56648323468981299</v>
      </c>
      <c r="AB192" s="12">
        <v>0.56741551807714108</v>
      </c>
      <c r="AC192" s="12">
        <v>0.56834933575932756</v>
      </c>
      <c r="AD192" s="12">
        <v>0.56928469026142059</v>
      </c>
      <c r="AE192" s="12">
        <v>0.57022158411262425</v>
      </c>
      <c r="AF192" s="12">
        <v>0.57116001984630527</v>
      </c>
      <c r="AG192" s="12">
        <v>0.57209999999999905</v>
      </c>
    </row>
    <row r="193" spans="1:33" ht="15" hidden="1" thickBot="1" x14ac:dyDescent="0.4">
      <c r="A193" s="151"/>
      <c r="B193" s="53" t="s">
        <v>35</v>
      </c>
      <c r="C193" s="46"/>
      <c r="D193" s="80" t="e">
        <f t="shared" ref="D193:Q193" si="194">D191*T193</f>
        <v>#REF!</v>
      </c>
      <c r="E193" s="80" t="e">
        <f t="shared" si="194"/>
        <v>#REF!</v>
      </c>
      <c r="F193" s="80" t="e">
        <f t="shared" si="194"/>
        <v>#REF!</v>
      </c>
      <c r="G193" s="80" t="e">
        <f t="shared" si="194"/>
        <v>#REF!</v>
      </c>
      <c r="H193" s="80" t="e">
        <f t="shared" si="194"/>
        <v>#REF!</v>
      </c>
      <c r="I193" s="80" t="e">
        <f t="shared" si="194"/>
        <v>#REF!</v>
      </c>
      <c r="J193" s="80" t="e">
        <f t="shared" si="194"/>
        <v>#REF!</v>
      </c>
      <c r="K193" s="80" t="e">
        <f t="shared" si="194"/>
        <v>#REF!</v>
      </c>
      <c r="L193" s="80" t="e">
        <f t="shared" si="194"/>
        <v>#REF!</v>
      </c>
      <c r="M193" s="80" t="e">
        <f t="shared" si="194"/>
        <v>#REF!</v>
      </c>
      <c r="N193" s="80" t="e">
        <f t="shared" si="194"/>
        <v>#REF!</v>
      </c>
      <c r="O193" s="80" t="e">
        <f t="shared" si="194"/>
        <v>#REF!</v>
      </c>
      <c r="P193" s="80" t="e">
        <f t="shared" si="194"/>
        <v>#REF!</v>
      </c>
      <c r="Q193" s="80" t="e">
        <f t="shared" si="194"/>
        <v>#REF!</v>
      </c>
      <c r="R193" s="78" t="e">
        <f>RATE(12,,-E193,Q193)</f>
        <v>#REF!</v>
      </c>
      <c r="S193" s="53"/>
      <c r="T193" s="12">
        <f>1-T192</f>
        <v>0.43999999999999995</v>
      </c>
      <c r="U193" s="12">
        <f t="shared" ref="U193:AG193" si="195">1-U192</f>
        <v>0.43907838632296048</v>
      </c>
      <c r="V193" s="12">
        <f t="shared" si="195"/>
        <v>0.43815525591061777</v>
      </c>
      <c r="W193" s="12">
        <f t="shared" si="195"/>
        <v>0.43723060626682231</v>
      </c>
      <c r="X193" s="12">
        <f t="shared" si="195"/>
        <v>0.43630443489131554</v>
      </c>
      <c r="Y193" s="12">
        <f t="shared" si="195"/>
        <v>0.43537673927972509</v>
      </c>
      <c r="Z193" s="12">
        <f t="shared" si="195"/>
        <v>0.43444751692355632</v>
      </c>
      <c r="AA193" s="12">
        <f t="shared" si="195"/>
        <v>0.43351676531018701</v>
      </c>
      <c r="AB193" s="12">
        <f t="shared" si="195"/>
        <v>0.43258448192285892</v>
      </c>
      <c r="AC193" s="12">
        <f t="shared" si="195"/>
        <v>0.43165066424067244</v>
      </c>
      <c r="AD193" s="12">
        <f t="shared" si="195"/>
        <v>0.43071530973857941</v>
      </c>
      <c r="AE193" s="12">
        <f t="shared" si="195"/>
        <v>0.42977841588737575</v>
      </c>
      <c r="AF193" s="12">
        <f t="shared" si="195"/>
        <v>0.42883998015369473</v>
      </c>
      <c r="AG193" s="12">
        <f t="shared" si="195"/>
        <v>0.42790000000000095</v>
      </c>
    </row>
    <row r="194" spans="1:33" ht="15" hidden="1" thickBot="1" x14ac:dyDescent="0.4">
      <c r="A194" s="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21"/>
    </row>
    <row r="195" spans="1:33" ht="15" hidden="1" thickBot="1" x14ac:dyDescent="0.4">
      <c r="A195" s="150" t="s">
        <v>15</v>
      </c>
      <c r="B195" s="57" t="s">
        <v>16</v>
      </c>
      <c r="C195" s="47"/>
      <c r="D195" s="82" t="e">
        <f t="shared" ref="D195:Q195" si="196">D191*T195</f>
        <v>#REF!</v>
      </c>
      <c r="E195" s="82" t="e">
        <f t="shared" si="196"/>
        <v>#REF!</v>
      </c>
      <c r="F195" s="82" t="e">
        <f t="shared" si="196"/>
        <v>#REF!</v>
      </c>
      <c r="G195" s="82" t="e">
        <f t="shared" si="196"/>
        <v>#REF!</v>
      </c>
      <c r="H195" s="82" t="e">
        <f t="shared" si="196"/>
        <v>#REF!</v>
      </c>
      <c r="I195" s="82" t="e">
        <f t="shared" si="196"/>
        <v>#REF!</v>
      </c>
      <c r="J195" s="82" t="e">
        <f t="shared" si="196"/>
        <v>#REF!</v>
      </c>
      <c r="K195" s="82" t="e">
        <f t="shared" si="196"/>
        <v>#REF!</v>
      </c>
      <c r="L195" s="82" t="e">
        <f t="shared" si="196"/>
        <v>#REF!</v>
      </c>
      <c r="M195" s="82" t="e">
        <f t="shared" si="196"/>
        <v>#REF!</v>
      </c>
      <c r="N195" s="82" t="e">
        <f t="shared" si="196"/>
        <v>#REF!</v>
      </c>
      <c r="O195" s="82" t="e">
        <f t="shared" si="196"/>
        <v>#REF!</v>
      </c>
      <c r="P195" s="82" t="e">
        <f t="shared" si="196"/>
        <v>#REF!</v>
      </c>
      <c r="Q195" s="82" t="e">
        <f t="shared" si="196"/>
        <v>#REF!</v>
      </c>
      <c r="R195" s="69" t="e">
        <f>RATE(12,,-E195,Q195)</f>
        <v>#REF!</v>
      </c>
      <c r="S195" s="57"/>
      <c r="T195" s="12">
        <v>0.47099999999999992</v>
      </c>
      <c r="U195" s="12">
        <v>0.47038461538461535</v>
      </c>
      <c r="V195" s="12">
        <v>0.46976923076923072</v>
      </c>
      <c r="W195" s="12">
        <v>0.46915384615384609</v>
      </c>
      <c r="X195" s="12">
        <v>0.46853846153846151</v>
      </c>
      <c r="Y195" s="12">
        <v>0.46792307692307689</v>
      </c>
      <c r="Z195" s="12">
        <v>0.46730769230769226</v>
      </c>
      <c r="AA195" s="12">
        <v>0.46669230769230763</v>
      </c>
      <c r="AB195" s="12">
        <v>0.46607692307692306</v>
      </c>
      <c r="AC195" s="12">
        <v>0.46546153846153843</v>
      </c>
      <c r="AD195" s="12">
        <v>0.4648461538461538</v>
      </c>
      <c r="AE195" s="12">
        <v>0.46423076923076922</v>
      </c>
      <c r="AF195" s="12">
        <v>0.4636153846153846</v>
      </c>
      <c r="AG195" s="12">
        <v>0.46299999999999997</v>
      </c>
    </row>
    <row r="196" spans="1:33" ht="15" hidden="1" thickBot="1" x14ac:dyDescent="0.4">
      <c r="A196" s="151"/>
      <c r="B196" s="58" t="s">
        <v>17</v>
      </c>
      <c r="C196" s="48"/>
      <c r="D196" s="83" t="e">
        <f t="shared" ref="D196:Q196" si="197">D191*T196</f>
        <v>#REF!</v>
      </c>
      <c r="E196" s="83" t="e">
        <f t="shared" si="197"/>
        <v>#REF!</v>
      </c>
      <c r="F196" s="83" t="e">
        <f t="shared" si="197"/>
        <v>#REF!</v>
      </c>
      <c r="G196" s="83" t="e">
        <f t="shared" si="197"/>
        <v>#REF!</v>
      </c>
      <c r="H196" s="83" t="e">
        <f t="shared" si="197"/>
        <v>#REF!</v>
      </c>
      <c r="I196" s="83" t="e">
        <f t="shared" si="197"/>
        <v>#REF!</v>
      </c>
      <c r="J196" s="83" t="e">
        <f t="shared" si="197"/>
        <v>#REF!</v>
      </c>
      <c r="K196" s="83" t="e">
        <f t="shared" si="197"/>
        <v>#REF!</v>
      </c>
      <c r="L196" s="83" t="e">
        <f t="shared" si="197"/>
        <v>#REF!</v>
      </c>
      <c r="M196" s="83" t="e">
        <f t="shared" si="197"/>
        <v>#REF!</v>
      </c>
      <c r="N196" s="83" t="e">
        <f t="shared" si="197"/>
        <v>#REF!</v>
      </c>
      <c r="O196" s="83" t="e">
        <f t="shared" si="197"/>
        <v>#REF!</v>
      </c>
      <c r="P196" s="83" t="e">
        <f t="shared" si="197"/>
        <v>#REF!</v>
      </c>
      <c r="Q196" s="83" t="e">
        <f t="shared" si="197"/>
        <v>#REF!</v>
      </c>
      <c r="R196" s="70" t="e">
        <f>RATE(12,,-E196,Q196)</f>
        <v>#REF!</v>
      </c>
      <c r="S196" s="58"/>
      <c r="T196" s="12">
        <f>1-T195</f>
        <v>0.52900000000000014</v>
      </c>
      <c r="U196" s="12">
        <f t="shared" ref="U196:AG196" si="198">1-U195</f>
        <v>0.5296153846153846</v>
      </c>
      <c r="V196" s="12">
        <f t="shared" si="198"/>
        <v>0.53023076923076928</v>
      </c>
      <c r="W196" s="12">
        <f t="shared" si="198"/>
        <v>0.53084615384615397</v>
      </c>
      <c r="X196" s="12">
        <f t="shared" si="198"/>
        <v>0.53146153846153843</v>
      </c>
      <c r="Y196" s="12">
        <f t="shared" si="198"/>
        <v>0.53207692307692311</v>
      </c>
      <c r="Z196" s="12">
        <f t="shared" si="198"/>
        <v>0.5326923076923078</v>
      </c>
      <c r="AA196" s="12">
        <f t="shared" si="198"/>
        <v>0.53330769230769237</v>
      </c>
      <c r="AB196" s="12">
        <f t="shared" si="198"/>
        <v>0.53392307692307694</v>
      </c>
      <c r="AC196" s="12">
        <f t="shared" si="198"/>
        <v>0.53453846153846163</v>
      </c>
      <c r="AD196" s="12">
        <f t="shared" si="198"/>
        <v>0.5351538461538462</v>
      </c>
      <c r="AE196" s="12">
        <f t="shared" si="198"/>
        <v>0.53576923076923078</v>
      </c>
      <c r="AF196" s="12">
        <f t="shared" si="198"/>
        <v>0.53638461538461546</v>
      </c>
      <c r="AG196" s="12">
        <f t="shared" si="198"/>
        <v>0.53700000000000003</v>
      </c>
    </row>
    <row r="197" spans="1:33" ht="15" hidden="1" thickBot="1" x14ac:dyDescent="0.4">
      <c r="A197" s="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21"/>
    </row>
    <row r="198" spans="1:33" ht="15" hidden="1" thickBot="1" x14ac:dyDescent="0.4">
      <c r="A198" s="150" t="s">
        <v>18</v>
      </c>
      <c r="B198" s="54" t="s">
        <v>19</v>
      </c>
      <c r="C198" s="49"/>
      <c r="D198" s="84" t="e">
        <f t="shared" ref="D198:Q198" si="199">D191*T198</f>
        <v>#REF!</v>
      </c>
      <c r="E198" s="84" t="e">
        <f t="shared" si="199"/>
        <v>#REF!</v>
      </c>
      <c r="F198" s="84" t="e">
        <f t="shared" si="199"/>
        <v>#REF!</v>
      </c>
      <c r="G198" s="84" t="e">
        <f t="shared" si="199"/>
        <v>#REF!</v>
      </c>
      <c r="H198" s="84" t="e">
        <f t="shared" si="199"/>
        <v>#REF!</v>
      </c>
      <c r="I198" s="84" t="e">
        <f t="shared" si="199"/>
        <v>#REF!</v>
      </c>
      <c r="J198" s="84" t="e">
        <f t="shared" si="199"/>
        <v>#REF!</v>
      </c>
      <c r="K198" s="84" t="e">
        <f t="shared" si="199"/>
        <v>#REF!</v>
      </c>
      <c r="L198" s="84" t="e">
        <f t="shared" si="199"/>
        <v>#REF!</v>
      </c>
      <c r="M198" s="84" t="e">
        <f t="shared" si="199"/>
        <v>#REF!</v>
      </c>
      <c r="N198" s="84" t="e">
        <f t="shared" si="199"/>
        <v>#REF!</v>
      </c>
      <c r="O198" s="84" t="e">
        <f t="shared" si="199"/>
        <v>#REF!</v>
      </c>
      <c r="P198" s="84" t="e">
        <f t="shared" si="199"/>
        <v>#REF!</v>
      </c>
      <c r="Q198" s="84" t="e">
        <f t="shared" si="199"/>
        <v>#REF!</v>
      </c>
      <c r="R198" s="71" t="e">
        <f>RATE(12,,-E198,Q198)</f>
        <v>#REF!</v>
      </c>
      <c r="S198" s="54"/>
      <c r="T198" s="12">
        <v>0.40099999999999997</v>
      </c>
      <c r="U198" s="12">
        <v>0.40265090533119946</v>
      </c>
      <c r="V198" s="12">
        <v>0.40430860739160734</v>
      </c>
      <c r="W198" s="12">
        <v>0.40597313416316017</v>
      </c>
      <c r="X198" s="12">
        <v>0.40764451374299493</v>
      </c>
      <c r="Y198" s="12">
        <v>0.40932277434392395</v>
      </c>
      <c r="Z198" s="12">
        <v>0.41100794429491083</v>
      </c>
      <c r="AA198" s="12">
        <v>0.4127000520415488</v>
      </c>
      <c r="AB198" s="12">
        <v>0.41439912614654062</v>
      </c>
      <c r="AC198" s="12">
        <v>0.41610519529018092</v>
      </c>
      <c r="AD198" s="12">
        <v>0.41781828827084017</v>
      </c>
      <c r="AE198" s="12">
        <v>0.4195384340054511</v>
      </c>
      <c r="AF198" s="12">
        <v>0.4212656615299965</v>
      </c>
      <c r="AG198" s="12">
        <v>0.42299999999999938</v>
      </c>
    </row>
    <row r="199" spans="1:33" ht="15" hidden="1" thickBot="1" x14ac:dyDescent="0.4">
      <c r="A199" s="151"/>
      <c r="B199" s="56" t="s">
        <v>20</v>
      </c>
      <c r="C199" s="44"/>
      <c r="D199" s="85" t="e">
        <f t="shared" ref="D199:Q199" si="200">D191*T199</f>
        <v>#REF!</v>
      </c>
      <c r="E199" s="85" t="e">
        <f t="shared" si="200"/>
        <v>#REF!</v>
      </c>
      <c r="F199" s="85" t="e">
        <f t="shared" si="200"/>
        <v>#REF!</v>
      </c>
      <c r="G199" s="85" t="e">
        <f t="shared" si="200"/>
        <v>#REF!</v>
      </c>
      <c r="H199" s="85" t="e">
        <f t="shared" si="200"/>
        <v>#REF!</v>
      </c>
      <c r="I199" s="85" t="e">
        <f t="shared" si="200"/>
        <v>#REF!</v>
      </c>
      <c r="J199" s="85" t="e">
        <f t="shared" si="200"/>
        <v>#REF!</v>
      </c>
      <c r="K199" s="85" t="e">
        <f t="shared" si="200"/>
        <v>#REF!</v>
      </c>
      <c r="L199" s="85" t="e">
        <f t="shared" si="200"/>
        <v>#REF!</v>
      </c>
      <c r="M199" s="85" t="e">
        <f t="shared" si="200"/>
        <v>#REF!</v>
      </c>
      <c r="N199" s="85" t="e">
        <f t="shared" si="200"/>
        <v>#REF!</v>
      </c>
      <c r="O199" s="85" t="e">
        <f t="shared" si="200"/>
        <v>#REF!</v>
      </c>
      <c r="P199" s="85" t="e">
        <f t="shared" si="200"/>
        <v>#REF!</v>
      </c>
      <c r="Q199" s="85" t="e">
        <f t="shared" si="200"/>
        <v>#REF!</v>
      </c>
      <c r="R199" s="72" t="e">
        <f>RATE(12,,-E199,Q199)</f>
        <v>#REF!</v>
      </c>
      <c r="S199" s="56"/>
      <c r="T199" s="12">
        <f>1-T198</f>
        <v>0.59899999999999998</v>
      </c>
      <c r="U199" s="12">
        <f t="shared" ref="U199:AG199" si="201">1-U198</f>
        <v>0.59734909466880048</v>
      </c>
      <c r="V199" s="12">
        <f t="shared" si="201"/>
        <v>0.59569139260839266</v>
      </c>
      <c r="W199" s="12">
        <f t="shared" si="201"/>
        <v>0.59402686583683983</v>
      </c>
      <c r="X199" s="12">
        <f t="shared" si="201"/>
        <v>0.59235548625700507</v>
      </c>
      <c r="Y199" s="12">
        <f t="shared" si="201"/>
        <v>0.59067722565607605</v>
      </c>
      <c r="Z199" s="12">
        <f t="shared" si="201"/>
        <v>0.58899205570508917</v>
      </c>
      <c r="AA199" s="12">
        <f t="shared" si="201"/>
        <v>0.5872999479584512</v>
      </c>
      <c r="AB199" s="12">
        <f t="shared" si="201"/>
        <v>0.58560087385345938</v>
      </c>
      <c r="AC199" s="12">
        <f t="shared" si="201"/>
        <v>0.58389480470981914</v>
      </c>
      <c r="AD199" s="12">
        <f t="shared" si="201"/>
        <v>0.58218171172915989</v>
      </c>
      <c r="AE199" s="12">
        <f t="shared" si="201"/>
        <v>0.5804615659945489</v>
      </c>
      <c r="AF199" s="12">
        <f t="shared" si="201"/>
        <v>0.57873433847000344</v>
      </c>
      <c r="AG199" s="12">
        <f t="shared" si="201"/>
        <v>0.57700000000000062</v>
      </c>
    </row>
    <row r="200" spans="1:33" ht="15" hidden="1" thickBot="1" x14ac:dyDescent="0.4">
      <c r="A200" s="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21"/>
    </row>
    <row r="201" spans="1:33" ht="15" hidden="1" thickBot="1" x14ac:dyDescent="0.4">
      <c r="A201" s="150" t="s">
        <v>14</v>
      </c>
      <c r="B201" s="59" t="s">
        <v>21</v>
      </c>
      <c r="C201" s="50"/>
      <c r="D201" s="86" t="e">
        <f t="shared" ref="D201:Q201" si="202">D191*T201</f>
        <v>#REF!</v>
      </c>
      <c r="E201" s="86" t="e">
        <f t="shared" si="202"/>
        <v>#REF!</v>
      </c>
      <c r="F201" s="86" t="e">
        <f t="shared" si="202"/>
        <v>#REF!</v>
      </c>
      <c r="G201" s="86" t="e">
        <f t="shared" si="202"/>
        <v>#REF!</v>
      </c>
      <c r="H201" s="86" t="e">
        <f t="shared" si="202"/>
        <v>#REF!</v>
      </c>
      <c r="I201" s="86" t="e">
        <f t="shared" si="202"/>
        <v>#REF!</v>
      </c>
      <c r="J201" s="86" t="e">
        <f t="shared" si="202"/>
        <v>#REF!</v>
      </c>
      <c r="K201" s="86" t="e">
        <f t="shared" si="202"/>
        <v>#REF!</v>
      </c>
      <c r="L201" s="86" t="e">
        <f t="shared" si="202"/>
        <v>#REF!</v>
      </c>
      <c r="M201" s="86" t="e">
        <f t="shared" si="202"/>
        <v>#REF!</v>
      </c>
      <c r="N201" s="86" t="e">
        <f t="shared" si="202"/>
        <v>#REF!</v>
      </c>
      <c r="O201" s="86" t="e">
        <f t="shared" si="202"/>
        <v>#REF!</v>
      </c>
      <c r="P201" s="86" t="e">
        <f t="shared" si="202"/>
        <v>#REF!</v>
      </c>
      <c r="Q201" s="86" t="e">
        <f t="shared" si="202"/>
        <v>#REF!</v>
      </c>
      <c r="R201" s="73" t="e">
        <f t="shared" ref="R201:R206" si="203">RATE(12,,-E201,Q201)</f>
        <v>#REF!</v>
      </c>
      <c r="S201" s="59"/>
      <c r="T201" s="12">
        <v>0.25</v>
      </c>
      <c r="U201" s="12">
        <v>0.25155593539307364</v>
      </c>
      <c r="V201" s="12">
        <v>0.25312155452593693</v>
      </c>
      <c r="W201" s="12">
        <v>0.25469691766768382</v>
      </c>
      <c r="X201" s="12">
        <v>0.25628208546250747</v>
      </c>
      <c r="Y201" s="12">
        <v>0.2578771189320348</v>
      </c>
      <c r="Z201" s="12">
        <v>0.25948207947767565</v>
      </c>
      <c r="AA201" s="12">
        <v>0.2610970288829863</v>
      </c>
      <c r="AB201" s="12">
        <v>0.26272202931604799</v>
      </c>
      <c r="AC201" s="12">
        <v>0.26435714333185978</v>
      </c>
      <c r="AD201" s="12">
        <v>0.26600243387474731</v>
      </c>
      <c r="AE201" s="12">
        <v>0.26765796428078514</v>
      </c>
      <c r="AF201" s="12">
        <v>0.26932379828023517</v>
      </c>
      <c r="AG201" s="12">
        <v>0.27100000000000013</v>
      </c>
    </row>
    <row r="202" spans="1:33" ht="15" hidden="1" thickBot="1" x14ac:dyDescent="0.4">
      <c r="A202" s="155"/>
      <c r="B202" s="60" t="s">
        <v>22</v>
      </c>
      <c r="C202" s="41"/>
      <c r="D202" s="87" t="e">
        <f t="shared" ref="D202:Q202" si="204">D191*T202</f>
        <v>#REF!</v>
      </c>
      <c r="E202" s="87" t="e">
        <f t="shared" si="204"/>
        <v>#REF!</v>
      </c>
      <c r="F202" s="87" t="e">
        <f t="shared" si="204"/>
        <v>#REF!</v>
      </c>
      <c r="G202" s="87" t="e">
        <f t="shared" si="204"/>
        <v>#REF!</v>
      </c>
      <c r="H202" s="87" t="e">
        <f t="shared" si="204"/>
        <v>#REF!</v>
      </c>
      <c r="I202" s="87" t="e">
        <f t="shared" si="204"/>
        <v>#REF!</v>
      </c>
      <c r="J202" s="87" t="e">
        <f t="shared" si="204"/>
        <v>#REF!</v>
      </c>
      <c r="K202" s="87" t="e">
        <f t="shared" si="204"/>
        <v>#REF!</v>
      </c>
      <c r="L202" s="87" t="e">
        <f t="shared" si="204"/>
        <v>#REF!</v>
      </c>
      <c r="M202" s="87" t="e">
        <f t="shared" si="204"/>
        <v>#REF!</v>
      </c>
      <c r="N202" s="87" t="e">
        <f t="shared" si="204"/>
        <v>#REF!</v>
      </c>
      <c r="O202" s="87" t="e">
        <f t="shared" si="204"/>
        <v>#REF!</v>
      </c>
      <c r="P202" s="87" t="e">
        <f t="shared" si="204"/>
        <v>#REF!</v>
      </c>
      <c r="Q202" s="87" t="e">
        <f t="shared" si="204"/>
        <v>#REF!</v>
      </c>
      <c r="R202" s="74" t="e">
        <f t="shared" si="203"/>
        <v>#REF!</v>
      </c>
      <c r="S202" s="60"/>
      <c r="T202" s="12">
        <v>0.38</v>
      </c>
      <c r="U202" s="12">
        <v>0.38090988938047371</v>
      </c>
      <c r="V202" s="12">
        <v>0.38182195744169661</v>
      </c>
      <c r="W202" s="12">
        <v>0.38273620940040159</v>
      </c>
      <c r="X202" s="12">
        <v>0.38365265048581265</v>
      </c>
      <c r="Y202" s="12">
        <v>0.38457128593967477</v>
      </c>
      <c r="Z202" s="12">
        <v>0.38549212101628438</v>
      </c>
      <c r="AA202" s="12">
        <v>0.38641516098251855</v>
      </c>
      <c r="AB202" s="12">
        <v>0.38734041111786593</v>
      </c>
      <c r="AC202" s="12">
        <v>0.38826787671445667</v>
      </c>
      <c r="AD202" s="12">
        <v>0.38919756307709236</v>
      </c>
      <c r="AE202" s="12">
        <v>0.39012947552327681</v>
      </c>
      <c r="AF202" s="12">
        <v>0.3910636193832463</v>
      </c>
      <c r="AG202" s="12">
        <v>0.39200000000000002</v>
      </c>
    </row>
    <row r="203" spans="1:33" ht="15" hidden="1" thickBot="1" x14ac:dyDescent="0.4">
      <c r="A203" s="155"/>
      <c r="B203" s="61" t="s">
        <v>23</v>
      </c>
      <c r="C203" s="41"/>
      <c r="D203" s="88" t="e">
        <f t="shared" ref="D203:Q203" si="205">D202*T203</f>
        <v>#REF!</v>
      </c>
      <c r="E203" s="88" t="e">
        <f t="shared" si="205"/>
        <v>#REF!</v>
      </c>
      <c r="F203" s="88" t="e">
        <f t="shared" si="205"/>
        <v>#REF!</v>
      </c>
      <c r="G203" s="88" t="e">
        <f t="shared" si="205"/>
        <v>#REF!</v>
      </c>
      <c r="H203" s="88" t="e">
        <f t="shared" si="205"/>
        <v>#REF!</v>
      </c>
      <c r="I203" s="88" t="e">
        <f t="shared" si="205"/>
        <v>#REF!</v>
      </c>
      <c r="J203" s="88" t="e">
        <f t="shared" si="205"/>
        <v>#REF!</v>
      </c>
      <c r="K203" s="88" t="e">
        <f t="shared" si="205"/>
        <v>#REF!</v>
      </c>
      <c r="L203" s="88" t="e">
        <f t="shared" si="205"/>
        <v>#REF!</v>
      </c>
      <c r="M203" s="88" t="e">
        <f t="shared" si="205"/>
        <v>#REF!</v>
      </c>
      <c r="N203" s="88" t="e">
        <f t="shared" si="205"/>
        <v>#REF!</v>
      </c>
      <c r="O203" s="88" t="e">
        <f t="shared" si="205"/>
        <v>#REF!</v>
      </c>
      <c r="P203" s="88" t="e">
        <f t="shared" si="205"/>
        <v>#REF!</v>
      </c>
      <c r="Q203" s="88" t="e">
        <f t="shared" si="205"/>
        <v>#REF!</v>
      </c>
      <c r="R203" s="74" t="e">
        <f t="shared" si="203"/>
        <v>#REF!</v>
      </c>
      <c r="S203" s="61"/>
      <c r="T203" s="67">
        <v>0.34999999999999987</v>
      </c>
      <c r="U203" s="67">
        <v>0.34938588387166564</v>
      </c>
      <c r="V203" s="67">
        <v>0.34877284528224306</v>
      </c>
      <c r="W203" s="67">
        <v>0.34816088234106346</v>
      </c>
      <c r="X203" s="67">
        <v>0.34754999316077562</v>
      </c>
      <c r="Y203" s="67">
        <v>0.34694017585733994</v>
      </c>
      <c r="Z203" s="67">
        <v>0.34633142855002247</v>
      </c>
      <c r="AA203" s="67">
        <v>0.34572374936138933</v>
      </c>
      <c r="AB203" s="67">
        <v>0.34511713641730069</v>
      </c>
      <c r="AC203" s="67">
        <v>0.34451158784690528</v>
      </c>
      <c r="AD203" s="67">
        <v>0.34390710178263434</v>
      </c>
      <c r="AE203" s="67">
        <v>0.34330367636019604</v>
      </c>
      <c r="AF203" s="67">
        <v>0.34270130971856966</v>
      </c>
      <c r="AG203" s="67">
        <v>0.34209999999999979</v>
      </c>
    </row>
    <row r="204" spans="1:33" ht="15" hidden="1" thickBot="1" x14ac:dyDescent="0.4">
      <c r="A204" s="155"/>
      <c r="B204" s="61" t="s">
        <v>24</v>
      </c>
      <c r="C204" s="41"/>
      <c r="D204" s="88" t="e">
        <f t="shared" ref="D204:Q204" si="206">D202*T204</f>
        <v>#REF!</v>
      </c>
      <c r="E204" s="88" t="e">
        <f t="shared" si="206"/>
        <v>#REF!</v>
      </c>
      <c r="F204" s="88" t="e">
        <f t="shared" si="206"/>
        <v>#REF!</v>
      </c>
      <c r="G204" s="88" t="e">
        <f t="shared" si="206"/>
        <v>#REF!</v>
      </c>
      <c r="H204" s="88" t="e">
        <f t="shared" si="206"/>
        <v>#REF!</v>
      </c>
      <c r="I204" s="88" t="e">
        <f t="shared" si="206"/>
        <v>#REF!</v>
      </c>
      <c r="J204" s="88" t="e">
        <f t="shared" si="206"/>
        <v>#REF!</v>
      </c>
      <c r="K204" s="88" t="e">
        <f t="shared" si="206"/>
        <v>#REF!</v>
      </c>
      <c r="L204" s="88" t="e">
        <f t="shared" si="206"/>
        <v>#REF!</v>
      </c>
      <c r="M204" s="88" t="e">
        <f t="shared" si="206"/>
        <v>#REF!</v>
      </c>
      <c r="N204" s="88" t="e">
        <f t="shared" si="206"/>
        <v>#REF!</v>
      </c>
      <c r="O204" s="88" t="e">
        <f t="shared" si="206"/>
        <v>#REF!</v>
      </c>
      <c r="P204" s="88" t="e">
        <f t="shared" si="206"/>
        <v>#REF!</v>
      </c>
      <c r="Q204" s="88" t="e">
        <f t="shared" si="206"/>
        <v>#REF!</v>
      </c>
      <c r="R204" s="74" t="e">
        <f t="shared" si="203"/>
        <v>#REF!</v>
      </c>
      <c r="S204" s="61"/>
      <c r="T204" s="67">
        <v>0.28000000000000003</v>
      </c>
      <c r="U204" s="67">
        <v>0.28097918830490543</v>
      </c>
      <c r="V204" s="67">
        <v>0.28196180093029821</v>
      </c>
      <c r="W204" s="67">
        <v>0.28294784985137333</v>
      </c>
      <c r="X204" s="67">
        <v>0.28393734708520407</v>
      </c>
      <c r="Y204" s="67">
        <v>0.28493030469088876</v>
      </c>
      <c r="Z204" s="67">
        <v>0.28592673476969749</v>
      </c>
      <c r="AA204" s="67">
        <v>0.28692664946521995</v>
      </c>
      <c r="AB204" s="67">
        <v>0.28793006096351298</v>
      </c>
      <c r="AC204" s="67">
        <v>0.28893698149324931</v>
      </c>
      <c r="AD204" s="67">
        <v>0.28994742332586665</v>
      </c>
      <c r="AE204" s="67">
        <v>0.29096139877571725</v>
      </c>
      <c r="AF204" s="67">
        <v>0.29197892020021765</v>
      </c>
      <c r="AG204" s="67">
        <v>0.29299999999999965</v>
      </c>
    </row>
    <row r="205" spans="1:33" ht="15" hidden="1" thickBot="1" x14ac:dyDescent="0.4">
      <c r="A205" s="155"/>
      <c r="B205" s="61" t="s">
        <v>25</v>
      </c>
      <c r="C205" s="41"/>
      <c r="D205" s="88" t="e">
        <f t="shared" ref="D205:Q205" si="207">D202*T205</f>
        <v>#REF!</v>
      </c>
      <c r="E205" s="88" t="e">
        <f t="shared" si="207"/>
        <v>#REF!</v>
      </c>
      <c r="F205" s="88" t="e">
        <f t="shared" si="207"/>
        <v>#REF!</v>
      </c>
      <c r="G205" s="88" t="e">
        <f t="shared" si="207"/>
        <v>#REF!</v>
      </c>
      <c r="H205" s="88" t="e">
        <f t="shared" si="207"/>
        <v>#REF!</v>
      </c>
      <c r="I205" s="88" t="e">
        <f t="shared" si="207"/>
        <v>#REF!</v>
      </c>
      <c r="J205" s="88" t="e">
        <f t="shared" si="207"/>
        <v>#REF!</v>
      </c>
      <c r="K205" s="88" t="e">
        <f t="shared" si="207"/>
        <v>#REF!</v>
      </c>
      <c r="L205" s="88" t="e">
        <f t="shared" si="207"/>
        <v>#REF!</v>
      </c>
      <c r="M205" s="88" t="e">
        <f t="shared" si="207"/>
        <v>#REF!</v>
      </c>
      <c r="N205" s="88" t="e">
        <f t="shared" si="207"/>
        <v>#REF!</v>
      </c>
      <c r="O205" s="88" t="e">
        <f t="shared" si="207"/>
        <v>#REF!</v>
      </c>
      <c r="P205" s="88" t="e">
        <f t="shared" si="207"/>
        <v>#REF!</v>
      </c>
      <c r="Q205" s="88" t="e">
        <f t="shared" si="207"/>
        <v>#REF!</v>
      </c>
      <c r="R205" s="74" t="e">
        <f t="shared" si="203"/>
        <v>#REF!</v>
      </c>
      <c r="S205" s="61"/>
      <c r="T205" s="67">
        <f>1-SUM(T203:T204)</f>
        <v>0.37000000000000011</v>
      </c>
      <c r="U205" s="67">
        <f t="shared" ref="U205:AG205" si="208">1-SUM(U203:U204)</f>
        <v>0.36963492782342899</v>
      </c>
      <c r="V205" s="67">
        <f t="shared" si="208"/>
        <v>0.36926535378745873</v>
      </c>
      <c r="W205" s="67">
        <f t="shared" si="208"/>
        <v>0.36889126780756321</v>
      </c>
      <c r="X205" s="67">
        <f t="shared" si="208"/>
        <v>0.36851265975402026</v>
      </c>
      <c r="Y205" s="67">
        <f t="shared" si="208"/>
        <v>0.3681295194517713</v>
      </c>
      <c r="Z205" s="67">
        <f t="shared" si="208"/>
        <v>0.36774183668028004</v>
      </c>
      <c r="AA205" s="67">
        <f t="shared" si="208"/>
        <v>0.36734960117339077</v>
      </c>
      <c r="AB205" s="67">
        <f t="shared" si="208"/>
        <v>0.36695280261918639</v>
      </c>
      <c r="AC205" s="67">
        <f t="shared" si="208"/>
        <v>0.36655143065984541</v>
      </c>
      <c r="AD205" s="67">
        <f t="shared" si="208"/>
        <v>0.36614547489149896</v>
      </c>
      <c r="AE205" s="67">
        <f t="shared" si="208"/>
        <v>0.36573492486408665</v>
      </c>
      <c r="AF205" s="67">
        <f t="shared" si="208"/>
        <v>0.36531977008121275</v>
      </c>
      <c r="AG205" s="67">
        <f t="shared" si="208"/>
        <v>0.36490000000000056</v>
      </c>
    </row>
    <row r="206" spans="1:33" ht="15" hidden="1" thickBot="1" x14ac:dyDescent="0.4">
      <c r="A206" s="151"/>
      <c r="B206" s="62" t="s">
        <v>26</v>
      </c>
      <c r="C206" s="51"/>
      <c r="D206" s="89" t="e">
        <f t="shared" ref="D206:Q206" si="209">D191*T206</f>
        <v>#REF!</v>
      </c>
      <c r="E206" s="89" t="e">
        <f t="shared" si="209"/>
        <v>#REF!</v>
      </c>
      <c r="F206" s="89" t="e">
        <f t="shared" si="209"/>
        <v>#REF!</v>
      </c>
      <c r="G206" s="89" t="e">
        <f t="shared" si="209"/>
        <v>#REF!</v>
      </c>
      <c r="H206" s="89" t="e">
        <f t="shared" si="209"/>
        <v>#REF!</v>
      </c>
      <c r="I206" s="89" t="e">
        <f t="shared" si="209"/>
        <v>#REF!</v>
      </c>
      <c r="J206" s="89" t="e">
        <f t="shared" si="209"/>
        <v>#REF!</v>
      </c>
      <c r="K206" s="89" t="e">
        <f t="shared" si="209"/>
        <v>#REF!</v>
      </c>
      <c r="L206" s="89" t="e">
        <f t="shared" si="209"/>
        <v>#REF!</v>
      </c>
      <c r="M206" s="89" t="e">
        <f t="shared" si="209"/>
        <v>#REF!</v>
      </c>
      <c r="N206" s="89" t="e">
        <f t="shared" si="209"/>
        <v>#REF!</v>
      </c>
      <c r="O206" s="89" t="e">
        <f t="shared" si="209"/>
        <v>#REF!</v>
      </c>
      <c r="P206" s="89" t="e">
        <f t="shared" si="209"/>
        <v>#REF!</v>
      </c>
      <c r="Q206" s="89" t="e">
        <f t="shared" si="209"/>
        <v>#REF!</v>
      </c>
      <c r="R206" s="75" t="e">
        <f t="shared" si="203"/>
        <v>#REF!</v>
      </c>
      <c r="S206" s="62"/>
      <c r="T206" s="12">
        <f>1-SUM(T201+T202)</f>
        <v>0.37</v>
      </c>
      <c r="U206" s="12">
        <f t="shared" ref="U206:AG206" si="210">1-SUM(U201+U202)</f>
        <v>0.36753417522645271</v>
      </c>
      <c r="V206" s="12">
        <f t="shared" si="210"/>
        <v>0.36505648803236646</v>
      </c>
      <c r="W206" s="12">
        <f t="shared" si="210"/>
        <v>0.36256687293191459</v>
      </c>
      <c r="X206" s="12">
        <f t="shared" si="210"/>
        <v>0.36006526405167993</v>
      </c>
      <c r="Y206" s="12">
        <f t="shared" si="210"/>
        <v>0.35755159512829038</v>
      </c>
      <c r="Z206" s="12">
        <f t="shared" si="210"/>
        <v>0.35502579950603996</v>
      </c>
      <c r="AA206" s="12">
        <f t="shared" si="210"/>
        <v>0.35248781013449515</v>
      </c>
      <c r="AB206" s="12">
        <f t="shared" si="210"/>
        <v>0.34993755956608608</v>
      </c>
      <c r="AC206" s="12">
        <f t="shared" si="210"/>
        <v>0.3473749799536836</v>
      </c>
      <c r="AD206" s="12">
        <f t="shared" si="210"/>
        <v>0.34480000304816039</v>
      </c>
      <c r="AE206" s="12">
        <f t="shared" si="210"/>
        <v>0.34221256019593804</v>
      </c>
      <c r="AF206" s="12">
        <f t="shared" si="210"/>
        <v>0.33961258233651859</v>
      </c>
      <c r="AG206" s="12">
        <f t="shared" si="210"/>
        <v>0.33699999999999986</v>
      </c>
    </row>
    <row r="207" spans="1:33" ht="15" hidden="1" thickBot="1" x14ac:dyDescent="0.4">
      <c r="A207" s="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21"/>
    </row>
    <row r="208" spans="1:33" ht="15" hidden="1" thickBot="1" x14ac:dyDescent="0.4">
      <c r="A208" s="152" t="s">
        <v>27</v>
      </c>
      <c r="B208" s="54" t="s">
        <v>28</v>
      </c>
      <c r="C208" s="49"/>
      <c r="D208" s="84" t="e">
        <f t="shared" ref="D208:Q208" si="211">D191*T208</f>
        <v>#REF!</v>
      </c>
      <c r="E208" s="84" t="e">
        <f t="shared" si="211"/>
        <v>#REF!</v>
      </c>
      <c r="F208" s="84" t="e">
        <f t="shared" si="211"/>
        <v>#REF!</v>
      </c>
      <c r="G208" s="84" t="e">
        <f t="shared" si="211"/>
        <v>#REF!</v>
      </c>
      <c r="H208" s="84" t="e">
        <f t="shared" si="211"/>
        <v>#REF!</v>
      </c>
      <c r="I208" s="84" t="e">
        <f t="shared" si="211"/>
        <v>#REF!</v>
      </c>
      <c r="J208" s="84" t="e">
        <f t="shared" si="211"/>
        <v>#REF!</v>
      </c>
      <c r="K208" s="84" t="e">
        <f t="shared" si="211"/>
        <v>#REF!</v>
      </c>
      <c r="L208" s="84" t="e">
        <f t="shared" si="211"/>
        <v>#REF!</v>
      </c>
      <c r="M208" s="84" t="e">
        <f t="shared" si="211"/>
        <v>#REF!</v>
      </c>
      <c r="N208" s="84" t="e">
        <f t="shared" si="211"/>
        <v>#REF!</v>
      </c>
      <c r="O208" s="84" t="e">
        <f t="shared" si="211"/>
        <v>#REF!</v>
      </c>
      <c r="P208" s="84" t="e">
        <f t="shared" si="211"/>
        <v>#REF!</v>
      </c>
      <c r="Q208" s="84" t="e">
        <f t="shared" si="211"/>
        <v>#REF!</v>
      </c>
      <c r="R208" s="71" t="e">
        <f>RATE(12,,-E208,Q208)</f>
        <v>#REF!</v>
      </c>
      <c r="S208" s="54"/>
      <c r="T208" s="12">
        <v>0.40099999999999997</v>
      </c>
      <c r="U208" s="12">
        <v>0.40265090533119946</v>
      </c>
      <c r="V208" s="12">
        <v>0.40430860739160734</v>
      </c>
      <c r="W208" s="12">
        <v>0.40597313416316017</v>
      </c>
      <c r="X208" s="12">
        <v>0.40764451374299493</v>
      </c>
      <c r="Y208" s="12">
        <v>0.40932277434392395</v>
      </c>
      <c r="Z208" s="12">
        <v>0.41100794429491083</v>
      </c>
      <c r="AA208" s="12">
        <v>0.4127000520415488</v>
      </c>
      <c r="AB208" s="12">
        <v>0.41439912614654062</v>
      </c>
      <c r="AC208" s="12">
        <v>0.41610519529018092</v>
      </c>
      <c r="AD208" s="12">
        <v>0.41781828827084017</v>
      </c>
      <c r="AE208" s="12">
        <v>0.4195384340054511</v>
      </c>
      <c r="AF208" s="12">
        <v>0.4212656615299965</v>
      </c>
      <c r="AG208" s="12">
        <v>0.42299999999999938</v>
      </c>
    </row>
    <row r="209" spans="1:33" ht="15" hidden="1" thickBot="1" x14ac:dyDescent="0.4">
      <c r="A209" s="154"/>
      <c r="B209" s="55" t="s">
        <v>29</v>
      </c>
      <c r="C209" s="40"/>
      <c r="D209" s="90" t="e">
        <f t="shared" ref="D209:Q209" si="212">D191*T209</f>
        <v>#REF!</v>
      </c>
      <c r="E209" s="90" t="e">
        <f t="shared" si="212"/>
        <v>#REF!</v>
      </c>
      <c r="F209" s="90" t="e">
        <f t="shared" si="212"/>
        <v>#REF!</v>
      </c>
      <c r="G209" s="90" t="e">
        <f t="shared" si="212"/>
        <v>#REF!</v>
      </c>
      <c r="H209" s="90" t="e">
        <f t="shared" si="212"/>
        <v>#REF!</v>
      </c>
      <c r="I209" s="90" t="e">
        <f t="shared" si="212"/>
        <v>#REF!</v>
      </c>
      <c r="J209" s="90" t="e">
        <f t="shared" si="212"/>
        <v>#REF!</v>
      </c>
      <c r="K209" s="90" t="e">
        <f t="shared" si="212"/>
        <v>#REF!</v>
      </c>
      <c r="L209" s="90" t="e">
        <f t="shared" si="212"/>
        <v>#REF!</v>
      </c>
      <c r="M209" s="90" t="e">
        <f t="shared" si="212"/>
        <v>#REF!</v>
      </c>
      <c r="N209" s="90" t="e">
        <f t="shared" si="212"/>
        <v>#REF!</v>
      </c>
      <c r="O209" s="90" t="e">
        <f t="shared" si="212"/>
        <v>#REF!</v>
      </c>
      <c r="P209" s="90" t="e">
        <f t="shared" si="212"/>
        <v>#REF!</v>
      </c>
      <c r="Q209" s="90" t="e">
        <f t="shared" si="212"/>
        <v>#REF!</v>
      </c>
      <c r="R209" s="76" t="e">
        <f>RATE(12,,-E209,Q209)</f>
        <v>#REF!</v>
      </c>
      <c r="S209" s="55"/>
      <c r="T209" s="12">
        <v>0.43099999999999999</v>
      </c>
      <c r="U209" s="12">
        <v>0.43183634674261745</v>
      </c>
      <c r="V209" s="12">
        <v>0.43267431639909548</v>
      </c>
      <c r="W209" s="12">
        <v>0.43351391211866536</v>
      </c>
      <c r="X209" s="12">
        <v>0.43435513705666956</v>
      </c>
      <c r="Y209" s="12">
        <v>0.43519799437457324</v>
      </c>
      <c r="Z209" s="12">
        <v>0.43604248723997657</v>
      </c>
      <c r="AA209" s="12">
        <v>0.43688861882662616</v>
      </c>
      <c r="AB209" s="12">
        <v>0.43773639231442729</v>
      </c>
      <c r="AC209" s="12">
        <v>0.43858581088945586</v>
      </c>
      <c r="AD209" s="12">
        <v>0.43943687774397006</v>
      </c>
      <c r="AE209" s="12">
        <v>0.44028959607642287</v>
      </c>
      <c r="AF209" s="12">
        <v>0.44114396909147369</v>
      </c>
      <c r="AG209" s="12">
        <v>0.44200000000000028</v>
      </c>
    </row>
    <row r="210" spans="1:33" ht="15" hidden="1" thickBot="1" x14ac:dyDescent="0.4">
      <c r="A210" s="153"/>
      <c r="B210" s="56" t="s">
        <v>30</v>
      </c>
      <c r="C210" s="44"/>
      <c r="D210" s="85" t="e">
        <f t="shared" ref="D210:Q210" si="213">D191*T210</f>
        <v>#REF!</v>
      </c>
      <c r="E210" s="85" t="e">
        <f t="shared" si="213"/>
        <v>#REF!</v>
      </c>
      <c r="F210" s="85" t="e">
        <f t="shared" si="213"/>
        <v>#REF!</v>
      </c>
      <c r="G210" s="85" t="e">
        <f t="shared" si="213"/>
        <v>#REF!</v>
      </c>
      <c r="H210" s="85" t="e">
        <f t="shared" si="213"/>
        <v>#REF!</v>
      </c>
      <c r="I210" s="85" t="e">
        <f t="shared" si="213"/>
        <v>#REF!</v>
      </c>
      <c r="J210" s="85" t="e">
        <f t="shared" si="213"/>
        <v>#REF!</v>
      </c>
      <c r="K210" s="85" t="e">
        <f t="shared" si="213"/>
        <v>#REF!</v>
      </c>
      <c r="L210" s="85" t="e">
        <f t="shared" si="213"/>
        <v>#REF!</v>
      </c>
      <c r="M210" s="85" t="e">
        <f t="shared" si="213"/>
        <v>#REF!</v>
      </c>
      <c r="N210" s="85" t="e">
        <f t="shared" si="213"/>
        <v>#REF!</v>
      </c>
      <c r="O210" s="85" t="e">
        <f t="shared" si="213"/>
        <v>#REF!</v>
      </c>
      <c r="P210" s="85" t="e">
        <f t="shared" si="213"/>
        <v>#REF!</v>
      </c>
      <c r="Q210" s="85" t="e">
        <f t="shared" si="213"/>
        <v>#REF!</v>
      </c>
      <c r="R210" s="72" t="e">
        <f>RATE(12,,-E210,Q210)</f>
        <v>#REF!</v>
      </c>
      <c r="S210" s="56"/>
      <c r="T210" s="12">
        <f>1-SUM(T208:T209)</f>
        <v>0.16800000000000004</v>
      </c>
      <c r="U210" s="12">
        <f t="shared" ref="U210:AG210" si="214">1-SUM(U208:U209)</f>
        <v>0.16551274792618309</v>
      </c>
      <c r="V210" s="12">
        <f t="shared" si="214"/>
        <v>0.16301707620929717</v>
      </c>
      <c r="W210" s="12">
        <f t="shared" si="214"/>
        <v>0.16051295371817442</v>
      </c>
      <c r="X210" s="12">
        <f t="shared" si="214"/>
        <v>0.15800034920033545</v>
      </c>
      <c r="Y210" s="12">
        <f t="shared" si="214"/>
        <v>0.15547923128150276</v>
      </c>
      <c r="Z210" s="12">
        <f t="shared" si="214"/>
        <v>0.15294956846511254</v>
      </c>
      <c r="AA210" s="12">
        <f t="shared" si="214"/>
        <v>0.15041132913182498</v>
      </c>
      <c r="AB210" s="12">
        <f t="shared" si="214"/>
        <v>0.14786448153903209</v>
      </c>
      <c r="AC210" s="12">
        <f t="shared" si="214"/>
        <v>0.14530899382036322</v>
      </c>
      <c r="AD210" s="12">
        <f t="shared" si="214"/>
        <v>0.14274483398518978</v>
      </c>
      <c r="AE210" s="12">
        <f t="shared" si="214"/>
        <v>0.14017196991812608</v>
      </c>
      <c r="AF210" s="12">
        <f t="shared" si="214"/>
        <v>0.13759036937852986</v>
      </c>
      <c r="AG210" s="12">
        <f t="shared" si="214"/>
        <v>0.13500000000000034</v>
      </c>
    </row>
    <row r="211" spans="1:33" ht="15.5" x14ac:dyDescent="0.35">
      <c r="A211" s="42"/>
      <c r="B211" s="43"/>
      <c r="C211" s="93"/>
      <c r="D211" s="91">
        <v>2023</v>
      </c>
      <c r="E211" s="65">
        <v>2024</v>
      </c>
      <c r="F211" s="65">
        <v>2025</v>
      </c>
      <c r="G211" s="65">
        <v>2026</v>
      </c>
      <c r="H211" s="65">
        <v>2027</v>
      </c>
      <c r="I211" s="65">
        <v>2028</v>
      </c>
      <c r="J211" s="65">
        <v>2029</v>
      </c>
      <c r="K211" s="65">
        <v>2030</v>
      </c>
      <c r="L211" s="65">
        <v>2031</v>
      </c>
      <c r="M211" s="65">
        <v>2032</v>
      </c>
      <c r="N211" s="65">
        <v>2033</v>
      </c>
      <c r="O211" s="65">
        <v>2034</v>
      </c>
      <c r="P211" s="65">
        <v>2035</v>
      </c>
      <c r="Q211" s="65">
        <v>2036</v>
      </c>
      <c r="R211" s="66" t="s">
        <v>84</v>
      </c>
    </row>
    <row r="212" spans="1:33" ht="16" thickBot="1" x14ac:dyDescent="0.4">
      <c r="A212" s="1"/>
      <c r="C212" s="21"/>
      <c r="D212" s="92">
        <f>'Market Analysis '!C65</f>
        <v>187.23120000000014</v>
      </c>
      <c r="E212" s="92">
        <f>'Market Analysis '!D65</f>
        <v>197.90337840000015</v>
      </c>
      <c r="F212" s="92">
        <f>'Market Analysis '!E65</f>
        <v>209.23219197004798</v>
      </c>
      <c r="G212" s="92">
        <f>'Market Analysis '!F65</f>
        <v>221.26081994169382</v>
      </c>
      <c r="H212" s="92">
        <f>'Market Analysis '!G65</f>
        <v>234.03545410597516</v>
      </c>
      <c r="I212" s="92">
        <f>'Market Analysis '!H65</f>
        <v>247.60552055782549</v>
      </c>
      <c r="J212" s="92">
        <f>'Market Analysis '!I65</f>
        <v>262.0239185823346</v>
      </c>
      <c r="K212" s="92">
        <f>'Market Analysis '!J65</f>
        <v>277.34727806939247</v>
      </c>
      <c r="L212" s="92">
        <f>'Market Analysis '!K65</f>
        <v>293.63623696022597</v>
      </c>
      <c r="M212" s="92">
        <f>'Market Analysis '!L65</f>
        <v>310.95574035658433</v>
      </c>
      <c r="N212" s="92">
        <f>'Market Analysis '!M65</f>
        <v>329.37536306177572</v>
      </c>
      <c r="O212" s="92">
        <f>'Market Analysis '!N65</f>
        <v>348.96965747342779</v>
      </c>
      <c r="P212" s="92">
        <f>'Market Analysis '!O65</f>
        <v>369.81852891186418</v>
      </c>
      <c r="Q212" s="92">
        <f>'Market Analysis '!P65</f>
        <v>392.00764064657602</v>
      </c>
      <c r="R212" s="68">
        <f t="shared" ref="R212:R217" si="215">RATE(9,,-H212,Q212)</f>
        <v>5.8986246544730357E-2</v>
      </c>
      <c r="T212" s="65">
        <v>2023</v>
      </c>
      <c r="U212" s="65">
        <v>2024</v>
      </c>
      <c r="V212" s="65">
        <v>2025</v>
      </c>
      <c r="W212" s="65">
        <v>2026</v>
      </c>
      <c r="X212" s="65">
        <v>2027</v>
      </c>
      <c r="Y212" s="65">
        <v>2028</v>
      </c>
      <c r="Z212" s="65">
        <v>2029</v>
      </c>
      <c r="AA212" s="65">
        <v>2030</v>
      </c>
      <c r="AB212" s="65">
        <v>2031</v>
      </c>
      <c r="AC212" s="65">
        <v>2032</v>
      </c>
      <c r="AD212" s="65">
        <v>2033</v>
      </c>
      <c r="AE212" s="65">
        <v>2034</v>
      </c>
      <c r="AF212" s="65">
        <v>2035</v>
      </c>
      <c r="AG212" s="65">
        <v>2036</v>
      </c>
    </row>
    <row r="213" spans="1:33" s="121" customFormat="1" x14ac:dyDescent="0.35">
      <c r="A213" s="147" t="s">
        <v>59</v>
      </c>
      <c r="B213" s="118" t="s">
        <v>60</v>
      </c>
      <c r="C213" s="119"/>
      <c r="D213" s="120">
        <f>D212*T213</f>
        <v>65.530920000000037</v>
      </c>
      <c r="E213" s="120">
        <f t="shared" ref="E213" si="216">E212*U213</f>
        <v>69.981326683562031</v>
      </c>
      <c r="F213" s="120">
        <f>F212*V213</f>
        <v>74.751237576160534</v>
      </c>
      <c r="G213" s="120">
        <f t="shared" ref="G213:Q213" si="217">G212*W213</f>
        <v>79.864783518421774</v>
      </c>
      <c r="H213" s="120">
        <f t="shared" si="217"/>
        <v>85.34800503201707</v>
      </c>
      <c r="I213" s="120">
        <f t="shared" si="217"/>
        <v>91.229010152013075</v>
      </c>
      <c r="J213" s="120">
        <f t="shared" si="217"/>
        <v>97.538145843831614</v>
      </c>
      <c r="K213" s="120">
        <f t="shared" si="217"/>
        <v>104.30818421947211</v>
      </c>
      <c r="L213" s="120">
        <f t="shared" si="217"/>
        <v>111.57452488023382</v>
      </c>
      <c r="M213" s="120">
        <f t="shared" si="217"/>
        <v>119.37541483655954</v>
      </c>
      <c r="N213" s="120">
        <f t="shared" si="217"/>
        <v>127.75218759087227</v>
      </c>
      <c r="O213" s="120">
        <f t="shared" si="217"/>
        <v>136.74952311757224</v>
      </c>
      <c r="P213" s="120">
        <f t="shared" si="217"/>
        <v>146.41573063700471</v>
      </c>
      <c r="Q213" s="120">
        <f t="shared" si="217"/>
        <v>156.80305625863045</v>
      </c>
      <c r="R213" s="68">
        <f t="shared" si="215"/>
        <v>6.9919834787623744E-2</v>
      </c>
      <c r="S213" s="118" t="s">
        <v>60</v>
      </c>
      <c r="T213" s="116">
        <v>0.34999999999999992</v>
      </c>
      <c r="U213" s="116">
        <v>0.35361360300841621</v>
      </c>
      <c r="V213" s="116">
        <v>0.35726451495026795</v>
      </c>
      <c r="W213" s="116">
        <v>0.36095312102462412</v>
      </c>
      <c r="X213" s="116">
        <v>0.36467981040757214</v>
      </c>
      <c r="Y213" s="116">
        <v>0.36844497629327921</v>
      </c>
      <c r="Z213" s="116">
        <v>0.37224901593547705</v>
      </c>
      <c r="AA213" s="116">
        <v>0.37609233068937542</v>
      </c>
      <c r="AB213" s="116">
        <v>0.37997532605400802</v>
      </c>
      <c r="AC213" s="116">
        <v>0.38389841171501571</v>
      </c>
      <c r="AD213" s="116">
        <v>0.38786200158787171</v>
      </c>
      <c r="AE213" s="116">
        <v>0.39186651386155258</v>
      </c>
      <c r="AF213" s="116">
        <v>0.39591237104266019</v>
      </c>
      <c r="AG213" s="116">
        <v>0.40000000000000013</v>
      </c>
    </row>
    <row r="214" spans="1:33" s="117" customFormat="1" x14ac:dyDescent="0.35">
      <c r="A214" s="148"/>
      <c r="B214" s="113" t="s">
        <v>61</v>
      </c>
      <c r="C214" s="114"/>
      <c r="D214" s="115">
        <f>D212*T214</f>
        <v>56.169360000000054</v>
      </c>
      <c r="E214" s="115">
        <f t="shared" ref="E214:Q214" si="218">E212*U214</f>
        <v>59.401366909937906</v>
      </c>
      <c r="F214" s="115">
        <f t="shared" si="218"/>
        <v>62.833855886263564</v>
      </c>
      <c r="G214" s="115">
        <f t="shared" si="218"/>
        <v>66.480105538575316</v>
      </c>
      <c r="H214" s="115">
        <f t="shared" si="218"/>
        <v>70.354326935975067</v>
      </c>
      <c r="I214" s="115">
        <f t="shared" si="218"/>
        <v>74.471732649771127</v>
      </c>
      <c r="J214" s="115">
        <f t="shared" si="218"/>
        <v>78.848611162698958</v>
      </c>
      <c r="K214" s="115">
        <f t="shared" si="218"/>
        <v>83.502407080941225</v>
      </c>
      <c r="L214" s="115">
        <f t="shared" si="218"/>
        <v>88.451807622211348</v>
      </c>
      <c r="M214" s="115">
        <f t="shared" si="218"/>
        <v>93.71683589340725</v>
      </c>
      <c r="N214" s="115">
        <f t="shared" si="218"/>
        <v>99.318951515145784</v>
      </c>
      <c r="O214" s="115">
        <f t="shared" si="218"/>
        <v>105.28115919817213</v>
      </c>
      <c r="P214" s="115">
        <f t="shared" si="218"/>
        <v>111.62812592857097</v>
      </c>
      <c r="Q214" s="115">
        <f t="shared" si="218"/>
        <v>118.38630747526608</v>
      </c>
      <c r="R214" s="68">
        <f t="shared" si="215"/>
        <v>5.9527652536284857E-2</v>
      </c>
      <c r="S214" s="113" t="s">
        <v>61</v>
      </c>
      <c r="T214" s="116">
        <v>0.30000000000000004</v>
      </c>
      <c r="U214" s="116">
        <v>0.30015337479422161</v>
      </c>
      <c r="V214" s="116">
        <v>0.30030682800120145</v>
      </c>
      <c r="W214" s="116">
        <v>0.30046035966102813</v>
      </c>
      <c r="X214" s="116">
        <v>0.30061396981381056</v>
      </c>
      <c r="Y214" s="116">
        <v>0.30076765849967829</v>
      </c>
      <c r="Z214" s="116">
        <v>0.30092142575878128</v>
      </c>
      <c r="AA214" s="116">
        <v>0.30107527163128989</v>
      </c>
      <c r="AB214" s="116">
        <v>0.30122919615739541</v>
      </c>
      <c r="AC214" s="116">
        <v>0.30138319937730923</v>
      </c>
      <c r="AD214" s="116">
        <v>0.30153728133126367</v>
      </c>
      <c r="AE214" s="116">
        <v>0.30169144205951126</v>
      </c>
      <c r="AF214" s="116">
        <v>0.3018456816023255</v>
      </c>
      <c r="AG214" s="116">
        <v>0.30200000000000032</v>
      </c>
    </row>
    <row r="215" spans="1:33" s="117" customFormat="1" x14ac:dyDescent="0.35">
      <c r="A215" s="148"/>
      <c r="B215" s="113" t="s">
        <v>62</v>
      </c>
      <c r="C215" s="114"/>
      <c r="D215" s="115">
        <f>D212*T215</f>
        <v>28.08468000000002</v>
      </c>
      <c r="E215" s="115">
        <f t="shared" ref="E215:Q215" si="219">E212*U215</f>
        <v>29.730760528035493</v>
      </c>
      <c r="F215" s="115">
        <f t="shared" si="219"/>
        <v>31.480590295599491</v>
      </c>
      <c r="G215" s="115">
        <f t="shared" si="219"/>
        <v>33.341138955308352</v>
      </c>
      <c r="H215" s="115">
        <f t="shared" si="219"/>
        <v>35.319871881298411</v>
      </c>
      <c r="I215" s="115">
        <f t="shared" si="219"/>
        <v>37.424787305338839</v>
      </c>
      <c r="J215" s="115">
        <f t="shared" si="219"/>
        <v>39.664456370706553</v>
      </c>
      <c r="K215" s="115">
        <f t="shared" si="219"/>
        <v>42.048066343415911</v>
      </c>
      <c r="L215" s="115">
        <f t="shared" si="219"/>
        <v>44.585467240897103</v>
      </c>
      <c r="M215" s="115">
        <f t="shared" si="219"/>
        <v>47.287222160541873</v>
      </c>
      <c r="N215" s="115">
        <f t="shared" si="219"/>
        <v>50.164661614851042</v>
      </c>
      <c r="O215" s="115">
        <f t="shared" si="219"/>
        <v>53.229942206410136</v>
      </c>
      <c r="P215" s="115">
        <f t="shared" si="219"/>
        <v>56.49611000478852</v>
      </c>
      <c r="Q215" s="115">
        <f t="shared" si="219"/>
        <v>59.977169018926041</v>
      </c>
      <c r="R215" s="68">
        <f t="shared" si="215"/>
        <v>6.06006073267467E-2</v>
      </c>
      <c r="S215" s="113" t="s">
        <v>62</v>
      </c>
      <c r="T215" s="116">
        <v>0.15</v>
      </c>
      <c r="U215" s="116">
        <v>0.15022866597023929</v>
      </c>
      <c r="V215" s="116">
        <v>0.15045768052798492</v>
      </c>
      <c r="W215" s="116">
        <v>0.15068704420463749</v>
      </c>
      <c r="X215" s="116">
        <v>0.15091675753240782</v>
      </c>
      <c r="Y215" s="116">
        <v>0.15114682104431795</v>
      </c>
      <c r="Z215" s="116">
        <v>0.15137723527420252</v>
      </c>
      <c r="AA215" s="116">
        <v>0.15160800075670999</v>
      </c>
      <c r="AB215" s="116">
        <v>0.15183911802730382</v>
      </c>
      <c r="AC215" s="116">
        <v>0.1520705876222638</v>
      </c>
      <c r="AD215" s="116">
        <v>0.15230241007868719</v>
      </c>
      <c r="AE215" s="116">
        <v>0.15253458593449007</v>
      </c>
      <c r="AF215" s="116">
        <v>0.15276711572840845</v>
      </c>
      <c r="AG215" s="116">
        <v>0.15299999999999978</v>
      </c>
    </row>
    <row r="216" spans="1:33" s="117" customFormat="1" x14ac:dyDescent="0.35">
      <c r="A216" s="148"/>
      <c r="B216" s="113" t="s">
        <v>63</v>
      </c>
      <c r="C216" s="114"/>
      <c r="D216" s="115">
        <f>D212*T216</f>
        <v>22.467744000000021</v>
      </c>
      <c r="E216" s="115">
        <f t="shared" ref="E216:Q216" si="220">E212*U216</f>
        <v>23.778620348528325</v>
      </c>
      <c r="F216" s="115">
        <f t="shared" si="220"/>
        <v>25.171792818387399</v>
      </c>
      <c r="G216" s="115">
        <f t="shared" si="220"/>
        <v>26.652770514583953</v>
      </c>
      <c r="H216" s="115">
        <f t="shared" si="220"/>
        <v>28.22745314079128</v>
      </c>
      <c r="I216" s="115">
        <f t="shared" si="220"/>
        <v>29.902160175664783</v>
      </c>
      <c r="J216" s="115">
        <f t="shared" si="220"/>
        <v>31.683662335397162</v>
      </c>
      <c r="K216" s="115">
        <f t="shared" si="220"/>
        <v>33.579215509781825</v>
      </c>
      <c r="L216" s="115">
        <f t="shared" si="220"/>
        <v>35.596597375039551</v>
      </c>
      <c r="M216" s="115">
        <f t="shared" si="220"/>
        <v>37.744146904069218</v>
      </c>
      <c r="N216" s="115">
        <f t="shared" si="220"/>
        <v>40.030807013737814</v>
      </c>
      <c r="O216" s="115">
        <f t="shared" si="220"/>
        <v>42.466170609471867</v>
      </c>
      <c r="P216" s="115">
        <f t="shared" si="220"/>
        <v>45.060530309908692</v>
      </c>
      <c r="Q216" s="115">
        <f t="shared" si="220"/>
        <v>47.824932158882213</v>
      </c>
      <c r="R216" s="68">
        <f t="shared" si="215"/>
        <v>6.0333587803140541E-2</v>
      </c>
      <c r="S216" s="113" t="s">
        <v>63</v>
      </c>
      <c r="T216" s="116">
        <v>0.12000000000000002</v>
      </c>
      <c r="U216" s="116">
        <v>0.12015267521339246</v>
      </c>
      <c r="V216" s="116">
        <v>0.12030554467445809</v>
      </c>
      <c r="W216" s="116">
        <v>0.12045860863033696</v>
      </c>
      <c r="X216" s="116">
        <v>0.12061186732848356</v>
      </c>
      <c r="Y216" s="116">
        <v>0.12076532101666719</v>
      </c>
      <c r="Z216" s="116">
        <v>0.1209189699429724</v>
      </c>
      <c r="AA216" s="116">
        <v>0.12107281435579939</v>
      </c>
      <c r="AB216" s="116">
        <v>0.12122685450386435</v>
      </c>
      <c r="AC216" s="116">
        <v>0.12138109063619994</v>
      </c>
      <c r="AD216" s="116">
        <v>0.12153552300215566</v>
      </c>
      <c r="AE216" s="116">
        <v>0.12169015185139827</v>
      </c>
      <c r="AF216" s="116">
        <v>0.12184497743391219</v>
      </c>
      <c r="AG216" s="116">
        <v>0.12199999999999984</v>
      </c>
    </row>
    <row r="217" spans="1:33" s="117" customFormat="1" x14ac:dyDescent="0.35">
      <c r="A217" s="148"/>
      <c r="B217" s="113" t="s">
        <v>64</v>
      </c>
      <c r="C217" s="114"/>
      <c r="D217" s="115">
        <f>D212*T217</f>
        <v>14.978496000000025</v>
      </c>
      <c r="E217" s="115">
        <f t="shared" ref="E217:G217" si="221">E212*U217</f>
        <v>15.011303929936396</v>
      </c>
      <c r="F217" s="115">
        <f t="shared" si="221"/>
        <v>14.994715393637</v>
      </c>
      <c r="G217" s="115">
        <f t="shared" si="221"/>
        <v>14.922021414804432</v>
      </c>
      <c r="H217" s="115">
        <f>H212*X217</f>
        <v>14.785797115893303</v>
      </c>
      <c r="I217" s="115">
        <f t="shared" ref="I217:Q217" si="222">I212*Y217</f>
        <v>14.577830275037684</v>
      </c>
      <c r="J217" s="115">
        <f t="shared" si="222"/>
        <v>14.289042869700324</v>
      </c>
      <c r="K217" s="115">
        <f t="shared" si="222"/>
        <v>13.909404915781387</v>
      </c>
      <c r="L217" s="115">
        <f t="shared" si="222"/>
        <v>13.427839841844166</v>
      </c>
      <c r="M217" s="115">
        <f t="shared" si="222"/>
        <v>12.832120562006436</v>
      </c>
      <c r="N217" s="115">
        <f t="shared" si="222"/>
        <v>12.10875532716884</v>
      </c>
      <c r="O217" s="115">
        <f t="shared" si="222"/>
        <v>11.242862341801384</v>
      </c>
      <c r="P217" s="115">
        <f t="shared" si="222"/>
        <v>10.218032031591289</v>
      </c>
      <c r="Q217" s="115">
        <f t="shared" si="222"/>
        <v>9.0161757348712133</v>
      </c>
      <c r="R217" s="68">
        <f t="shared" si="215"/>
        <v>-5.3477706783995681E-2</v>
      </c>
      <c r="S217" s="113" t="s">
        <v>64</v>
      </c>
      <c r="T217" s="116">
        <f>1-SUM(T213:T216)</f>
        <v>8.0000000000000071E-2</v>
      </c>
      <c r="U217" s="116">
        <f>1-SUM(U213:U216)</f>
        <v>7.585168101373041E-2</v>
      </c>
      <c r="V217" s="116">
        <f t="shared" ref="V217:AG217" si="223">1-SUM(V213:V216)</f>
        <v>7.1665431846087646E-2</v>
      </c>
      <c r="W217" s="116">
        <f t="shared" si="223"/>
        <v>6.7440866479373307E-2</v>
      </c>
      <c r="X217" s="116">
        <f t="shared" si="223"/>
        <v>6.3177594917725788E-2</v>
      </c>
      <c r="Y217" s="116">
        <f t="shared" si="223"/>
        <v>5.887522314605742E-2</v>
      </c>
      <c r="Z217" s="116">
        <f t="shared" si="223"/>
        <v>5.4533353088566772E-2</v>
      </c>
      <c r="AA217" s="116">
        <f t="shared" si="223"/>
        <v>5.0151582566825281E-2</v>
      </c>
      <c r="AB217" s="116">
        <f t="shared" si="223"/>
        <v>4.5729505257428471E-2</v>
      </c>
      <c r="AC217" s="116">
        <f t="shared" si="223"/>
        <v>4.126671064921128E-2</v>
      </c>
      <c r="AD217" s="116">
        <f t="shared" si="223"/>
        <v>3.6762784000021864E-2</v>
      </c>
      <c r="AE217" s="116">
        <f t="shared" si="223"/>
        <v>3.2217306293047754E-2</v>
      </c>
      <c r="AF217" s="116">
        <f t="shared" si="223"/>
        <v>2.7629854192693704E-2</v>
      </c>
      <c r="AG217" s="116">
        <f t="shared" si="223"/>
        <v>2.2999999999999909E-2</v>
      </c>
    </row>
    <row r="218" spans="1:33" x14ac:dyDescent="0.35">
      <c r="A218" s="1"/>
      <c r="D218" s="81" t="b">
        <f>D212=SUM(D213:D217)</f>
        <v>1</v>
      </c>
      <c r="E218" s="81" t="b">
        <f t="shared" ref="E218:Q218" si="224">E212=SUM(E213:E217)</f>
        <v>1</v>
      </c>
      <c r="F218" s="81" t="b">
        <f t="shared" si="224"/>
        <v>1</v>
      </c>
      <c r="G218" s="81" t="b">
        <f t="shared" si="224"/>
        <v>1</v>
      </c>
      <c r="H218" s="81" t="b">
        <f t="shared" si="224"/>
        <v>1</v>
      </c>
      <c r="I218" s="81" t="b">
        <f t="shared" si="224"/>
        <v>0</v>
      </c>
      <c r="J218" s="81" t="b">
        <f t="shared" si="224"/>
        <v>1</v>
      </c>
      <c r="K218" s="81" t="b">
        <f t="shared" si="224"/>
        <v>1</v>
      </c>
      <c r="L218" s="81" t="b">
        <f t="shared" si="224"/>
        <v>1</v>
      </c>
      <c r="M218" s="81" t="b">
        <f t="shared" si="224"/>
        <v>1</v>
      </c>
      <c r="N218" s="81" t="b">
        <f t="shared" si="224"/>
        <v>1</v>
      </c>
      <c r="O218" s="81" t="b">
        <f t="shared" si="224"/>
        <v>1</v>
      </c>
      <c r="P218" s="81" t="b">
        <f t="shared" si="224"/>
        <v>1</v>
      </c>
      <c r="Q218" s="81" t="b">
        <f t="shared" si="224"/>
        <v>1</v>
      </c>
      <c r="R218" s="21"/>
    </row>
    <row r="219" spans="1:33" s="117" customFormat="1" x14ac:dyDescent="0.35">
      <c r="A219" s="149" t="s">
        <v>65</v>
      </c>
      <c r="B219" s="122" t="s">
        <v>66</v>
      </c>
      <c r="C219" s="123"/>
      <c r="D219" s="124">
        <f>D212*T219</f>
        <v>131.0618400000001</v>
      </c>
      <c r="E219" s="124">
        <f t="shared" ref="E219:Q219" si="225">E212*U219</f>
        <v>138.6082317728789</v>
      </c>
      <c r="F219" s="124">
        <f t="shared" si="225"/>
        <v>146.62299796530669</v>
      </c>
      <c r="G219" s="124">
        <f t="shared" si="225"/>
        <v>155.13717646903004</v>
      </c>
      <c r="H219" s="124">
        <f t="shared" si="225"/>
        <v>164.18398574411927</v>
      </c>
      <c r="I219" s="124">
        <f t="shared" si="225"/>
        <v>173.79898634414383</v>
      </c>
      <c r="J219" s="124">
        <f t="shared" si="225"/>
        <v>184.02025500116969</v>
      </c>
      <c r="K219" s="124">
        <f t="shared" si="225"/>
        <v>194.88857229202378</v>
      </c>
      <c r="L219" s="124">
        <f t="shared" si="225"/>
        <v>206.44762499388014</v>
      </c>
      <c r="M219" s="124">
        <f t="shared" si="225"/>
        <v>218.74422433148308</v>
      </c>
      <c r="N219" s="124">
        <f t="shared" si="225"/>
        <v>231.82854142090764</v>
      </c>
      <c r="O219" s="124">
        <f t="shared" si="225"/>
        <v>245.75436132645336</v>
      </c>
      <c r="P219" s="124">
        <f t="shared" si="225"/>
        <v>260.57935726889895</v>
      </c>
      <c r="Q219" s="124">
        <f t="shared" si="225"/>
        <v>276.36538665583657</v>
      </c>
      <c r="R219" s="68">
        <f>RATE(9,,-H219,Q219)</f>
        <v>5.9566197634912749E-2</v>
      </c>
      <c r="S219" s="122" t="s">
        <v>66</v>
      </c>
      <c r="T219" s="116">
        <v>0.70000000000000007</v>
      </c>
      <c r="U219" s="116">
        <v>0.70038335319736411</v>
      </c>
      <c r="V219" s="116">
        <v>0.70076691633711929</v>
      </c>
      <c r="W219" s="116">
        <v>0.70115068953424042</v>
      </c>
      <c r="X219" s="116">
        <v>0.70153467290376448</v>
      </c>
      <c r="Y219" s="116">
        <v>0.70191886656079228</v>
      </c>
      <c r="Z219" s="116">
        <v>0.70230327062048659</v>
      </c>
      <c r="AA219" s="116">
        <v>0.70268788519807479</v>
      </c>
      <c r="AB219" s="116">
        <v>0.70307271040884567</v>
      </c>
      <c r="AC219" s="116">
        <v>0.70345774636815217</v>
      </c>
      <c r="AD219" s="116">
        <v>0.70384299319141008</v>
      </c>
      <c r="AE219" s="116">
        <v>0.70422845099409903</v>
      </c>
      <c r="AF219" s="116">
        <v>0.70461411989176093</v>
      </c>
      <c r="AG219" s="116">
        <v>0.70500000000000129</v>
      </c>
    </row>
    <row r="220" spans="1:33" s="117" customFormat="1" x14ac:dyDescent="0.35">
      <c r="A220" s="149"/>
      <c r="B220" s="122" t="s">
        <v>67</v>
      </c>
      <c r="C220" s="123"/>
      <c r="D220" s="124">
        <f>D212*T220</f>
        <v>37.446240000000039</v>
      </c>
      <c r="E220" s="124">
        <f t="shared" ref="E220:Q220" si="226">E212*U220</f>
        <v>39.610982724748816</v>
      </c>
      <c r="F220" s="124">
        <f t="shared" si="226"/>
        <v>41.910546821040533</v>
      </c>
      <c r="G220" s="124">
        <f t="shared" si="226"/>
        <v>44.353893896510804</v>
      </c>
      <c r="H220" s="124">
        <f t="shared" si="226"/>
        <v>46.950616895514806</v>
      </c>
      <c r="I220" s="124">
        <f t="shared" si="226"/>
        <v>49.710986983201366</v>
      </c>
      <c r="J220" s="124">
        <f t="shared" si="226"/>
        <v>52.646004083661602</v>
      </c>
      <c r="K220" s="124">
        <f t="shared" si="226"/>
        <v>55.76745136996589</v>
      </c>
      <c r="L220" s="124">
        <f t="shared" si="226"/>
        <v>59.087954029208539</v>
      </c>
      <c r="M220" s="124">
        <f t="shared" si="226"/>
        <v>62.621042653219646</v>
      </c>
      <c r="N220" s="124">
        <f t="shared" si="226"/>
        <v>66.381221635585476</v>
      </c>
      <c r="O220" s="124">
        <f t="shared" si="226"/>
        <v>70.384042988264085</v>
      </c>
      <c r="P220" s="124">
        <f t="shared" si="226"/>
        <v>74.646186026641374</v>
      </c>
      <c r="Q220" s="124">
        <f t="shared" si="226"/>
        <v>79.185543410608474</v>
      </c>
      <c r="R220" s="68">
        <f>RATE(9,,-H220,Q220)</f>
        <v>5.9797115560393209E-2</v>
      </c>
      <c r="S220" s="122" t="s">
        <v>67</v>
      </c>
      <c r="T220" s="116">
        <v>0.20000000000000004</v>
      </c>
      <c r="U220" s="116">
        <v>0.2001531406133327</v>
      </c>
      <c r="V220" s="116">
        <v>0.2003063984869026</v>
      </c>
      <c r="W220" s="116">
        <v>0.20045977371049628</v>
      </c>
      <c r="X220" s="116">
        <v>0.20061326637396906</v>
      </c>
      <c r="Y220" s="116">
        <v>0.2007668765672449</v>
      </c>
      <c r="Z220" s="116">
        <v>0.20092060438031684</v>
      </c>
      <c r="AA220" s="116">
        <v>0.20107444990324672</v>
      </c>
      <c r="AB220" s="116">
        <v>0.20122841322616528</v>
      </c>
      <c r="AC220" s="116">
        <v>0.20138249443927231</v>
      </c>
      <c r="AD220" s="116">
        <v>0.20153669363283677</v>
      </c>
      <c r="AE220" s="116">
        <v>0.2016910108971966</v>
      </c>
      <c r="AF220" s="116">
        <v>0.20184544632275897</v>
      </c>
      <c r="AG220" s="116">
        <v>0.20200000000000032</v>
      </c>
    </row>
    <row r="221" spans="1:33" s="117" customFormat="1" x14ac:dyDescent="0.35">
      <c r="A221" s="149"/>
      <c r="B221" s="122" t="s">
        <v>68</v>
      </c>
      <c r="C221" s="123"/>
      <c r="D221" s="124">
        <f>D212*T221</f>
        <v>18.723119999999991</v>
      </c>
      <c r="E221" s="124">
        <f t="shared" ref="E221:L221" si="227">E212*U221</f>
        <v>19.684163902372433</v>
      </c>
      <c r="F221" s="124">
        <f t="shared" si="227"/>
        <v>20.698647183700757</v>
      </c>
      <c r="G221" s="124">
        <f t="shared" si="227"/>
        <v>21.769749576152979</v>
      </c>
      <c r="H221" s="124">
        <f t="shared" si="227"/>
        <v>22.900851466341095</v>
      </c>
      <c r="I221" s="124">
        <f t="shared" si="227"/>
        <v>24.0955472304803</v>
      </c>
      <c r="J221" s="124">
        <f t="shared" si="227"/>
        <v>25.357659497503306</v>
      </c>
      <c r="K221" s="124">
        <f t="shared" si="227"/>
        <v>26.691254407402788</v>
      </c>
      <c r="L221" s="124">
        <f t="shared" si="227"/>
        <v>28.100657937137303</v>
      </c>
      <c r="M221" s="124">
        <f>M212*AC221</f>
        <v>29.590473371881586</v>
      </c>
      <c r="N221" s="124">
        <f t="shared" ref="N221:Q221" si="228">N212*AD221</f>
        <v>31.165600005282613</v>
      </c>
      <c r="O221" s="124">
        <f t="shared" si="228"/>
        <v>32.831253158710354</v>
      </c>
      <c r="P221" s="124">
        <f t="shared" si="228"/>
        <v>34.592985616323908</v>
      </c>
      <c r="Q221" s="124">
        <f t="shared" si="228"/>
        <v>36.456710580130952</v>
      </c>
      <c r="R221" s="68">
        <f>RATE(9,,-H221,Q221)</f>
        <v>5.3018995711618569E-2</v>
      </c>
      <c r="S221" s="122" t="s">
        <v>68</v>
      </c>
      <c r="T221" s="116">
        <f>1-SUM(T219:T220)</f>
        <v>9.9999999999999867E-2</v>
      </c>
      <c r="U221" s="116">
        <f t="shared" ref="U221:AG221" si="229">1-SUM(U219:U220)</f>
        <v>9.9463506189303219E-2</v>
      </c>
      <c r="V221" s="116">
        <f t="shared" si="229"/>
        <v>9.8926685175978135E-2</v>
      </c>
      <c r="W221" s="116">
        <f t="shared" si="229"/>
        <v>9.8389536755263296E-2</v>
      </c>
      <c r="X221" s="116">
        <f t="shared" si="229"/>
        <v>9.7852060722266487E-2</v>
      </c>
      <c r="Y221" s="116">
        <f t="shared" si="229"/>
        <v>9.7314256871962823E-2</v>
      </c>
      <c r="Z221" s="116">
        <f t="shared" si="229"/>
        <v>9.6776124999196522E-2</v>
      </c>
      <c r="AA221" s="116">
        <f t="shared" si="229"/>
        <v>9.6237664898678466E-2</v>
      </c>
      <c r="AB221" s="116">
        <f t="shared" si="229"/>
        <v>9.5698876364989083E-2</v>
      </c>
      <c r="AC221" s="116">
        <f t="shared" si="229"/>
        <v>9.5159759192575466E-2</v>
      </c>
      <c r="AD221" s="116">
        <f t="shared" si="229"/>
        <v>9.4620313175753146E-2</v>
      </c>
      <c r="AE221" s="116">
        <f t="shared" si="229"/>
        <v>9.4080538108704426E-2</v>
      </c>
      <c r="AF221" s="116">
        <f t="shared" si="229"/>
        <v>9.3540433785480159E-2</v>
      </c>
      <c r="AG221" s="116">
        <f t="shared" si="229"/>
        <v>9.2999999999998417E-2</v>
      </c>
    </row>
    <row r="222" spans="1:33" x14ac:dyDescent="0.35">
      <c r="A222" s="1"/>
      <c r="D222" s="81" t="b">
        <f>D212=SUM(D219:D221)</f>
        <v>1</v>
      </c>
      <c r="E222" s="81" t="b">
        <f t="shared" ref="E222:Q222" si="230">E212=SUM(E219:E221)</f>
        <v>1</v>
      </c>
      <c r="F222" s="81" t="b">
        <f t="shared" si="230"/>
        <v>1</v>
      </c>
      <c r="G222" s="81" t="b">
        <f t="shared" si="230"/>
        <v>1</v>
      </c>
      <c r="H222" s="81" t="b">
        <f t="shared" si="230"/>
        <v>1</v>
      </c>
      <c r="I222" s="81" t="b">
        <f t="shared" si="230"/>
        <v>1</v>
      </c>
      <c r="J222" s="81" t="b">
        <f t="shared" si="230"/>
        <v>1</v>
      </c>
      <c r="K222" s="81" t="b">
        <f t="shared" si="230"/>
        <v>1</v>
      </c>
      <c r="L222" s="81" t="b">
        <f t="shared" si="230"/>
        <v>1</v>
      </c>
      <c r="M222" s="81" t="b">
        <f t="shared" si="230"/>
        <v>1</v>
      </c>
      <c r="N222" s="81" t="b">
        <f t="shared" si="230"/>
        <v>1</v>
      </c>
      <c r="O222" s="81" t="b">
        <f t="shared" si="230"/>
        <v>1</v>
      </c>
      <c r="P222" s="81" t="b">
        <f t="shared" si="230"/>
        <v>1</v>
      </c>
      <c r="Q222" s="81" t="b">
        <f t="shared" si="230"/>
        <v>1</v>
      </c>
      <c r="R222" s="21"/>
    </row>
    <row r="223" spans="1:33" s="117" customFormat="1" x14ac:dyDescent="0.35">
      <c r="A223" s="149" t="s">
        <v>69</v>
      </c>
      <c r="B223" s="125" t="s">
        <v>70</v>
      </c>
      <c r="C223" s="126"/>
      <c r="D223" s="127">
        <f>D212*T223</f>
        <v>78.637104000000051</v>
      </c>
      <c r="E223" s="127">
        <f t="shared" ref="E223:Q223" si="231">E212*U223</f>
        <v>83.134625561346752</v>
      </c>
      <c r="F223" s="127">
        <f t="shared" si="231"/>
        <v>87.909677817455929</v>
      </c>
      <c r="G223" s="127">
        <f t="shared" si="231"/>
        <v>92.980557871861549</v>
      </c>
      <c r="H223" s="127">
        <f t="shared" si="231"/>
        <v>98.366842363400067</v>
      </c>
      <c r="I223" s="127">
        <f t="shared" si="231"/>
        <v>104.08948184842885</v>
      </c>
      <c r="J223" s="127">
        <f t="shared" si="231"/>
        <v>110.17090249349143</v>
      </c>
      <c r="K223" s="127">
        <f t="shared" si="231"/>
        <v>116.63511567081551</v>
      </c>
      <c r="L223" s="127">
        <f t="shared" si="231"/>
        <v>123.50783609909205</v>
      </c>
      <c r="M223" s="127">
        <f t="shared" si="231"/>
        <v>130.81660922644744</v>
      </c>
      <c r="N223" s="127">
        <f t="shared" si="231"/>
        <v>138.59094861178886</v>
      </c>
      <c r="O223" s="127">
        <f t="shared" si="231"/>
        <v>146.8624841252074</v>
      </c>
      <c r="P223" s="127">
        <f t="shared" si="231"/>
        <v>155.66512185835759</v>
      </c>
      <c r="Q223" s="127">
        <f t="shared" si="231"/>
        <v>165.03521671220844</v>
      </c>
      <c r="R223" s="68">
        <f>RATE(9,,-H223,Q223)</f>
        <v>5.9179987258504395E-2</v>
      </c>
      <c r="S223" s="125" t="s">
        <v>70</v>
      </c>
      <c r="T223" s="116">
        <v>0.42</v>
      </c>
      <c r="U223" s="116">
        <v>0.42007683867486062</v>
      </c>
      <c r="V223" s="116">
        <v>0.4201536914072973</v>
      </c>
      <c r="W223" s="116">
        <v>0.42023055819988187</v>
      </c>
      <c r="X223" s="116">
        <v>0.42030743905518658</v>
      </c>
      <c r="Y223" s="116">
        <v>0.42038433397578434</v>
      </c>
      <c r="Z223" s="116">
        <v>0.42046124296424836</v>
      </c>
      <c r="AA223" s="116">
        <v>0.42053816602315214</v>
      </c>
      <c r="AB223" s="116">
        <v>0.42061510315507006</v>
      </c>
      <c r="AC223" s="116">
        <v>0.42069205436257667</v>
      </c>
      <c r="AD223" s="116">
        <v>0.4207690196482472</v>
      </c>
      <c r="AE223" s="116">
        <v>0.42084599901465702</v>
      </c>
      <c r="AF223" s="116">
        <v>0.42092299246438242</v>
      </c>
      <c r="AG223" s="137">
        <v>0.42099999999999982</v>
      </c>
    </row>
    <row r="224" spans="1:33" s="117" customFormat="1" x14ac:dyDescent="0.35">
      <c r="A224" s="149"/>
      <c r="B224" s="125" t="s">
        <v>71</v>
      </c>
      <c r="C224" s="126"/>
      <c r="D224" s="127">
        <f>D212*T224</f>
        <v>43.063176000000048</v>
      </c>
      <c r="E224" s="127">
        <f t="shared" ref="E224:Q224" si="232">E212*U224</f>
        <v>45.548102188419406</v>
      </c>
      <c r="F224" s="127">
        <f t="shared" si="232"/>
        <v>48.187547702397474</v>
      </c>
      <c r="G224" s="127">
        <f t="shared" si="232"/>
        <v>50.991769166307392</v>
      </c>
      <c r="H224" s="127">
        <f t="shared" si="232"/>
        <v>53.971744865903311</v>
      </c>
      <c r="I224" s="127">
        <f t="shared" si="232"/>
        <v>57.139228278532748</v>
      </c>
      <c r="J224" s="127">
        <f t="shared" si="232"/>
        <v>60.506805770996031</v>
      </c>
      <c r="K224" s="127">
        <f t="shared" si="232"/>
        <v>64.087958804390212</v>
      </c>
      <c r="L224" s="127">
        <f t="shared" si="232"/>
        <v>67.897131014080799</v>
      </c>
      <c r="M224" s="127">
        <f t="shared" si="232"/>
        <v>71.949800564294449</v>
      </c>
      <c r="N224" s="127">
        <f t="shared" si="232"/>
        <v>76.262558210950729</v>
      </c>
      <c r="O224" s="127">
        <f t="shared" si="232"/>
        <v>80.853191543507137</v>
      </c>
      <c r="P224" s="127">
        <f t="shared" si="232"/>
        <v>85.740775917057462</v>
      </c>
      <c r="Q224" s="127">
        <f t="shared" si="232"/>
        <v>90.945772630005706</v>
      </c>
      <c r="R224" s="68">
        <f>RATE(9,,-H224,Q224)</f>
        <v>5.9691771410649568E-2</v>
      </c>
      <c r="S224" s="125" t="s">
        <v>71</v>
      </c>
      <c r="T224" s="116">
        <v>0.23000000000000007</v>
      </c>
      <c r="U224" s="116">
        <v>0.230153232131076</v>
      </c>
      <c r="V224" s="116">
        <v>0.23030656634948232</v>
      </c>
      <c r="W224" s="116">
        <v>0.23046000272323239</v>
      </c>
      <c r="X224" s="116">
        <v>0.23061354132038475</v>
      </c>
      <c r="Y224" s="116">
        <v>0.23076718220904338</v>
      </c>
      <c r="Z224" s="116">
        <v>0.23092092545735762</v>
      </c>
      <c r="AA224" s="116">
        <v>0.23107477113352223</v>
      </c>
      <c r="AB224" s="116">
        <v>0.23122871930577729</v>
      </c>
      <c r="AC224" s="116">
        <v>0.23138277004240856</v>
      </c>
      <c r="AD224" s="116">
        <v>0.23153692341174703</v>
      </c>
      <c r="AE224" s="116">
        <v>0.23169117948216938</v>
      </c>
      <c r="AF224" s="116">
        <v>0.23184553832209787</v>
      </c>
      <c r="AG224" s="137">
        <v>0.23200000000000018</v>
      </c>
    </row>
    <row r="225" spans="1:33" s="117" customFormat="1" x14ac:dyDescent="0.35">
      <c r="A225" s="149"/>
      <c r="B225" s="125" t="s">
        <v>72</v>
      </c>
      <c r="C225" s="126"/>
      <c r="D225" s="127">
        <f>D212*T225</f>
        <v>37.446240000000024</v>
      </c>
      <c r="E225" s="127">
        <f t="shared" ref="E225:Q225" si="233">E212*U225</f>
        <v>39.595863998211627</v>
      </c>
      <c r="F225" s="127">
        <f t="shared" si="233"/>
        <v>41.878560077463419</v>
      </c>
      <c r="G225" s="127">
        <f t="shared" si="233"/>
        <v>44.303126273428489</v>
      </c>
      <c r="H225" s="127">
        <f t="shared" si="233"/>
        <v>46.878977446239062</v>
      </c>
      <c r="I225" s="127">
        <f t="shared" si="233"/>
        <v>49.616190885115813</v>
      </c>
      <c r="J225" s="127">
        <f t="shared" si="233"/>
        <v>52.525555452915512</v>
      </c>
      <c r="K225" s="127">
        <f t="shared" si="233"/>
        <v>55.61862455801753</v>
      </c>
      <c r="L225" s="127">
        <f t="shared" si="233"/>
        <v>58.907773265305948</v>
      </c>
      <c r="M225" s="127">
        <f t="shared" si="233"/>
        <v>62.406259884481813</v>
      </c>
      <c r="N225" s="127">
        <f t="shared" si="233"/>
        <v>66.128292402757978</v>
      </c>
      <c r="O225" s="127">
        <f t="shared" si="233"/>
        <v>70.089100160358441</v>
      </c>
      <c r="P225" s="127">
        <f t="shared" si="233"/>
        <v>74.305011201403232</v>
      </c>
      <c r="Q225" s="127">
        <f t="shared" si="233"/>
        <v>78.793535769961679</v>
      </c>
      <c r="R225" s="68">
        <f>RATE(9,,-H225,Q225)</f>
        <v>5.939261201979263E-2</v>
      </c>
      <c r="S225" s="125" t="s">
        <v>72</v>
      </c>
      <c r="T225" s="116">
        <v>0.19999999999999998</v>
      </c>
      <c r="U225" s="116">
        <v>0.20007674612901705</v>
      </c>
      <c r="V225" s="116">
        <v>0.20015352170787573</v>
      </c>
      <c r="W225" s="116">
        <v>0.2002303267478768</v>
      </c>
      <c r="X225" s="116">
        <v>0.20030716126032544</v>
      </c>
      <c r="Y225" s="116">
        <v>0.20038402525653101</v>
      </c>
      <c r="Z225" s="116">
        <v>0.20046091874780753</v>
      </c>
      <c r="AA225" s="116">
        <v>0.20053784174547304</v>
      </c>
      <c r="AB225" s="116">
        <v>0.20061479426085005</v>
      </c>
      <c r="AC225" s="116">
        <v>0.20069177630526541</v>
      </c>
      <c r="AD225" s="116">
        <v>0.20076878789005037</v>
      </c>
      <c r="AE225" s="116">
        <v>0.20084582902654041</v>
      </c>
      <c r="AF225" s="116">
        <v>0.20092289972607549</v>
      </c>
      <c r="AG225" s="137">
        <v>0.20099999999999973</v>
      </c>
    </row>
    <row r="226" spans="1:33" s="117" customFormat="1" x14ac:dyDescent="0.35">
      <c r="A226" s="149"/>
      <c r="B226" s="125" t="s">
        <v>73</v>
      </c>
      <c r="C226" s="126"/>
      <c r="D226" s="127">
        <f>D212*T226</f>
        <v>18.723120000000012</v>
      </c>
      <c r="E226" s="127">
        <f t="shared" ref="E226:Q226" si="234">E212*U226</f>
        <v>19.820507018690328</v>
      </c>
      <c r="F226" s="127">
        <f t="shared" si="234"/>
        <v>20.987060197066324</v>
      </c>
      <c r="G226" s="127">
        <f t="shared" si="234"/>
        <v>22.227425970205569</v>
      </c>
      <c r="H226" s="127">
        <f t="shared" si="234"/>
        <v>23.546581254198941</v>
      </c>
      <c r="I226" s="127">
        <f t="shared" si="234"/>
        <v>24.949858203559227</v>
      </c>
      <c r="J226" s="127">
        <f t="shared" si="234"/>
        <v>26.442970913804366</v>
      </c>
      <c r="K226" s="127">
        <f t="shared" si="234"/>
        <v>28.032044228943942</v>
      </c>
      <c r="L226" s="127">
        <f t="shared" si="234"/>
        <v>29.723644827264739</v>
      </c>
      <c r="M226" s="127">
        <f t="shared" si="234"/>
        <v>31.52481477369458</v>
      </c>
      <c r="N226" s="127">
        <f t="shared" si="234"/>
        <v>33.44310774323403</v>
      </c>
      <c r="O226" s="127">
        <f t="shared" si="234"/>
        <v>35.486628137606758</v>
      </c>
      <c r="P226" s="127">
        <f t="shared" si="234"/>
        <v>37.664073336525682</v>
      </c>
      <c r="Q226" s="127">
        <f t="shared" si="234"/>
        <v>39.984779345950699</v>
      </c>
      <c r="R226" s="68">
        <f>RATE(9,,-H226,Q226)</f>
        <v>6.0600607326746873E-2</v>
      </c>
      <c r="S226" s="125" t="s">
        <v>73</v>
      </c>
      <c r="T226" s="116">
        <v>9.9999999999999992E-2</v>
      </c>
      <c r="U226" s="116">
        <v>0.10015244398015953</v>
      </c>
      <c r="V226" s="116">
        <v>0.10030512035198993</v>
      </c>
      <c r="W226" s="116">
        <v>0.10045802946975833</v>
      </c>
      <c r="X226" s="116">
        <v>0.10061117168827188</v>
      </c>
      <c r="Y226" s="116">
        <v>0.10076454736287864</v>
      </c>
      <c r="Z226" s="116">
        <v>0.10091815684946834</v>
      </c>
      <c r="AA226" s="116">
        <v>0.10107200050447333</v>
      </c>
      <c r="AB226" s="116">
        <v>0.10122607868486923</v>
      </c>
      <c r="AC226" s="116">
        <v>0.10138039174817587</v>
      </c>
      <c r="AD226" s="116">
        <v>0.10153494005245813</v>
      </c>
      <c r="AE226" s="116">
        <v>0.10168972395632671</v>
      </c>
      <c r="AF226" s="116">
        <v>0.10184474381893897</v>
      </c>
      <c r="AG226" s="137">
        <v>0.10199999999999985</v>
      </c>
    </row>
    <row r="227" spans="1:33" s="117" customFormat="1" x14ac:dyDescent="0.35">
      <c r="A227" s="149"/>
      <c r="B227" s="125" t="s">
        <v>74</v>
      </c>
      <c r="C227" s="126"/>
      <c r="D227" s="127">
        <f>D212*T227</f>
        <v>9.361560000000015</v>
      </c>
      <c r="E227" s="127">
        <f t="shared" ref="E227:Q227" si="235">E212*U227</f>
        <v>9.8042796333320226</v>
      </c>
      <c r="F227" s="127">
        <f t="shared" si="235"/>
        <v>10.269346175664841</v>
      </c>
      <c r="G227" s="127">
        <f t="shared" si="235"/>
        <v>10.757940659890822</v>
      </c>
      <c r="H227" s="127">
        <f t="shared" si="235"/>
        <v>11.271308176233763</v>
      </c>
      <c r="I227" s="127">
        <f t="shared" si="235"/>
        <v>11.810761342188863</v>
      </c>
      <c r="J227" s="127">
        <f t="shared" si="235"/>
        <v>12.377683951127246</v>
      </c>
      <c r="K227" s="127">
        <f t="shared" si="235"/>
        <v>12.973534807225279</v>
      </c>
      <c r="L227" s="127">
        <f t="shared" si="235"/>
        <v>13.59985175448244</v>
      </c>
      <c r="M227" s="127">
        <f t="shared" si="235"/>
        <v>14.258255907666035</v>
      </c>
      <c r="N227" s="127">
        <f t="shared" si="235"/>
        <v>14.950456093044115</v>
      </c>
      <c r="O227" s="127">
        <f t="shared" si="235"/>
        <v>15.678253506748069</v>
      </c>
      <c r="P227" s="127">
        <f t="shared" si="235"/>
        <v>16.443546598520204</v>
      </c>
      <c r="Q227" s="127">
        <f t="shared" si="235"/>
        <v>17.248336188449493</v>
      </c>
      <c r="R227" s="68">
        <f>RATE(9,,-H227,Q227)</f>
        <v>4.8407986099526019E-2</v>
      </c>
      <c r="S227" s="125" t="s">
        <v>74</v>
      </c>
      <c r="T227" s="116">
        <f>1-SUM(T223:T226)</f>
        <v>5.0000000000000044E-2</v>
      </c>
      <c r="U227" s="116">
        <f t="shared" ref="U227:AG227" si="236">1-SUM(U223:U226)</f>
        <v>4.9540739084886765E-2</v>
      </c>
      <c r="V227" s="116">
        <f t="shared" si="236"/>
        <v>4.9081100183354764E-2</v>
      </c>
      <c r="W227" s="116">
        <f t="shared" si="236"/>
        <v>4.8621082859250597E-2</v>
      </c>
      <c r="X227" s="116">
        <f t="shared" si="236"/>
        <v>4.8160686675831288E-2</v>
      </c>
      <c r="Y227" s="116">
        <f t="shared" si="236"/>
        <v>4.7699911195762668E-2</v>
      </c>
      <c r="Z227" s="116">
        <f t="shared" si="236"/>
        <v>4.7238755981118041E-2</v>
      </c>
      <c r="AA227" s="116">
        <f t="shared" si="236"/>
        <v>4.6777220593379298E-2</v>
      </c>
      <c r="AB227" s="116">
        <f t="shared" si="236"/>
        <v>4.631530459343336E-2</v>
      </c>
      <c r="AC227" s="116">
        <f t="shared" si="236"/>
        <v>4.5853007541573509E-2</v>
      </c>
      <c r="AD227" s="116">
        <f t="shared" si="236"/>
        <v>4.5390328997497287E-2</v>
      </c>
      <c r="AE227" s="116">
        <f t="shared" si="236"/>
        <v>4.4927268520306485E-2</v>
      </c>
      <c r="AF227" s="116">
        <f t="shared" si="236"/>
        <v>4.4463825668505264E-2</v>
      </c>
      <c r="AG227" s="116">
        <f t="shared" si="236"/>
        <v>4.4000000000000372E-2</v>
      </c>
    </row>
    <row r="228" spans="1:33" x14ac:dyDescent="0.35">
      <c r="A228" s="2"/>
      <c r="D228" s="81" t="b">
        <f>D212=SUM(D223:D227)</f>
        <v>1</v>
      </c>
      <c r="E228" s="81" t="b">
        <f t="shared" ref="E228:Q228" si="237">E212=SUM(E223:E227)</f>
        <v>1</v>
      </c>
      <c r="F228" s="81" t="b">
        <f t="shared" si="237"/>
        <v>1</v>
      </c>
      <c r="G228" s="81" t="b">
        <f t="shared" si="237"/>
        <v>1</v>
      </c>
      <c r="H228" s="81" t="b">
        <f t="shared" si="237"/>
        <v>1</v>
      </c>
      <c r="I228" s="81" t="b">
        <f t="shared" si="237"/>
        <v>1</v>
      </c>
      <c r="J228" s="81" t="b">
        <f t="shared" si="237"/>
        <v>1</v>
      </c>
      <c r="K228" s="81" t="b">
        <f t="shared" si="237"/>
        <v>1</v>
      </c>
      <c r="L228" s="81" t="b">
        <f t="shared" si="237"/>
        <v>1</v>
      </c>
      <c r="M228" s="81" t="b">
        <f t="shared" si="237"/>
        <v>1</v>
      </c>
      <c r="N228" s="81" t="b">
        <f t="shared" si="237"/>
        <v>1</v>
      </c>
      <c r="O228" s="81" t="b">
        <f t="shared" si="237"/>
        <v>1</v>
      </c>
      <c r="P228" s="81" t="b">
        <f t="shared" si="237"/>
        <v>1</v>
      </c>
      <c r="Q228" s="81" t="b">
        <f t="shared" si="237"/>
        <v>1</v>
      </c>
      <c r="R228" s="21"/>
    </row>
    <row r="229" spans="1:33" s="117" customFormat="1" x14ac:dyDescent="0.35">
      <c r="A229" s="149" t="s">
        <v>75</v>
      </c>
      <c r="B229" s="128" t="s">
        <v>76</v>
      </c>
      <c r="C229" s="129"/>
      <c r="D229" s="130">
        <f>D212*T229</f>
        <v>41.19086400000004</v>
      </c>
      <c r="E229" s="130">
        <f t="shared" ref="E229:P229" si="238">E212*U229</f>
        <v>43.614072947527859</v>
      </c>
      <c r="F229" s="130">
        <f t="shared" si="238"/>
        <v>46.190503798404187</v>
      </c>
      <c r="G229" s="130">
        <f t="shared" si="238"/>
        <v>48.930479130333346</v>
      </c>
      <c r="H229" s="130">
        <f t="shared" si="238"/>
        <v>51.845057620132771</v>
      </c>
      <c r="I229" s="130">
        <f t="shared" si="238"/>
        <v>54.94608931771495</v>
      </c>
      <c r="J229" s="130">
        <f t="shared" si="238"/>
        <v>58.246275272394037</v>
      </c>
      <c r="K229" s="130">
        <f t="shared" si="238"/>
        <v>61.759231869635329</v>
      </c>
      <c r="L229" s="130">
        <f t="shared" si="238"/>
        <v>65.499560267066727</v>
      </c>
      <c r="M229" s="130">
        <f t="shared" si="238"/>
        <v>69.48292135200866</v>
      </c>
      <c r="N229" s="130">
        <f t="shared" si="238"/>
        <v>73.726116679202946</v>
      </c>
      <c r="O229" s="130">
        <f t="shared" si="238"/>
        <v>78.247175887111169</v>
      </c>
      <c r="P229" s="130">
        <f t="shared" si="238"/>
        <v>83.065451134411134</v>
      </c>
      <c r="Q229" s="130">
        <f>Q212*AG229</f>
        <v>88.201719145479672</v>
      </c>
      <c r="R229" s="68">
        <f t="shared" ref="R229:R234" si="239">RATE(9,,-H229,Q229)</f>
        <v>6.0818479395987855E-2</v>
      </c>
      <c r="S229" s="134" t="s">
        <v>76</v>
      </c>
      <c r="T229" s="116">
        <v>0.22000000000000003</v>
      </c>
      <c r="U229" s="116">
        <v>0.22038063877502673</v>
      </c>
      <c r="V229" s="116">
        <v>0.22076193612222184</v>
      </c>
      <c r="W229" s="116">
        <v>0.22114389318103134</v>
      </c>
      <c r="X229" s="116">
        <v>0.22152651109287255</v>
      </c>
      <c r="Y229" s="116">
        <v>0.22190979100113767</v>
      </c>
      <c r="Z229" s="116">
        <v>0.22229373405119721</v>
      </c>
      <c r="AA229" s="116">
        <v>0.22267834139040343</v>
      </c>
      <c r="AB229" s="116">
        <v>0.2230636141680935</v>
      </c>
      <c r="AC229" s="116">
        <v>0.22344955353559337</v>
      </c>
      <c r="AD229" s="116">
        <v>0.22383616064622086</v>
      </c>
      <c r="AE229" s="116">
        <v>0.22422343665528938</v>
      </c>
      <c r="AF229" s="116">
        <v>0.22461138272011094</v>
      </c>
      <c r="AG229" s="116">
        <v>0.22500000000000017</v>
      </c>
    </row>
    <row r="230" spans="1:33" s="117" customFormat="1" x14ac:dyDescent="0.35">
      <c r="A230" s="149"/>
      <c r="B230" s="128" t="s">
        <v>77</v>
      </c>
      <c r="C230" s="129"/>
      <c r="D230" s="130">
        <f>D212*T230</f>
        <v>71.147856000000061</v>
      </c>
      <c r="E230" s="130">
        <f t="shared" ref="E230:Q230" si="240">E212*U230</f>
        <v>75.203283792000065</v>
      </c>
      <c r="F230" s="130">
        <f t="shared" si="240"/>
        <v>79.508232948618229</v>
      </c>
      <c r="G230" s="130">
        <f t="shared" si="240"/>
        <v>84.079111577843648</v>
      </c>
      <c r="H230" s="130">
        <f t="shared" si="240"/>
        <v>88.933472560270559</v>
      </c>
      <c r="I230" s="130">
        <f t="shared" si="240"/>
        <v>94.090097811973692</v>
      </c>
      <c r="J230" s="130">
        <f t="shared" si="240"/>
        <v>99.569089061287144</v>
      </c>
      <c r="K230" s="130">
        <f t="shared" si="240"/>
        <v>105.39196566636915</v>
      </c>
      <c r="L230" s="130">
        <f t="shared" si="240"/>
        <v>111.58177004488587</v>
      </c>
      <c r="M230" s="130">
        <f t="shared" si="240"/>
        <v>118.16318133550205</v>
      </c>
      <c r="N230" s="130">
        <f t="shared" si="240"/>
        <v>125.16263796347478</v>
      </c>
      <c r="O230" s="130">
        <f t="shared" si="240"/>
        <v>132.60846983990257</v>
      </c>
      <c r="P230" s="130">
        <f t="shared" si="240"/>
        <v>140.5310409865084</v>
      </c>
      <c r="Q230" s="130">
        <f t="shared" si="240"/>
        <v>141.12275063276735</v>
      </c>
      <c r="R230" s="68">
        <f t="shared" si="239"/>
        <v>5.2643490492365684E-2</v>
      </c>
      <c r="S230" s="134" t="s">
        <v>77</v>
      </c>
      <c r="T230" s="116">
        <v>0.38</v>
      </c>
      <c r="U230" s="116">
        <v>0.38</v>
      </c>
      <c r="V230" s="116">
        <v>0.38</v>
      </c>
      <c r="W230" s="116">
        <v>0.38</v>
      </c>
      <c r="X230" s="116">
        <v>0.38</v>
      </c>
      <c r="Y230" s="116">
        <v>0.38</v>
      </c>
      <c r="Z230" s="116">
        <v>0.38</v>
      </c>
      <c r="AA230" s="116">
        <v>0.38</v>
      </c>
      <c r="AB230" s="116">
        <v>0.38</v>
      </c>
      <c r="AC230" s="116">
        <v>0.38</v>
      </c>
      <c r="AD230" s="116">
        <v>0.38</v>
      </c>
      <c r="AE230" s="116">
        <v>0.38</v>
      </c>
      <c r="AF230" s="116">
        <v>0.38</v>
      </c>
      <c r="AG230" s="116">
        <v>0.36</v>
      </c>
    </row>
    <row r="231" spans="1:33" s="117" customFormat="1" x14ac:dyDescent="0.35">
      <c r="A231" s="149"/>
      <c r="B231" s="128" t="s">
        <v>78</v>
      </c>
      <c r="C231" s="129"/>
      <c r="D231" s="132">
        <f>D212*T231</f>
        <v>31.829304000000022</v>
      </c>
      <c r="E231" s="132">
        <f t="shared" ref="E231:Q231" si="241">E212*U231</f>
        <v>33.806228158710184</v>
      </c>
      <c r="F231" s="132">
        <f t="shared" si="241"/>
        <v>35.914233645833342</v>
      </c>
      <c r="G231" s="132">
        <f t="shared" si="241"/>
        <v>38.162534069515715</v>
      </c>
      <c r="H231" s="132">
        <f t="shared" si="241"/>
        <v>40.561025819281021</v>
      </c>
      <c r="I231" s="132">
        <f t="shared" si="241"/>
        <v>43.12034117687444</v>
      </c>
      <c r="J231" s="132">
        <f t="shared" si="241"/>
        <v>45.851905747800075</v>
      </c>
      <c r="K231" s="132">
        <f t="shared" si="241"/>
        <v>48.768000580040301</v>
      </c>
      <c r="L231" s="132">
        <f t="shared" si="241"/>
        <v>51.881829368772522</v>
      </c>
      <c r="M231" s="132">
        <f t="shared" si="241"/>
        <v>55.207591181184064</v>
      </c>
      <c r="N231" s="132">
        <f t="shared" si="241"/>
        <v>58.760559174010453</v>
      </c>
      <c r="O231" s="132">
        <f t="shared" si="241"/>
        <v>62.557165818492962</v>
      </c>
      <c r="P231" s="132">
        <f t="shared" si="241"/>
        <v>66.615095193407768</v>
      </c>
      <c r="Q231" s="132">
        <f t="shared" si="241"/>
        <v>70.953382957030144</v>
      </c>
      <c r="R231" s="68">
        <f t="shared" si="239"/>
        <v>6.410604053219747E-2</v>
      </c>
      <c r="S231" s="134" t="s">
        <v>78</v>
      </c>
      <c r="T231" s="116">
        <v>0.16999999999999998</v>
      </c>
      <c r="U231" s="116">
        <v>0.17082188506343435</v>
      </c>
      <c r="V231" s="116">
        <v>0.17164774362720694</v>
      </c>
      <c r="W231" s="116">
        <v>0.17247759490167405</v>
      </c>
      <c r="X231" s="116">
        <v>0.17331145819006682</v>
      </c>
      <c r="Y231" s="116">
        <v>0.17414935288894001</v>
      </c>
      <c r="Z231" s="116">
        <v>0.17499129848862341</v>
      </c>
      <c r="AA231" s="116">
        <v>0.17583731457367507</v>
      </c>
      <c r="AB231" s="116">
        <v>0.17668742082333691</v>
      </c>
      <c r="AC231" s="116">
        <v>0.17754163701199244</v>
      </c>
      <c r="AD231" s="116">
        <v>0.17839998300962681</v>
      </c>
      <c r="AE231" s="116">
        <v>0.17926247878228888</v>
      </c>
      <c r="AF231" s="116">
        <v>0.18012914439255584</v>
      </c>
      <c r="AG231" s="116">
        <v>0.18099999999999969</v>
      </c>
    </row>
    <row r="232" spans="1:33" s="117" customFormat="1" x14ac:dyDescent="0.35">
      <c r="A232" s="149"/>
      <c r="B232" s="128" t="s">
        <v>79</v>
      </c>
      <c r="C232" s="129"/>
      <c r="D232" s="132">
        <f>D212*T232</f>
        <v>26.212368000000023</v>
      </c>
      <c r="E232" s="132">
        <f t="shared" ref="E232:Q232" si="242">E212*U232</f>
        <v>27.721646354575782</v>
      </c>
      <c r="F232" s="132">
        <f t="shared" si="242"/>
        <v>29.324599593061336</v>
      </c>
      <c r="G232" s="132">
        <f t="shared" si="242"/>
        <v>31.027435293806011</v>
      </c>
      <c r="H232" s="132">
        <f t="shared" si="242"/>
        <v>32.836797148823855</v>
      </c>
      <c r="I232" s="132">
        <f t="shared" si="242"/>
        <v>34.759797268828763</v>
      </c>
      <c r="J232" s="132">
        <f t="shared" si="242"/>
        <v>36.804051000233933</v>
      </c>
      <c r="K232" s="132">
        <f t="shared" si="242"/>
        <v>38.977714458404755</v>
      </c>
      <c r="L232" s="132">
        <f t="shared" si="242"/>
        <v>41.289524998776024</v>
      </c>
      <c r="M232" s="132">
        <f t="shared" si="242"/>
        <v>43.748844866296615</v>
      </c>
      <c r="N232" s="132">
        <f t="shared" si="242"/>
        <v>46.36570828418153</v>
      </c>
      <c r="O232" s="132">
        <f t="shared" si="242"/>
        <v>49.15087226529068</v>
      </c>
      <c r="P232" s="132">
        <f t="shared" si="242"/>
        <v>52.115871453779782</v>
      </c>
      <c r="Q232" s="132">
        <f t="shared" si="242"/>
        <v>55.273077331167322</v>
      </c>
      <c r="R232" s="68">
        <f t="shared" si="239"/>
        <v>5.9566197634912797E-2</v>
      </c>
      <c r="S232" s="134" t="s">
        <v>79</v>
      </c>
      <c r="T232" s="116">
        <v>0.14000000000000001</v>
      </c>
      <c r="U232" s="116">
        <v>0.14007667063947282</v>
      </c>
      <c r="V232" s="116">
        <v>0.14015338326742385</v>
      </c>
      <c r="W232" s="116">
        <v>0.1402301379068481</v>
      </c>
      <c r="X232" s="116">
        <v>0.14030693458075291</v>
      </c>
      <c r="Y232" s="116">
        <v>0.14038377331215846</v>
      </c>
      <c r="Z232" s="116">
        <v>0.14046065412409731</v>
      </c>
      <c r="AA232" s="116">
        <v>0.14053757703961495</v>
      </c>
      <c r="AB232" s="116">
        <v>0.14061454208176913</v>
      </c>
      <c r="AC232" s="116">
        <v>0.14069154927363042</v>
      </c>
      <c r="AD232" s="116">
        <v>0.14076859863828203</v>
      </c>
      <c r="AE232" s="116">
        <v>0.14084569019881982</v>
      </c>
      <c r="AF232" s="116">
        <v>0.14092282397835218</v>
      </c>
      <c r="AG232" s="116">
        <v>0.14100000000000026</v>
      </c>
    </row>
    <row r="233" spans="1:33" s="117" customFormat="1" x14ac:dyDescent="0.35">
      <c r="A233" s="149"/>
      <c r="B233" s="128" t="s">
        <v>80</v>
      </c>
      <c r="C233" s="129"/>
      <c r="D233" s="132">
        <f>D212*T233</f>
        <v>7.4892480000000115</v>
      </c>
      <c r="E233" s="132">
        <f t="shared" ref="E233:Q233" si="243">E212*U233</f>
        <v>7.3408504039559359</v>
      </c>
      <c r="F233" s="132">
        <f t="shared" si="243"/>
        <v>7.1970553891363629</v>
      </c>
      <c r="G233" s="132">
        <f t="shared" si="243"/>
        <v>7.0577136206054414</v>
      </c>
      <c r="H233" s="132">
        <f t="shared" si="243"/>
        <v>6.9226813712642903</v>
      </c>
      <c r="I233" s="132">
        <f t="shared" si="243"/>
        <v>6.791820303519791</v>
      </c>
      <c r="J233" s="132">
        <f t="shared" si="243"/>
        <v>6.6649972602015026</v>
      </c>
      <c r="K233" s="132">
        <f t="shared" si="243"/>
        <v>6.5420840643246967</v>
      </c>
      <c r="L233" s="132">
        <f t="shared" si="243"/>
        <v>6.4229573273160989</v>
      </c>
      <c r="M233" s="132">
        <f t="shared" si="243"/>
        <v>6.3074982653366423</v>
      </c>
      <c r="N233" s="132">
        <f t="shared" si="243"/>
        <v>6.1955925233523326</v>
      </c>
      <c r="O233" s="132">
        <f t="shared" si="243"/>
        <v>6.087130006620443</v>
      </c>
      <c r="P233" s="132">
        <f t="shared" si="243"/>
        <v>5.9820047192735668</v>
      </c>
      <c r="Q233" s="132">
        <f t="shared" si="243"/>
        <v>17.640343829095919</v>
      </c>
      <c r="R233" s="68">
        <f t="shared" si="239"/>
        <v>0.10952467991271457</v>
      </c>
      <c r="S233" s="134" t="s">
        <v>80</v>
      </c>
      <c r="T233" s="116">
        <v>4.0000000000000029E-2</v>
      </c>
      <c r="U233" s="116">
        <v>3.7093103024844219E-2</v>
      </c>
      <c r="V233" s="116">
        <v>3.4397457300292665E-2</v>
      </c>
      <c r="W233" s="116">
        <v>3.1897710685810869E-2</v>
      </c>
      <c r="X233" s="116">
        <v>2.9579626718136409E-2</v>
      </c>
      <c r="Y233" s="116">
        <v>2.7430003532306693E-2</v>
      </c>
      <c r="Z233" s="116">
        <v>2.543659867489231E-2</v>
      </c>
      <c r="AA233" s="116">
        <v>2.3588059381234896E-2</v>
      </c>
      <c r="AB233" s="116">
        <v>2.1873857919607213E-2</v>
      </c>
      <c r="AC233" s="116">
        <v>2.0284231634069862E-2</v>
      </c>
      <c r="AD233" s="116">
        <v>1.8810127344558929E-2</v>
      </c>
      <c r="AE233" s="116">
        <v>1.7443149787554083E-2</v>
      </c>
      <c r="AF233" s="116">
        <v>1.617551380368832E-2</v>
      </c>
      <c r="AG233" s="116">
        <v>4.4999999999999998E-2</v>
      </c>
    </row>
    <row r="234" spans="1:33" s="117" customFormat="1" x14ac:dyDescent="0.35">
      <c r="A234" s="149"/>
      <c r="B234" s="128" t="s">
        <v>81</v>
      </c>
      <c r="C234" s="129"/>
      <c r="D234" s="132">
        <f>D212*T234</f>
        <v>3.7446240000000035</v>
      </c>
      <c r="E234" s="132">
        <f t="shared" ref="E234:Q234" si="244">E212*U234</f>
        <v>3.987192984146859</v>
      </c>
      <c r="F234" s="132">
        <f t="shared" si="244"/>
        <v>4.246455779648338</v>
      </c>
      <c r="G234" s="132">
        <f t="shared" si="244"/>
        <v>4.5236257882951882</v>
      </c>
      <c r="H234" s="132">
        <f t="shared" si="244"/>
        <v>4.8200091234686564</v>
      </c>
      <c r="I234" s="132">
        <f t="shared" si="244"/>
        <v>5.1370120277209246</v>
      </c>
      <c r="J234" s="132">
        <f t="shared" si="244"/>
        <v>5.4761489097683471</v>
      </c>
      <c r="K234" s="132">
        <f t="shared" si="244"/>
        <v>5.8390510547352434</v>
      </c>
      <c r="L234" s="132">
        <f t="shared" si="244"/>
        <v>6.2274760663449547</v>
      </c>
      <c r="M234" s="132">
        <f t="shared" si="244"/>
        <v>6.6433181050682952</v>
      </c>
      <c r="N234" s="132">
        <f t="shared" si="244"/>
        <v>7.0886189920513019</v>
      </c>
      <c r="O234" s="132">
        <f t="shared" si="244"/>
        <v>7.5655802550025566</v>
      </c>
      <c r="P234" s="132">
        <f t="shared" si="244"/>
        <v>8.0765761991788629</v>
      </c>
      <c r="Q234" s="132">
        <f t="shared" si="244"/>
        <v>8.6241680942246752</v>
      </c>
      <c r="R234" s="68">
        <f t="shared" si="239"/>
        <v>6.6778790401008495E-2</v>
      </c>
      <c r="S234" s="134" t="s">
        <v>81</v>
      </c>
      <c r="T234" s="116">
        <v>2.0000000000000004E-2</v>
      </c>
      <c r="U234" s="116">
        <v>2.0147169878464571E-2</v>
      </c>
      <c r="V234" s="116">
        <v>2.0295422705585511E-2</v>
      </c>
      <c r="W234" s="116">
        <v>2.0444766450233912E-2</v>
      </c>
      <c r="X234" s="116">
        <v>2.0595209139919784E-2</v>
      </c>
      <c r="Y234" s="116">
        <v>2.0746758861223506E-2</v>
      </c>
      <c r="Z234" s="116">
        <v>2.0899423760230504E-2</v>
      </c>
      <c r="AA234" s="116">
        <v>2.1053212042969137E-2</v>
      </c>
      <c r="AB234" s="116">
        <v>2.1208131975851766E-2</v>
      </c>
      <c r="AC234" s="116">
        <v>2.1364191886119096E-2</v>
      </c>
      <c r="AD234" s="116">
        <v>2.1521400162287797E-2</v>
      </c>
      <c r="AE234" s="116">
        <v>2.1679765254601358E-2</v>
      </c>
      <c r="AF234" s="116">
        <v>2.1839295675484361E-2</v>
      </c>
      <c r="AG234" s="116">
        <v>2.2000000000000006E-2</v>
      </c>
    </row>
    <row r="235" spans="1:33" s="117" customFormat="1" x14ac:dyDescent="0.35">
      <c r="A235" s="149"/>
      <c r="B235" s="128" t="s">
        <v>82</v>
      </c>
      <c r="C235" s="129"/>
      <c r="D235" s="132">
        <f>D212*T235</f>
        <v>5.6169359999999884</v>
      </c>
      <c r="E235" s="132">
        <f t="shared" ref="E235:Q235" si="245">E212*U235</f>
        <v>6.2301037590834687</v>
      </c>
      <c r="F235" s="132">
        <f t="shared" si="245"/>
        <v>6.8511108153461846</v>
      </c>
      <c r="G235" s="132">
        <f t="shared" si="245"/>
        <v>7.4799204612944692</v>
      </c>
      <c r="H235" s="132">
        <f t="shared" si="245"/>
        <v>8.1164104627339881</v>
      </c>
      <c r="I235" s="132">
        <f t="shared" si="245"/>
        <v>8.7603626511929313</v>
      </c>
      <c r="J235" s="132">
        <f t="shared" si="245"/>
        <v>9.4114513306495464</v>
      </c>
      <c r="K235" s="132">
        <f t="shared" si="245"/>
        <v>10.069230375883039</v>
      </c>
      <c r="L235" s="132">
        <f t="shared" si="245"/>
        <v>10.733118887063778</v>
      </c>
      <c r="M235" s="132">
        <f t="shared" si="245"/>
        <v>11.402385251188031</v>
      </c>
      <c r="N235" s="132">
        <f t="shared" si="245"/>
        <v>12.076129445502419</v>
      </c>
      <c r="O235" s="132">
        <f t="shared" si="245"/>
        <v>12.753263401007375</v>
      </c>
      <c r="P235" s="132">
        <f t="shared" si="245"/>
        <v>13.432489225304638</v>
      </c>
      <c r="Q235" s="132">
        <f t="shared" si="245"/>
        <v>10.192198656810898</v>
      </c>
      <c r="R235" s="68">
        <f>RATE(9,,-H235,Q235)</f>
        <v>2.5626703579369477E-2</v>
      </c>
      <c r="S235" s="134" t="s">
        <v>82</v>
      </c>
      <c r="T235" s="116">
        <f>1-SUM(T229:T234)</f>
        <v>2.9999999999999916E-2</v>
      </c>
      <c r="U235" s="116">
        <f t="shared" ref="U235:AG235" si="246">1-SUM(U229:U234)</f>
        <v>3.1480532618757273E-2</v>
      </c>
      <c r="V235" s="116">
        <f t="shared" si="246"/>
        <v>3.2744056977269231E-2</v>
      </c>
      <c r="W235" s="116">
        <f t="shared" si="246"/>
        <v>3.380589687440172E-2</v>
      </c>
      <c r="X235" s="116">
        <f t="shared" si="246"/>
        <v>3.468026027825144E-2</v>
      </c>
      <c r="Y235" s="116">
        <f t="shared" si="246"/>
        <v>3.5380320404233667E-2</v>
      </c>
      <c r="Z235" s="116">
        <f t="shared" si="246"/>
        <v>3.5918290900959216E-2</v>
      </c>
      <c r="AA235" s="116">
        <f t="shared" si="246"/>
        <v>3.6305495572102608E-2</v>
      </c>
      <c r="AB235" s="116">
        <f t="shared" si="246"/>
        <v>3.655243303134148E-2</v>
      </c>
      <c r="AC235" s="116">
        <f t="shared" si="246"/>
        <v>3.6668836658594883E-2</v>
      </c>
      <c r="AD235" s="116">
        <f t="shared" si="246"/>
        <v>3.6663730199023692E-2</v>
      </c>
      <c r="AE235" s="116">
        <f t="shared" si="246"/>
        <v>3.6545479321446361E-2</v>
      </c>
      <c r="AF235" s="116">
        <f t="shared" si="246"/>
        <v>3.6321839429808267E-2</v>
      </c>
      <c r="AG235" s="116">
        <f t="shared" si="246"/>
        <v>2.5999999999999801E-2</v>
      </c>
    </row>
    <row r="236" spans="1:33" x14ac:dyDescent="0.35">
      <c r="D236" t="b">
        <f>D212=SUM(D229:D235)</f>
        <v>1</v>
      </c>
      <c r="E236" t="b">
        <f t="shared" ref="E236:Q236" si="247">E212=SUM(E229:E235)</f>
        <v>1</v>
      </c>
      <c r="F236" t="b">
        <f t="shared" si="247"/>
        <v>1</v>
      </c>
      <c r="G236" t="b">
        <f t="shared" si="247"/>
        <v>1</v>
      </c>
      <c r="H236" t="b">
        <f t="shared" si="247"/>
        <v>1</v>
      </c>
      <c r="I236" t="b">
        <f t="shared" si="247"/>
        <v>1</v>
      </c>
      <c r="J236" t="b">
        <f t="shared" si="247"/>
        <v>1</v>
      </c>
      <c r="K236" t="b">
        <f t="shared" si="247"/>
        <v>0</v>
      </c>
      <c r="L236" t="b">
        <f t="shared" si="247"/>
        <v>1</v>
      </c>
      <c r="M236" t="b">
        <f t="shared" si="247"/>
        <v>1</v>
      </c>
      <c r="N236" t="b">
        <f t="shared" si="247"/>
        <v>1</v>
      </c>
      <c r="O236" t="b">
        <f t="shared" si="247"/>
        <v>1</v>
      </c>
      <c r="P236" t="b">
        <f t="shared" si="247"/>
        <v>1</v>
      </c>
      <c r="Q236" t="b">
        <f t="shared" si="247"/>
        <v>1</v>
      </c>
    </row>
    <row r="237" spans="1:33" ht="25" hidden="1" x14ac:dyDescent="0.5">
      <c r="A237" s="146" t="s">
        <v>95</v>
      </c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63"/>
    </row>
    <row r="238" spans="1:33" ht="23" hidden="1" x14ac:dyDescent="0.5">
      <c r="A238" s="63"/>
      <c r="B238" s="63"/>
      <c r="C238" s="63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</row>
    <row r="239" spans="1:33" ht="15.5" hidden="1" x14ac:dyDescent="0.35">
      <c r="A239" s="42"/>
      <c r="B239" s="43"/>
      <c r="C239" s="93"/>
      <c r="D239" s="91">
        <v>2023</v>
      </c>
      <c r="E239" s="65">
        <v>2024</v>
      </c>
      <c r="F239" s="65">
        <v>2025</v>
      </c>
      <c r="G239" s="65">
        <v>2026</v>
      </c>
      <c r="H239" s="65">
        <v>2027</v>
      </c>
      <c r="I239" s="65">
        <v>2028</v>
      </c>
      <c r="J239" s="65">
        <v>2029</v>
      </c>
      <c r="K239" s="65">
        <v>2030</v>
      </c>
      <c r="L239" s="65">
        <v>2031</v>
      </c>
      <c r="M239" s="65">
        <v>2032</v>
      </c>
      <c r="N239" s="65">
        <v>2033</v>
      </c>
      <c r="O239" s="65">
        <v>2034</v>
      </c>
      <c r="P239" s="65">
        <v>2035</v>
      </c>
      <c r="Q239" s="65">
        <v>2036</v>
      </c>
      <c r="R239" s="66" t="s">
        <v>13</v>
      </c>
    </row>
    <row r="240" spans="1:33" ht="16" hidden="1" thickBot="1" x14ac:dyDescent="0.4">
      <c r="A240" s="25"/>
      <c r="B240" s="94"/>
      <c r="C240" s="95"/>
      <c r="D240" s="92" t="e">
        <f>#REF!</f>
        <v>#REF!</v>
      </c>
      <c r="E240" s="92" t="e">
        <f>#REF!</f>
        <v>#REF!</v>
      </c>
      <c r="F240" s="92" t="e">
        <f>#REF!</f>
        <v>#REF!</v>
      </c>
      <c r="G240" s="92" t="e">
        <f>#REF!</f>
        <v>#REF!</v>
      </c>
      <c r="H240" s="92" t="e">
        <f>#REF!</f>
        <v>#REF!</v>
      </c>
      <c r="I240" s="92" t="e">
        <f>#REF!</f>
        <v>#REF!</v>
      </c>
      <c r="J240" s="92" t="e">
        <f>#REF!</f>
        <v>#REF!</v>
      </c>
      <c r="K240" s="92" t="e">
        <f>#REF!</f>
        <v>#REF!</v>
      </c>
      <c r="L240" s="92" t="e">
        <f>#REF!</f>
        <v>#REF!</v>
      </c>
      <c r="M240" s="92" t="e">
        <f>#REF!</f>
        <v>#REF!</v>
      </c>
      <c r="N240" s="92" t="e">
        <f>#REF!</f>
        <v>#REF!</v>
      </c>
      <c r="O240" s="92" t="e">
        <f>#REF!</f>
        <v>#REF!</v>
      </c>
      <c r="P240" s="92" t="e">
        <f>#REF!</f>
        <v>#REF!</v>
      </c>
      <c r="Q240" s="92" t="e">
        <f>#REF!</f>
        <v>#REF!</v>
      </c>
      <c r="R240" s="68" t="e">
        <f>RATE(12,,-E240,Q240)</f>
        <v>#REF!</v>
      </c>
      <c r="T240" s="65">
        <v>2023</v>
      </c>
      <c r="U240" s="65">
        <v>2024</v>
      </c>
      <c r="V240" s="65">
        <v>2025</v>
      </c>
      <c r="W240" s="65">
        <v>2026</v>
      </c>
      <c r="X240" s="65">
        <v>2027</v>
      </c>
      <c r="Y240" s="65">
        <v>2028</v>
      </c>
      <c r="Z240" s="65">
        <v>2029</v>
      </c>
      <c r="AA240" s="65">
        <v>2030</v>
      </c>
      <c r="AB240" s="65">
        <v>2031</v>
      </c>
      <c r="AC240" s="65">
        <v>2032</v>
      </c>
      <c r="AD240" s="65">
        <v>2033</v>
      </c>
      <c r="AE240" s="65">
        <v>2034</v>
      </c>
      <c r="AF240" s="65">
        <v>2035</v>
      </c>
      <c r="AG240" s="65">
        <v>2036</v>
      </c>
    </row>
    <row r="241" spans="1:33" hidden="1" x14ac:dyDescent="0.35">
      <c r="A241" s="150" t="s">
        <v>49</v>
      </c>
      <c r="B241" s="52" t="s">
        <v>34</v>
      </c>
      <c r="C241" s="45"/>
      <c r="D241" s="79" t="e">
        <f t="shared" ref="D241:Q241" si="248">D240*T241</f>
        <v>#REF!</v>
      </c>
      <c r="E241" s="79" t="e">
        <f t="shared" si="248"/>
        <v>#REF!</v>
      </c>
      <c r="F241" s="79" t="e">
        <f t="shared" si="248"/>
        <v>#REF!</v>
      </c>
      <c r="G241" s="79" t="e">
        <f t="shared" si="248"/>
        <v>#REF!</v>
      </c>
      <c r="H241" s="79" t="e">
        <f t="shared" si="248"/>
        <v>#REF!</v>
      </c>
      <c r="I241" s="79" t="e">
        <f t="shared" si="248"/>
        <v>#REF!</v>
      </c>
      <c r="J241" s="79" t="e">
        <f t="shared" si="248"/>
        <v>#REF!</v>
      </c>
      <c r="K241" s="79" t="e">
        <f t="shared" si="248"/>
        <v>#REF!</v>
      </c>
      <c r="L241" s="79" t="e">
        <f t="shared" si="248"/>
        <v>#REF!</v>
      </c>
      <c r="M241" s="79" t="e">
        <f t="shared" si="248"/>
        <v>#REF!</v>
      </c>
      <c r="N241" s="79" t="e">
        <f t="shared" si="248"/>
        <v>#REF!</v>
      </c>
      <c r="O241" s="79" t="e">
        <f t="shared" si="248"/>
        <v>#REF!</v>
      </c>
      <c r="P241" s="79" t="e">
        <f t="shared" si="248"/>
        <v>#REF!</v>
      </c>
      <c r="Q241" s="79" t="e">
        <f t="shared" si="248"/>
        <v>#REF!</v>
      </c>
      <c r="R241" s="77" t="e">
        <f>RATE(12,,-E241,Q241)</f>
        <v>#REF!</v>
      </c>
      <c r="S241" s="52"/>
      <c r="T241" s="12">
        <v>0.56000000000000005</v>
      </c>
      <c r="U241" s="12">
        <v>0.56092161367703952</v>
      </c>
      <c r="V241" s="12">
        <v>0.56184474408938223</v>
      </c>
      <c r="W241" s="12">
        <v>0.56276939373317769</v>
      </c>
      <c r="X241" s="12">
        <v>0.56369556510868446</v>
      </c>
      <c r="Y241" s="12">
        <v>0.56462326072027491</v>
      </c>
      <c r="Z241" s="12">
        <v>0.56555248307644368</v>
      </c>
      <c r="AA241" s="12">
        <v>0.56648323468981299</v>
      </c>
      <c r="AB241" s="12">
        <v>0.56741551807714108</v>
      </c>
      <c r="AC241" s="12">
        <v>0.56834933575932756</v>
      </c>
      <c r="AD241" s="12">
        <v>0.56928469026142059</v>
      </c>
      <c r="AE241" s="12">
        <v>0.57022158411262425</v>
      </c>
      <c r="AF241" s="12">
        <v>0.57116001984630527</v>
      </c>
      <c r="AG241" s="12">
        <v>0.57209999999999905</v>
      </c>
    </row>
    <row r="242" spans="1:33" ht="15" hidden="1" thickBot="1" x14ac:dyDescent="0.4">
      <c r="A242" s="151"/>
      <c r="B242" s="53" t="s">
        <v>35</v>
      </c>
      <c r="C242" s="46"/>
      <c r="D242" s="80" t="e">
        <f t="shared" ref="D242:Q242" si="249">D240*T242</f>
        <v>#REF!</v>
      </c>
      <c r="E242" s="80" t="e">
        <f t="shared" si="249"/>
        <v>#REF!</v>
      </c>
      <c r="F242" s="80" t="e">
        <f t="shared" si="249"/>
        <v>#REF!</v>
      </c>
      <c r="G242" s="80" t="e">
        <f t="shared" si="249"/>
        <v>#REF!</v>
      </c>
      <c r="H242" s="80" t="e">
        <f t="shared" si="249"/>
        <v>#REF!</v>
      </c>
      <c r="I242" s="80" t="e">
        <f t="shared" si="249"/>
        <v>#REF!</v>
      </c>
      <c r="J242" s="80" t="e">
        <f t="shared" si="249"/>
        <v>#REF!</v>
      </c>
      <c r="K242" s="80" t="e">
        <f t="shared" si="249"/>
        <v>#REF!</v>
      </c>
      <c r="L242" s="80" t="e">
        <f t="shared" si="249"/>
        <v>#REF!</v>
      </c>
      <c r="M242" s="80" t="e">
        <f t="shared" si="249"/>
        <v>#REF!</v>
      </c>
      <c r="N242" s="80" t="e">
        <f t="shared" si="249"/>
        <v>#REF!</v>
      </c>
      <c r="O242" s="80" t="e">
        <f t="shared" si="249"/>
        <v>#REF!</v>
      </c>
      <c r="P242" s="80" t="e">
        <f t="shared" si="249"/>
        <v>#REF!</v>
      </c>
      <c r="Q242" s="80" t="e">
        <f t="shared" si="249"/>
        <v>#REF!</v>
      </c>
      <c r="R242" s="78" t="e">
        <f>RATE(12,,-E242,Q242)</f>
        <v>#REF!</v>
      </c>
      <c r="S242" s="53"/>
      <c r="T242" s="12">
        <f>1-T241</f>
        <v>0.43999999999999995</v>
      </c>
      <c r="U242" s="12">
        <f t="shared" ref="U242:AG242" si="250">1-U241</f>
        <v>0.43907838632296048</v>
      </c>
      <c r="V242" s="12">
        <f t="shared" si="250"/>
        <v>0.43815525591061777</v>
      </c>
      <c r="W242" s="12">
        <f t="shared" si="250"/>
        <v>0.43723060626682231</v>
      </c>
      <c r="X242" s="12">
        <f t="shared" si="250"/>
        <v>0.43630443489131554</v>
      </c>
      <c r="Y242" s="12">
        <f t="shared" si="250"/>
        <v>0.43537673927972509</v>
      </c>
      <c r="Z242" s="12">
        <f t="shared" si="250"/>
        <v>0.43444751692355632</v>
      </c>
      <c r="AA242" s="12">
        <f t="shared" si="250"/>
        <v>0.43351676531018701</v>
      </c>
      <c r="AB242" s="12">
        <f t="shared" si="250"/>
        <v>0.43258448192285892</v>
      </c>
      <c r="AC242" s="12">
        <f t="shared" si="250"/>
        <v>0.43165066424067244</v>
      </c>
      <c r="AD242" s="12">
        <f t="shared" si="250"/>
        <v>0.43071530973857941</v>
      </c>
      <c r="AE242" s="12">
        <f t="shared" si="250"/>
        <v>0.42977841588737575</v>
      </c>
      <c r="AF242" s="12">
        <f t="shared" si="250"/>
        <v>0.42883998015369473</v>
      </c>
      <c r="AG242" s="12">
        <f t="shared" si="250"/>
        <v>0.42790000000000095</v>
      </c>
    </row>
    <row r="243" spans="1:33" hidden="1" x14ac:dyDescent="0.35">
      <c r="A243" s="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21"/>
    </row>
    <row r="244" spans="1:33" hidden="1" x14ac:dyDescent="0.35">
      <c r="A244" s="150" t="s">
        <v>15</v>
      </c>
      <c r="B244" s="57" t="s">
        <v>16</v>
      </c>
      <c r="C244" s="47"/>
      <c r="D244" s="82" t="e">
        <f t="shared" ref="D244:Q244" si="251">D240*T244</f>
        <v>#REF!</v>
      </c>
      <c r="E244" s="82" t="e">
        <f t="shared" si="251"/>
        <v>#REF!</v>
      </c>
      <c r="F244" s="82" t="e">
        <f t="shared" si="251"/>
        <v>#REF!</v>
      </c>
      <c r="G244" s="82" t="e">
        <f t="shared" si="251"/>
        <v>#REF!</v>
      </c>
      <c r="H244" s="82" t="e">
        <f t="shared" si="251"/>
        <v>#REF!</v>
      </c>
      <c r="I244" s="82" t="e">
        <f t="shared" si="251"/>
        <v>#REF!</v>
      </c>
      <c r="J244" s="82" t="e">
        <f t="shared" si="251"/>
        <v>#REF!</v>
      </c>
      <c r="K244" s="82" t="e">
        <f t="shared" si="251"/>
        <v>#REF!</v>
      </c>
      <c r="L244" s="82" t="e">
        <f t="shared" si="251"/>
        <v>#REF!</v>
      </c>
      <c r="M244" s="82" t="e">
        <f t="shared" si="251"/>
        <v>#REF!</v>
      </c>
      <c r="N244" s="82" t="e">
        <f t="shared" si="251"/>
        <v>#REF!</v>
      </c>
      <c r="O244" s="82" t="e">
        <f t="shared" si="251"/>
        <v>#REF!</v>
      </c>
      <c r="P244" s="82" t="e">
        <f t="shared" si="251"/>
        <v>#REF!</v>
      </c>
      <c r="Q244" s="82" t="e">
        <f t="shared" si="251"/>
        <v>#REF!</v>
      </c>
      <c r="R244" s="69" t="e">
        <f>RATE(12,,-E244,Q244)</f>
        <v>#REF!</v>
      </c>
      <c r="S244" s="57"/>
      <c r="T244" s="12">
        <v>0.47099999999999992</v>
      </c>
      <c r="U244" s="12">
        <v>0.47038461538461535</v>
      </c>
      <c r="V244" s="12">
        <v>0.46976923076923072</v>
      </c>
      <c r="W244" s="12">
        <v>0.46915384615384609</v>
      </c>
      <c r="X244" s="12">
        <v>0.46853846153846151</v>
      </c>
      <c r="Y244" s="12">
        <v>0.46792307692307689</v>
      </c>
      <c r="Z244" s="12">
        <v>0.46730769230769226</v>
      </c>
      <c r="AA244" s="12">
        <v>0.46669230769230763</v>
      </c>
      <c r="AB244" s="12">
        <v>0.46607692307692306</v>
      </c>
      <c r="AC244" s="12">
        <v>0.46546153846153843</v>
      </c>
      <c r="AD244" s="12">
        <v>0.4648461538461538</v>
      </c>
      <c r="AE244" s="12">
        <v>0.46423076923076922</v>
      </c>
      <c r="AF244" s="12">
        <v>0.4636153846153846</v>
      </c>
      <c r="AG244" s="12">
        <v>0.46299999999999997</v>
      </c>
    </row>
    <row r="245" spans="1:33" ht="15" hidden="1" thickBot="1" x14ac:dyDescent="0.4">
      <c r="A245" s="151"/>
      <c r="B245" s="58" t="s">
        <v>17</v>
      </c>
      <c r="C245" s="48"/>
      <c r="D245" s="83" t="e">
        <f t="shared" ref="D245:Q245" si="252">D240*T245</f>
        <v>#REF!</v>
      </c>
      <c r="E245" s="83" t="e">
        <f t="shared" si="252"/>
        <v>#REF!</v>
      </c>
      <c r="F245" s="83" t="e">
        <f t="shared" si="252"/>
        <v>#REF!</v>
      </c>
      <c r="G245" s="83" t="e">
        <f t="shared" si="252"/>
        <v>#REF!</v>
      </c>
      <c r="H245" s="83" t="e">
        <f t="shared" si="252"/>
        <v>#REF!</v>
      </c>
      <c r="I245" s="83" t="e">
        <f t="shared" si="252"/>
        <v>#REF!</v>
      </c>
      <c r="J245" s="83" t="e">
        <f t="shared" si="252"/>
        <v>#REF!</v>
      </c>
      <c r="K245" s="83" t="e">
        <f t="shared" si="252"/>
        <v>#REF!</v>
      </c>
      <c r="L245" s="83" t="e">
        <f t="shared" si="252"/>
        <v>#REF!</v>
      </c>
      <c r="M245" s="83" t="e">
        <f t="shared" si="252"/>
        <v>#REF!</v>
      </c>
      <c r="N245" s="83" t="e">
        <f t="shared" si="252"/>
        <v>#REF!</v>
      </c>
      <c r="O245" s="83" t="e">
        <f t="shared" si="252"/>
        <v>#REF!</v>
      </c>
      <c r="P245" s="83" t="e">
        <f t="shared" si="252"/>
        <v>#REF!</v>
      </c>
      <c r="Q245" s="83" t="e">
        <f t="shared" si="252"/>
        <v>#REF!</v>
      </c>
      <c r="R245" s="70" t="e">
        <f>RATE(12,,-E245,Q245)</f>
        <v>#REF!</v>
      </c>
      <c r="S245" s="58"/>
      <c r="T245" s="12">
        <f>1-T244</f>
        <v>0.52900000000000014</v>
      </c>
      <c r="U245" s="12">
        <f t="shared" ref="U245:AG245" si="253">1-U244</f>
        <v>0.5296153846153846</v>
      </c>
      <c r="V245" s="12">
        <f t="shared" si="253"/>
        <v>0.53023076923076928</v>
      </c>
      <c r="W245" s="12">
        <f t="shared" si="253"/>
        <v>0.53084615384615397</v>
      </c>
      <c r="X245" s="12">
        <f t="shared" si="253"/>
        <v>0.53146153846153843</v>
      </c>
      <c r="Y245" s="12">
        <f t="shared" si="253"/>
        <v>0.53207692307692311</v>
      </c>
      <c r="Z245" s="12">
        <f t="shared" si="253"/>
        <v>0.5326923076923078</v>
      </c>
      <c r="AA245" s="12">
        <f t="shared" si="253"/>
        <v>0.53330769230769237</v>
      </c>
      <c r="AB245" s="12">
        <f t="shared" si="253"/>
        <v>0.53392307692307694</v>
      </c>
      <c r="AC245" s="12">
        <f t="shared" si="253"/>
        <v>0.53453846153846163</v>
      </c>
      <c r="AD245" s="12">
        <f t="shared" si="253"/>
        <v>0.5351538461538462</v>
      </c>
      <c r="AE245" s="12">
        <f t="shared" si="253"/>
        <v>0.53576923076923078</v>
      </c>
      <c r="AF245" s="12">
        <f t="shared" si="253"/>
        <v>0.53638461538461546</v>
      </c>
      <c r="AG245" s="12">
        <f t="shared" si="253"/>
        <v>0.53700000000000003</v>
      </c>
    </row>
    <row r="246" spans="1:33" hidden="1" x14ac:dyDescent="0.35">
      <c r="A246" s="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21"/>
    </row>
    <row r="247" spans="1:33" hidden="1" x14ac:dyDescent="0.35">
      <c r="A247" s="150" t="s">
        <v>18</v>
      </c>
      <c r="B247" s="54" t="s">
        <v>19</v>
      </c>
      <c r="C247" s="49"/>
      <c r="D247" s="84" t="e">
        <f t="shared" ref="D247:Q247" si="254">D240*T247</f>
        <v>#REF!</v>
      </c>
      <c r="E247" s="84" t="e">
        <f t="shared" si="254"/>
        <v>#REF!</v>
      </c>
      <c r="F247" s="84" t="e">
        <f t="shared" si="254"/>
        <v>#REF!</v>
      </c>
      <c r="G247" s="84" t="e">
        <f t="shared" si="254"/>
        <v>#REF!</v>
      </c>
      <c r="H247" s="84" t="e">
        <f t="shared" si="254"/>
        <v>#REF!</v>
      </c>
      <c r="I247" s="84" t="e">
        <f t="shared" si="254"/>
        <v>#REF!</v>
      </c>
      <c r="J247" s="84" t="e">
        <f t="shared" si="254"/>
        <v>#REF!</v>
      </c>
      <c r="K247" s="84" t="e">
        <f t="shared" si="254"/>
        <v>#REF!</v>
      </c>
      <c r="L247" s="84" t="e">
        <f t="shared" si="254"/>
        <v>#REF!</v>
      </c>
      <c r="M247" s="84" t="e">
        <f t="shared" si="254"/>
        <v>#REF!</v>
      </c>
      <c r="N247" s="84" t="e">
        <f t="shared" si="254"/>
        <v>#REF!</v>
      </c>
      <c r="O247" s="84" t="e">
        <f t="shared" si="254"/>
        <v>#REF!</v>
      </c>
      <c r="P247" s="84" t="e">
        <f t="shared" si="254"/>
        <v>#REF!</v>
      </c>
      <c r="Q247" s="84" t="e">
        <f t="shared" si="254"/>
        <v>#REF!</v>
      </c>
      <c r="R247" s="71" t="e">
        <f>RATE(12,,-E247,Q247)</f>
        <v>#REF!</v>
      </c>
      <c r="S247" s="54"/>
      <c r="T247" s="12">
        <v>0.40099999999999997</v>
      </c>
      <c r="U247" s="12">
        <v>0.40265090533119946</v>
      </c>
      <c r="V247" s="12">
        <v>0.40430860739160734</v>
      </c>
      <c r="W247" s="12">
        <v>0.40597313416316017</v>
      </c>
      <c r="X247" s="12">
        <v>0.40764451374299493</v>
      </c>
      <c r="Y247" s="12">
        <v>0.40932277434392395</v>
      </c>
      <c r="Z247" s="12">
        <v>0.41100794429491083</v>
      </c>
      <c r="AA247" s="12">
        <v>0.4127000520415488</v>
      </c>
      <c r="AB247" s="12">
        <v>0.41439912614654062</v>
      </c>
      <c r="AC247" s="12">
        <v>0.41610519529018092</v>
      </c>
      <c r="AD247" s="12">
        <v>0.41781828827084017</v>
      </c>
      <c r="AE247" s="12">
        <v>0.4195384340054511</v>
      </c>
      <c r="AF247" s="12">
        <v>0.4212656615299965</v>
      </c>
      <c r="AG247" s="12">
        <v>0.42299999999999938</v>
      </c>
    </row>
    <row r="248" spans="1:33" ht="15" hidden="1" thickBot="1" x14ac:dyDescent="0.4">
      <c r="A248" s="151"/>
      <c r="B248" s="56" t="s">
        <v>20</v>
      </c>
      <c r="C248" s="44"/>
      <c r="D248" s="85" t="e">
        <f t="shared" ref="D248:Q248" si="255">D240*T248</f>
        <v>#REF!</v>
      </c>
      <c r="E248" s="85" t="e">
        <f t="shared" si="255"/>
        <v>#REF!</v>
      </c>
      <c r="F248" s="85" t="e">
        <f t="shared" si="255"/>
        <v>#REF!</v>
      </c>
      <c r="G248" s="85" t="e">
        <f t="shared" si="255"/>
        <v>#REF!</v>
      </c>
      <c r="H248" s="85" t="e">
        <f t="shared" si="255"/>
        <v>#REF!</v>
      </c>
      <c r="I248" s="85" t="e">
        <f t="shared" si="255"/>
        <v>#REF!</v>
      </c>
      <c r="J248" s="85" t="e">
        <f t="shared" si="255"/>
        <v>#REF!</v>
      </c>
      <c r="K248" s="85" t="e">
        <f t="shared" si="255"/>
        <v>#REF!</v>
      </c>
      <c r="L248" s="85" t="e">
        <f t="shared" si="255"/>
        <v>#REF!</v>
      </c>
      <c r="M248" s="85" t="e">
        <f t="shared" si="255"/>
        <v>#REF!</v>
      </c>
      <c r="N248" s="85" t="e">
        <f t="shared" si="255"/>
        <v>#REF!</v>
      </c>
      <c r="O248" s="85" t="e">
        <f t="shared" si="255"/>
        <v>#REF!</v>
      </c>
      <c r="P248" s="85" t="e">
        <f t="shared" si="255"/>
        <v>#REF!</v>
      </c>
      <c r="Q248" s="85" t="e">
        <f t="shared" si="255"/>
        <v>#REF!</v>
      </c>
      <c r="R248" s="72" t="e">
        <f>RATE(12,,-E248,Q248)</f>
        <v>#REF!</v>
      </c>
      <c r="S248" s="56"/>
      <c r="T248" s="12">
        <f>1-T247</f>
        <v>0.59899999999999998</v>
      </c>
      <c r="U248" s="12">
        <f t="shared" ref="U248:AG248" si="256">1-U247</f>
        <v>0.59734909466880048</v>
      </c>
      <c r="V248" s="12">
        <f t="shared" si="256"/>
        <v>0.59569139260839266</v>
      </c>
      <c r="W248" s="12">
        <f t="shared" si="256"/>
        <v>0.59402686583683983</v>
      </c>
      <c r="X248" s="12">
        <f t="shared" si="256"/>
        <v>0.59235548625700507</v>
      </c>
      <c r="Y248" s="12">
        <f t="shared" si="256"/>
        <v>0.59067722565607605</v>
      </c>
      <c r="Z248" s="12">
        <f t="shared" si="256"/>
        <v>0.58899205570508917</v>
      </c>
      <c r="AA248" s="12">
        <f t="shared" si="256"/>
        <v>0.5872999479584512</v>
      </c>
      <c r="AB248" s="12">
        <f t="shared" si="256"/>
        <v>0.58560087385345938</v>
      </c>
      <c r="AC248" s="12">
        <f t="shared" si="256"/>
        <v>0.58389480470981914</v>
      </c>
      <c r="AD248" s="12">
        <f t="shared" si="256"/>
        <v>0.58218171172915989</v>
      </c>
      <c r="AE248" s="12">
        <f t="shared" si="256"/>
        <v>0.5804615659945489</v>
      </c>
      <c r="AF248" s="12">
        <f t="shared" si="256"/>
        <v>0.57873433847000344</v>
      </c>
      <c r="AG248" s="12">
        <f t="shared" si="256"/>
        <v>0.57700000000000062</v>
      </c>
    </row>
    <row r="249" spans="1:33" hidden="1" x14ac:dyDescent="0.35">
      <c r="A249" s="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21"/>
    </row>
    <row r="250" spans="1:33" hidden="1" x14ac:dyDescent="0.35">
      <c r="A250" s="150" t="s">
        <v>14</v>
      </c>
      <c r="B250" s="59" t="s">
        <v>21</v>
      </c>
      <c r="C250" s="50"/>
      <c r="D250" s="86" t="e">
        <f t="shared" ref="D250:Q250" si="257">D240*T250</f>
        <v>#REF!</v>
      </c>
      <c r="E250" s="86" t="e">
        <f t="shared" si="257"/>
        <v>#REF!</v>
      </c>
      <c r="F250" s="86" t="e">
        <f t="shared" si="257"/>
        <v>#REF!</v>
      </c>
      <c r="G250" s="86" t="e">
        <f t="shared" si="257"/>
        <v>#REF!</v>
      </c>
      <c r="H250" s="86" t="e">
        <f t="shared" si="257"/>
        <v>#REF!</v>
      </c>
      <c r="I250" s="86" t="e">
        <f t="shared" si="257"/>
        <v>#REF!</v>
      </c>
      <c r="J250" s="86" t="e">
        <f t="shared" si="257"/>
        <v>#REF!</v>
      </c>
      <c r="K250" s="86" t="e">
        <f t="shared" si="257"/>
        <v>#REF!</v>
      </c>
      <c r="L250" s="86" t="e">
        <f t="shared" si="257"/>
        <v>#REF!</v>
      </c>
      <c r="M250" s="86" t="e">
        <f t="shared" si="257"/>
        <v>#REF!</v>
      </c>
      <c r="N250" s="86" t="e">
        <f t="shared" si="257"/>
        <v>#REF!</v>
      </c>
      <c r="O250" s="86" t="e">
        <f t="shared" si="257"/>
        <v>#REF!</v>
      </c>
      <c r="P250" s="86" t="e">
        <f t="shared" si="257"/>
        <v>#REF!</v>
      </c>
      <c r="Q250" s="86" t="e">
        <f t="shared" si="257"/>
        <v>#REF!</v>
      </c>
      <c r="R250" s="73" t="e">
        <f t="shared" ref="R250:R255" si="258">RATE(12,,-E250,Q250)</f>
        <v>#REF!</v>
      </c>
      <c r="S250" s="59"/>
      <c r="T250" s="12">
        <v>0.25</v>
      </c>
      <c r="U250" s="12">
        <v>0.25155593539307364</v>
      </c>
      <c r="V250" s="12">
        <v>0.25312155452593693</v>
      </c>
      <c r="W250" s="12">
        <v>0.25469691766768382</v>
      </c>
      <c r="X250" s="12">
        <v>0.25628208546250747</v>
      </c>
      <c r="Y250" s="12">
        <v>0.2578771189320348</v>
      </c>
      <c r="Z250" s="12">
        <v>0.25948207947767565</v>
      </c>
      <c r="AA250" s="12">
        <v>0.2610970288829863</v>
      </c>
      <c r="AB250" s="12">
        <v>0.26272202931604799</v>
      </c>
      <c r="AC250" s="12">
        <v>0.26435714333185978</v>
      </c>
      <c r="AD250" s="12">
        <v>0.26600243387474731</v>
      </c>
      <c r="AE250" s="12">
        <v>0.26765796428078514</v>
      </c>
      <c r="AF250" s="12">
        <v>0.26932379828023517</v>
      </c>
      <c r="AG250" s="12">
        <v>0.27100000000000013</v>
      </c>
    </row>
    <row r="251" spans="1:33" hidden="1" x14ac:dyDescent="0.35">
      <c r="A251" s="155"/>
      <c r="B251" s="60" t="s">
        <v>22</v>
      </c>
      <c r="C251" s="41"/>
      <c r="D251" s="87" t="e">
        <f t="shared" ref="D251:Q251" si="259">D240*T251</f>
        <v>#REF!</v>
      </c>
      <c r="E251" s="87" t="e">
        <f t="shared" si="259"/>
        <v>#REF!</v>
      </c>
      <c r="F251" s="87" t="e">
        <f t="shared" si="259"/>
        <v>#REF!</v>
      </c>
      <c r="G251" s="87" t="e">
        <f t="shared" si="259"/>
        <v>#REF!</v>
      </c>
      <c r="H251" s="87" t="e">
        <f t="shared" si="259"/>
        <v>#REF!</v>
      </c>
      <c r="I251" s="87" t="e">
        <f t="shared" si="259"/>
        <v>#REF!</v>
      </c>
      <c r="J251" s="87" t="e">
        <f t="shared" si="259"/>
        <v>#REF!</v>
      </c>
      <c r="K251" s="87" t="e">
        <f t="shared" si="259"/>
        <v>#REF!</v>
      </c>
      <c r="L251" s="87" t="e">
        <f t="shared" si="259"/>
        <v>#REF!</v>
      </c>
      <c r="M251" s="87" t="e">
        <f t="shared" si="259"/>
        <v>#REF!</v>
      </c>
      <c r="N251" s="87" t="e">
        <f t="shared" si="259"/>
        <v>#REF!</v>
      </c>
      <c r="O251" s="87" t="e">
        <f t="shared" si="259"/>
        <v>#REF!</v>
      </c>
      <c r="P251" s="87" t="e">
        <f t="shared" si="259"/>
        <v>#REF!</v>
      </c>
      <c r="Q251" s="87" t="e">
        <f t="shared" si="259"/>
        <v>#REF!</v>
      </c>
      <c r="R251" s="74" t="e">
        <f t="shared" si="258"/>
        <v>#REF!</v>
      </c>
      <c r="S251" s="60"/>
      <c r="T251" s="12">
        <v>0.38</v>
      </c>
      <c r="U251" s="12">
        <v>0.38090988938047371</v>
      </c>
      <c r="V251" s="12">
        <v>0.38182195744169661</v>
      </c>
      <c r="W251" s="12">
        <v>0.38273620940040159</v>
      </c>
      <c r="X251" s="12">
        <v>0.38365265048581265</v>
      </c>
      <c r="Y251" s="12">
        <v>0.38457128593967477</v>
      </c>
      <c r="Z251" s="12">
        <v>0.38549212101628438</v>
      </c>
      <c r="AA251" s="12">
        <v>0.38641516098251855</v>
      </c>
      <c r="AB251" s="12">
        <v>0.38734041111786593</v>
      </c>
      <c r="AC251" s="12">
        <v>0.38826787671445667</v>
      </c>
      <c r="AD251" s="12">
        <v>0.38919756307709236</v>
      </c>
      <c r="AE251" s="12">
        <v>0.39012947552327681</v>
      </c>
      <c r="AF251" s="12">
        <v>0.3910636193832463</v>
      </c>
      <c r="AG251" s="12">
        <v>0.39200000000000002</v>
      </c>
    </row>
    <row r="252" spans="1:33" hidden="1" x14ac:dyDescent="0.35">
      <c r="A252" s="155"/>
      <c r="B252" s="61" t="s">
        <v>23</v>
      </c>
      <c r="C252" s="41"/>
      <c r="D252" s="88" t="e">
        <f t="shared" ref="D252:Q252" si="260">D251*T252</f>
        <v>#REF!</v>
      </c>
      <c r="E252" s="88" t="e">
        <f t="shared" si="260"/>
        <v>#REF!</v>
      </c>
      <c r="F252" s="88" t="e">
        <f t="shared" si="260"/>
        <v>#REF!</v>
      </c>
      <c r="G252" s="88" t="e">
        <f t="shared" si="260"/>
        <v>#REF!</v>
      </c>
      <c r="H252" s="88" t="e">
        <f t="shared" si="260"/>
        <v>#REF!</v>
      </c>
      <c r="I252" s="88" t="e">
        <f t="shared" si="260"/>
        <v>#REF!</v>
      </c>
      <c r="J252" s="88" t="e">
        <f t="shared" si="260"/>
        <v>#REF!</v>
      </c>
      <c r="K252" s="88" t="e">
        <f t="shared" si="260"/>
        <v>#REF!</v>
      </c>
      <c r="L252" s="88" t="e">
        <f t="shared" si="260"/>
        <v>#REF!</v>
      </c>
      <c r="M252" s="88" t="e">
        <f t="shared" si="260"/>
        <v>#REF!</v>
      </c>
      <c r="N252" s="88" t="e">
        <f t="shared" si="260"/>
        <v>#REF!</v>
      </c>
      <c r="O252" s="88" t="e">
        <f t="shared" si="260"/>
        <v>#REF!</v>
      </c>
      <c r="P252" s="88" t="e">
        <f t="shared" si="260"/>
        <v>#REF!</v>
      </c>
      <c r="Q252" s="88" t="e">
        <f t="shared" si="260"/>
        <v>#REF!</v>
      </c>
      <c r="R252" s="74" t="e">
        <f t="shared" si="258"/>
        <v>#REF!</v>
      </c>
      <c r="S252" s="61"/>
      <c r="T252" s="67">
        <v>0.34999999999999987</v>
      </c>
      <c r="U252" s="67">
        <v>0.34938588387166564</v>
      </c>
      <c r="V252" s="67">
        <v>0.34877284528224306</v>
      </c>
      <c r="W252" s="67">
        <v>0.34816088234106346</v>
      </c>
      <c r="X252" s="67">
        <v>0.34754999316077562</v>
      </c>
      <c r="Y252" s="67">
        <v>0.34694017585733994</v>
      </c>
      <c r="Z252" s="67">
        <v>0.34633142855002247</v>
      </c>
      <c r="AA252" s="67">
        <v>0.34572374936138933</v>
      </c>
      <c r="AB252" s="67">
        <v>0.34511713641730069</v>
      </c>
      <c r="AC252" s="67">
        <v>0.34451158784690528</v>
      </c>
      <c r="AD252" s="67">
        <v>0.34390710178263434</v>
      </c>
      <c r="AE252" s="67">
        <v>0.34330367636019604</v>
      </c>
      <c r="AF252" s="67">
        <v>0.34270130971856966</v>
      </c>
      <c r="AG252" s="67">
        <v>0.34209999999999979</v>
      </c>
    </row>
    <row r="253" spans="1:33" hidden="1" x14ac:dyDescent="0.35">
      <c r="A253" s="155"/>
      <c r="B253" s="61" t="s">
        <v>24</v>
      </c>
      <c r="C253" s="41"/>
      <c r="D253" s="88" t="e">
        <f t="shared" ref="D253:Q253" si="261">D251*T253</f>
        <v>#REF!</v>
      </c>
      <c r="E253" s="88" t="e">
        <f t="shared" si="261"/>
        <v>#REF!</v>
      </c>
      <c r="F253" s="88" t="e">
        <f t="shared" si="261"/>
        <v>#REF!</v>
      </c>
      <c r="G253" s="88" t="e">
        <f t="shared" si="261"/>
        <v>#REF!</v>
      </c>
      <c r="H253" s="88" t="e">
        <f t="shared" si="261"/>
        <v>#REF!</v>
      </c>
      <c r="I253" s="88" t="e">
        <f t="shared" si="261"/>
        <v>#REF!</v>
      </c>
      <c r="J253" s="88" t="e">
        <f t="shared" si="261"/>
        <v>#REF!</v>
      </c>
      <c r="K253" s="88" t="e">
        <f t="shared" si="261"/>
        <v>#REF!</v>
      </c>
      <c r="L253" s="88" t="e">
        <f t="shared" si="261"/>
        <v>#REF!</v>
      </c>
      <c r="M253" s="88" t="e">
        <f t="shared" si="261"/>
        <v>#REF!</v>
      </c>
      <c r="N253" s="88" t="e">
        <f t="shared" si="261"/>
        <v>#REF!</v>
      </c>
      <c r="O253" s="88" t="e">
        <f t="shared" si="261"/>
        <v>#REF!</v>
      </c>
      <c r="P253" s="88" t="e">
        <f t="shared" si="261"/>
        <v>#REF!</v>
      </c>
      <c r="Q253" s="88" t="e">
        <f t="shared" si="261"/>
        <v>#REF!</v>
      </c>
      <c r="R253" s="74" t="e">
        <f t="shared" si="258"/>
        <v>#REF!</v>
      </c>
      <c r="S253" s="61"/>
      <c r="T253" s="67">
        <v>0.28000000000000003</v>
      </c>
      <c r="U253" s="67">
        <v>0.28097918830490543</v>
      </c>
      <c r="V253" s="67">
        <v>0.28196180093029821</v>
      </c>
      <c r="W253" s="67">
        <v>0.28294784985137333</v>
      </c>
      <c r="X253" s="67">
        <v>0.28393734708520407</v>
      </c>
      <c r="Y253" s="67">
        <v>0.28493030469088876</v>
      </c>
      <c r="Z253" s="67">
        <v>0.28592673476969749</v>
      </c>
      <c r="AA253" s="67">
        <v>0.28692664946521995</v>
      </c>
      <c r="AB253" s="67">
        <v>0.28793006096351298</v>
      </c>
      <c r="AC253" s="67">
        <v>0.28893698149324931</v>
      </c>
      <c r="AD253" s="67">
        <v>0.28994742332586665</v>
      </c>
      <c r="AE253" s="67">
        <v>0.29096139877571725</v>
      </c>
      <c r="AF253" s="67">
        <v>0.29197892020021765</v>
      </c>
      <c r="AG253" s="67">
        <v>0.29299999999999965</v>
      </c>
    </row>
    <row r="254" spans="1:33" hidden="1" x14ac:dyDescent="0.35">
      <c r="A254" s="155"/>
      <c r="B254" s="61" t="s">
        <v>25</v>
      </c>
      <c r="C254" s="41"/>
      <c r="D254" s="88" t="e">
        <f t="shared" ref="D254:Q254" si="262">D251*T254</f>
        <v>#REF!</v>
      </c>
      <c r="E254" s="88" t="e">
        <f t="shared" si="262"/>
        <v>#REF!</v>
      </c>
      <c r="F254" s="88" t="e">
        <f t="shared" si="262"/>
        <v>#REF!</v>
      </c>
      <c r="G254" s="88" t="e">
        <f t="shared" si="262"/>
        <v>#REF!</v>
      </c>
      <c r="H254" s="88" t="e">
        <f t="shared" si="262"/>
        <v>#REF!</v>
      </c>
      <c r="I254" s="88" t="e">
        <f t="shared" si="262"/>
        <v>#REF!</v>
      </c>
      <c r="J254" s="88" t="e">
        <f t="shared" si="262"/>
        <v>#REF!</v>
      </c>
      <c r="K254" s="88" t="e">
        <f t="shared" si="262"/>
        <v>#REF!</v>
      </c>
      <c r="L254" s="88" t="e">
        <f t="shared" si="262"/>
        <v>#REF!</v>
      </c>
      <c r="M254" s="88" t="e">
        <f t="shared" si="262"/>
        <v>#REF!</v>
      </c>
      <c r="N254" s="88" t="e">
        <f t="shared" si="262"/>
        <v>#REF!</v>
      </c>
      <c r="O254" s="88" t="e">
        <f t="shared" si="262"/>
        <v>#REF!</v>
      </c>
      <c r="P254" s="88" t="e">
        <f t="shared" si="262"/>
        <v>#REF!</v>
      </c>
      <c r="Q254" s="88" t="e">
        <f t="shared" si="262"/>
        <v>#REF!</v>
      </c>
      <c r="R254" s="74" t="e">
        <f t="shared" si="258"/>
        <v>#REF!</v>
      </c>
      <c r="S254" s="61"/>
      <c r="T254" s="67">
        <f>1-SUM(T252:T253)</f>
        <v>0.37000000000000011</v>
      </c>
      <c r="U254" s="67">
        <f t="shared" ref="U254:AG254" si="263">1-SUM(U252:U253)</f>
        <v>0.36963492782342899</v>
      </c>
      <c r="V254" s="67">
        <f t="shared" si="263"/>
        <v>0.36926535378745873</v>
      </c>
      <c r="W254" s="67">
        <f t="shared" si="263"/>
        <v>0.36889126780756321</v>
      </c>
      <c r="X254" s="67">
        <f t="shared" si="263"/>
        <v>0.36851265975402026</v>
      </c>
      <c r="Y254" s="67">
        <f t="shared" si="263"/>
        <v>0.3681295194517713</v>
      </c>
      <c r="Z254" s="67">
        <f t="shared" si="263"/>
        <v>0.36774183668028004</v>
      </c>
      <c r="AA254" s="67">
        <f t="shared" si="263"/>
        <v>0.36734960117339077</v>
      </c>
      <c r="AB254" s="67">
        <f t="shared" si="263"/>
        <v>0.36695280261918639</v>
      </c>
      <c r="AC254" s="67">
        <f t="shared" si="263"/>
        <v>0.36655143065984541</v>
      </c>
      <c r="AD254" s="67">
        <f t="shared" si="263"/>
        <v>0.36614547489149896</v>
      </c>
      <c r="AE254" s="67">
        <f t="shared" si="263"/>
        <v>0.36573492486408665</v>
      </c>
      <c r="AF254" s="67">
        <f t="shared" si="263"/>
        <v>0.36531977008121275</v>
      </c>
      <c r="AG254" s="67">
        <f t="shared" si="263"/>
        <v>0.36490000000000056</v>
      </c>
    </row>
    <row r="255" spans="1:33" ht="15" hidden="1" thickBot="1" x14ac:dyDescent="0.4">
      <c r="A255" s="151"/>
      <c r="B255" s="62" t="s">
        <v>26</v>
      </c>
      <c r="C255" s="51"/>
      <c r="D255" s="89" t="e">
        <f t="shared" ref="D255:Q255" si="264">D240*T255</f>
        <v>#REF!</v>
      </c>
      <c r="E255" s="89" t="e">
        <f t="shared" si="264"/>
        <v>#REF!</v>
      </c>
      <c r="F255" s="89" t="e">
        <f t="shared" si="264"/>
        <v>#REF!</v>
      </c>
      <c r="G255" s="89" t="e">
        <f t="shared" si="264"/>
        <v>#REF!</v>
      </c>
      <c r="H255" s="89" t="e">
        <f t="shared" si="264"/>
        <v>#REF!</v>
      </c>
      <c r="I255" s="89" t="e">
        <f t="shared" si="264"/>
        <v>#REF!</v>
      </c>
      <c r="J255" s="89" t="e">
        <f t="shared" si="264"/>
        <v>#REF!</v>
      </c>
      <c r="K255" s="89" t="e">
        <f t="shared" si="264"/>
        <v>#REF!</v>
      </c>
      <c r="L255" s="89" t="e">
        <f t="shared" si="264"/>
        <v>#REF!</v>
      </c>
      <c r="M255" s="89" t="e">
        <f t="shared" si="264"/>
        <v>#REF!</v>
      </c>
      <c r="N255" s="89" t="e">
        <f t="shared" si="264"/>
        <v>#REF!</v>
      </c>
      <c r="O255" s="89" t="e">
        <f t="shared" si="264"/>
        <v>#REF!</v>
      </c>
      <c r="P255" s="89" t="e">
        <f t="shared" si="264"/>
        <v>#REF!</v>
      </c>
      <c r="Q255" s="89" t="e">
        <f t="shared" si="264"/>
        <v>#REF!</v>
      </c>
      <c r="R255" s="75" t="e">
        <f t="shared" si="258"/>
        <v>#REF!</v>
      </c>
      <c r="S255" s="62"/>
      <c r="T255" s="12">
        <f>1-SUM(T250+T251)</f>
        <v>0.37</v>
      </c>
      <c r="U255" s="12">
        <f t="shared" ref="U255:AG255" si="265">1-SUM(U250+U251)</f>
        <v>0.36753417522645271</v>
      </c>
      <c r="V255" s="12">
        <f t="shared" si="265"/>
        <v>0.36505648803236646</v>
      </c>
      <c r="W255" s="12">
        <f t="shared" si="265"/>
        <v>0.36256687293191459</v>
      </c>
      <c r="X255" s="12">
        <f t="shared" si="265"/>
        <v>0.36006526405167993</v>
      </c>
      <c r="Y255" s="12">
        <f t="shared" si="265"/>
        <v>0.35755159512829038</v>
      </c>
      <c r="Z255" s="12">
        <f t="shared" si="265"/>
        <v>0.35502579950603996</v>
      </c>
      <c r="AA255" s="12">
        <f t="shared" si="265"/>
        <v>0.35248781013449515</v>
      </c>
      <c r="AB255" s="12">
        <f t="shared" si="265"/>
        <v>0.34993755956608608</v>
      </c>
      <c r="AC255" s="12">
        <f t="shared" si="265"/>
        <v>0.3473749799536836</v>
      </c>
      <c r="AD255" s="12">
        <f t="shared" si="265"/>
        <v>0.34480000304816039</v>
      </c>
      <c r="AE255" s="12">
        <f t="shared" si="265"/>
        <v>0.34221256019593804</v>
      </c>
      <c r="AF255" s="12">
        <f t="shared" si="265"/>
        <v>0.33961258233651859</v>
      </c>
      <c r="AG255" s="12">
        <f t="shared" si="265"/>
        <v>0.33699999999999986</v>
      </c>
    </row>
    <row r="256" spans="1:33" hidden="1" x14ac:dyDescent="0.35">
      <c r="A256" s="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21"/>
    </row>
    <row r="257" spans="1:33" hidden="1" x14ac:dyDescent="0.35">
      <c r="A257" s="152" t="s">
        <v>27</v>
      </c>
      <c r="B257" s="54" t="s">
        <v>28</v>
      </c>
      <c r="C257" s="49"/>
      <c r="D257" s="84" t="e">
        <f t="shared" ref="D257:Q257" si="266">D240*T257</f>
        <v>#REF!</v>
      </c>
      <c r="E257" s="84" t="e">
        <f t="shared" si="266"/>
        <v>#REF!</v>
      </c>
      <c r="F257" s="84" t="e">
        <f t="shared" si="266"/>
        <v>#REF!</v>
      </c>
      <c r="G257" s="84" t="e">
        <f t="shared" si="266"/>
        <v>#REF!</v>
      </c>
      <c r="H257" s="84" t="e">
        <f t="shared" si="266"/>
        <v>#REF!</v>
      </c>
      <c r="I257" s="84" t="e">
        <f t="shared" si="266"/>
        <v>#REF!</v>
      </c>
      <c r="J257" s="84" t="e">
        <f t="shared" si="266"/>
        <v>#REF!</v>
      </c>
      <c r="K257" s="84" t="e">
        <f t="shared" si="266"/>
        <v>#REF!</v>
      </c>
      <c r="L257" s="84" t="e">
        <f t="shared" si="266"/>
        <v>#REF!</v>
      </c>
      <c r="M257" s="84" t="e">
        <f t="shared" si="266"/>
        <v>#REF!</v>
      </c>
      <c r="N257" s="84" t="e">
        <f t="shared" si="266"/>
        <v>#REF!</v>
      </c>
      <c r="O257" s="84" t="e">
        <f t="shared" si="266"/>
        <v>#REF!</v>
      </c>
      <c r="P257" s="84" t="e">
        <f t="shared" si="266"/>
        <v>#REF!</v>
      </c>
      <c r="Q257" s="84" t="e">
        <f t="shared" si="266"/>
        <v>#REF!</v>
      </c>
      <c r="R257" s="71" t="e">
        <f>RATE(12,,-E257,Q257)</f>
        <v>#REF!</v>
      </c>
      <c r="S257" s="54"/>
      <c r="T257" s="12">
        <v>0.40099999999999997</v>
      </c>
      <c r="U257" s="12">
        <v>0.40265090533119946</v>
      </c>
      <c r="V257" s="12">
        <v>0.40430860739160734</v>
      </c>
      <c r="W257" s="12">
        <v>0.40597313416316017</v>
      </c>
      <c r="X257" s="12">
        <v>0.40764451374299493</v>
      </c>
      <c r="Y257" s="12">
        <v>0.40932277434392395</v>
      </c>
      <c r="Z257" s="12">
        <v>0.41100794429491083</v>
      </c>
      <c r="AA257" s="12">
        <v>0.4127000520415488</v>
      </c>
      <c r="AB257" s="12">
        <v>0.41439912614654062</v>
      </c>
      <c r="AC257" s="12">
        <v>0.41610519529018092</v>
      </c>
      <c r="AD257" s="12">
        <v>0.41781828827084017</v>
      </c>
      <c r="AE257" s="12">
        <v>0.4195384340054511</v>
      </c>
      <c r="AF257" s="12">
        <v>0.4212656615299965</v>
      </c>
      <c r="AG257" s="12">
        <v>0.42299999999999938</v>
      </c>
    </row>
    <row r="258" spans="1:33" hidden="1" x14ac:dyDescent="0.35">
      <c r="A258" s="154"/>
      <c r="B258" s="55" t="s">
        <v>29</v>
      </c>
      <c r="C258" s="40"/>
      <c r="D258" s="90" t="e">
        <f t="shared" ref="D258:Q258" si="267">D240*T258</f>
        <v>#REF!</v>
      </c>
      <c r="E258" s="90" t="e">
        <f t="shared" si="267"/>
        <v>#REF!</v>
      </c>
      <c r="F258" s="90" t="e">
        <f t="shared" si="267"/>
        <v>#REF!</v>
      </c>
      <c r="G258" s="90" t="e">
        <f t="shared" si="267"/>
        <v>#REF!</v>
      </c>
      <c r="H258" s="90" t="e">
        <f t="shared" si="267"/>
        <v>#REF!</v>
      </c>
      <c r="I258" s="90" t="e">
        <f t="shared" si="267"/>
        <v>#REF!</v>
      </c>
      <c r="J258" s="90" t="e">
        <f t="shared" si="267"/>
        <v>#REF!</v>
      </c>
      <c r="K258" s="90" t="e">
        <f t="shared" si="267"/>
        <v>#REF!</v>
      </c>
      <c r="L258" s="90" t="e">
        <f t="shared" si="267"/>
        <v>#REF!</v>
      </c>
      <c r="M258" s="90" t="e">
        <f t="shared" si="267"/>
        <v>#REF!</v>
      </c>
      <c r="N258" s="90" t="e">
        <f t="shared" si="267"/>
        <v>#REF!</v>
      </c>
      <c r="O258" s="90" t="e">
        <f t="shared" si="267"/>
        <v>#REF!</v>
      </c>
      <c r="P258" s="90" t="e">
        <f t="shared" si="267"/>
        <v>#REF!</v>
      </c>
      <c r="Q258" s="90" t="e">
        <f t="shared" si="267"/>
        <v>#REF!</v>
      </c>
      <c r="R258" s="76" t="e">
        <f>RATE(12,,-E258,Q258)</f>
        <v>#REF!</v>
      </c>
      <c r="S258" s="55"/>
      <c r="T258" s="12">
        <v>0.43099999999999999</v>
      </c>
      <c r="U258" s="12">
        <v>0.43183634674261745</v>
      </c>
      <c r="V258" s="12">
        <v>0.43267431639909548</v>
      </c>
      <c r="W258" s="12">
        <v>0.43351391211866536</v>
      </c>
      <c r="X258" s="12">
        <v>0.43435513705666956</v>
      </c>
      <c r="Y258" s="12">
        <v>0.43519799437457324</v>
      </c>
      <c r="Z258" s="12">
        <v>0.43604248723997657</v>
      </c>
      <c r="AA258" s="12">
        <v>0.43688861882662616</v>
      </c>
      <c r="AB258" s="12">
        <v>0.43773639231442729</v>
      </c>
      <c r="AC258" s="12">
        <v>0.43858581088945586</v>
      </c>
      <c r="AD258" s="12">
        <v>0.43943687774397006</v>
      </c>
      <c r="AE258" s="12">
        <v>0.44028959607642287</v>
      </c>
      <c r="AF258" s="12">
        <v>0.44114396909147369</v>
      </c>
      <c r="AG258" s="12">
        <v>0.44200000000000028</v>
      </c>
    </row>
    <row r="259" spans="1:33" ht="15" hidden="1" thickBot="1" x14ac:dyDescent="0.4">
      <c r="A259" s="153"/>
      <c r="B259" s="56" t="s">
        <v>30</v>
      </c>
      <c r="C259" s="44"/>
      <c r="D259" s="85" t="e">
        <f t="shared" ref="D259:Q259" si="268">D240*T259</f>
        <v>#REF!</v>
      </c>
      <c r="E259" s="85" t="e">
        <f t="shared" si="268"/>
        <v>#REF!</v>
      </c>
      <c r="F259" s="85" t="e">
        <f t="shared" si="268"/>
        <v>#REF!</v>
      </c>
      <c r="G259" s="85" t="e">
        <f t="shared" si="268"/>
        <v>#REF!</v>
      </c>
      <c r="H259" s="85" t="e">
        <f t="shared" si="268"/>
        <v>#REF!</v>
      </c>
      <c r="I259" s="85" t="e">
        <f t="shared" si="268"/>
        <v>#REF!</v>
      </c>
      <c r="J259" s="85" t="e">
        <f t="shared" si="268"/>
        <v>#REF!</v>
      </c>
      <c r="K259" s="85" t="e">
        <f t="shared" si="268"/>
        <v>#REF!</v>
      </c>
      <c r="L259" s="85" t="e">
        <f t="shared" si="268"/>
        <v>#REF!</v>
      </c>
      <c r="M259" s="85" t="e">
        <f t="shared" si="268"/>
        <v>#REF!</v>
      </c>
      <c r="N259" s="85" t="e">
        <f t="shared" si="268"/>
        <v>#REF!</v>
      </c>
      <c r="O259" s="85" t="e">
        <f t="shared" si="268"/>
        <v>#REF!</v>
      </c>
      <c r="P259" s="85" t="e">
        <f t="shared" si="268"/>
        <v>#REF!</v>
      </c>
      <c r="Q259" s="85" t="e">
        <f t="shared" si="268"/>
        <v>#REF!</v>
      </c>
      <c r="R259" s="72" t="e">
        <f>RATE(12,,-E259,Q259)</f>
        <v>#REF!</v>
      </c>
      <c r="S259" s="56"/>
      <c r="T259" s="12">
        <f>1-SUM(T257:T258)</f>
        <v>0.16800000000000004</v>
      </c>
      <c r="U259" s="12">
        <f t="shared" ref="U259:AG259" si="269">1-SUM(U257:U258)</f>
        <v>0.16551274792618309</v>
      </c>
      <c r="V259" s="12">
        <f t="shared" si="269"/>
        <v>0.16301707620929717</v>
      </c>
      <c r="W259" s="12">
        <f t="shared" si="269"/>
        <v>0.16051295371817442</v>
      </c>
      <c r="X259" s="12">
        <f t="shared" si="269"/>
        <v>0.15800034920033545</v>
      </c>
      <c r="Y259" s="12">
        <f t="shared" si="269"/>
        <v>0.15547923128150276</v>
      </c>
      <c r="Z259" s="12">
        <f t="shared" si="269"/>
        <v>0.15294956846511254</v>
      </c>
      <c r="AA259" s="12">
        <f t="shared" si="269"/>
        <v>0.15041132913182498</v>
      </c>
      <c r="AB259" s="12">
        <f t="shared" si="269"/>
        <v>0.14786448153903209</v>
      </c>
      <c r="AC259" s="12">
        <f t="shared" si="269"/>
        <v>0.14530899382036322</v>
      </c>
      <c r="AD259" s="12">
        <f t="shared" si="269"/>
        <v>0.14274483398518978</v>
      </c>
      <c r="AE259" s="12">
        <f t="shared" si="269"/>
        <v>0.14017196991812608</v>
      </c>
      <c r="AF259" s="12">
        <f t="shared" si="269"/>
        <v>0.13759036937852986</v>
      </c>
      <c r="AG259" s="12">
        <f t="shared" si="269"/>
        <v>0.13500000000000034</v>
      </c>
    </row>
    <row r="260" spans="1:33" ht="15.5" hidden="1" x14ac:dyDescent="0.35">
      <c r="A260" s="42"/>
      <c r="B260" s="43"/>
      <c r="C260" s="93"/>
      <c r="D260" s="91">
        <v>2023</v>
      </c>
      <c r="E260" s="65">
        <v>2024</v>
      </c>
      <c r="F260" s="65">
        <v>2025</v>
      </c>
      <c r="G260" s="65">
        <v>2026</v>
      </c>
      <c r="H260" s="65">
        <v>2027</v>
      </c>
      <c r="I260" s="65">
        <v>2028</v>
      </c>
      <c r="J260" s="65">
        <v>2029</v>
      </c>
      <c r="K260" s="65">
        <v>2030</v>
      </c>
      <c r="L260" s="65">
        <v>2031</v>
      </c>
      <c r="M260" s="65">
        <v>2032</v>
      </c>
      <c r="N260" s="65">
        <v>2033</v>
      </c>
      <c r="O260" s="65">
        <v>2034</v>
      </c>
      <c r="P260" s="65">
        <v>2035</v>
      </c>
      <c r="Q260" s="65">
        <v>2036</v>
      </c>
      <c r="R260" s="66" t="s">
        <v>84</v>
      </c>
    </row>
    <row r="261" spans="1:33" ht="15.5" hidden="1" x14ac:dyDescent="0.35">
      <c r="A261" s="1"/>
      <c r="C261" s="21"/>
      <c r="D261" s="92">
        <f>'Market Analysis '!C55</f>
        <v>289.10699999999991</v>
      </c>
      <c r="E261" s="92">
        <f>'Market Analysis '!D55</f>
        <v>319.75234199999994</v>
      </c>
      <c r="F261" s="92">
        <f>'Market Analysis '!E55</f>
        <v>353.8019627601592</v>
      </c>
      <c r="G261" s="92">
        <f>'Market Analysis '!F55</f>
        <v>391.65070593929204</v>
      </c>
      <c r="H261" s="92">
        <f>'Market Analysis '!G55</f>
        <v>433.74108319069478</v>
      </c>
      <c r="I261" s="92">
        <f>'Market Analysis '!H55</f>
        <v>480.56924864076598</v>
      </c>
      <c r="J261" s="92">
        <f>'Market Analysis '!I55</f>
        <v>532.69174903289843</v>
      </c>
      <c r="K261" s="92">
        <f>'Market Analysis '!J55</f>
        <v>590.73315364993289</v>
      </c>
      <c r="L261" s="92">
        <f>'Market Analysis '!K55</f>
        <v>655.39468255140514</v>
      </c>
      <c r="M261" s="92">
        <f>'Market Analysis '!L55</f>
        <v>727.46396814377056</v>
      </c>
      <c r="N261" s="92">
        <f>'Market Analysis '!M55</f>
        <v>807.82610394526262</v>
      </c>
      <c r="O261" s="92">
        <f>'Market Analysis '!N55</f>
        <v>897.47615596022433</v>
      </c>
      <c r="P261" s="92">
        <f>'Market Analysis '!O55</f>
        <v>997.5333367415933</v>
      </c>
      <c r="Q261" s="92">
        <f>'Market Analysis '!P55</f>
        <v>1109.2570704566517</v>
      </c>
      <c r="R261" s="68">
        <f>RATE(12,,-E261,Q261)</f>
        <v>0.10922131370362276</v>
      </c>
      <c r="T261" s="65">
        <v>2023</v>
      </c>
      <c r="U261" s="65">
        <v>2024</v>
      </c>
      <c r="V261" s="65">
        <v>2025</v>
      </c>
      <c r="W261" s="65">
        <v>2026</v>
      </c>
      <c r="X261" s="65">
        <v>2027</v>
      </c>
      <c r="Y261" s="65">
        <v>2028</v>
      </c>
      <c r="Z261" s="65">
        <v>2029</v>
      </c>
      <c r="AA261" s="65">
        <v>2030</v>
      </c>
      <c r="AB261" s="65">
        <v>2031</v>
      </c>
      <c r="AC261" s="65">
        <v>2032</v>
      </c>
      <c r="AD261" s="65">
        <v>2033</v>
      </c>
      <c r="AE261" s="65">
        <v>2034</v>
      </c>
      <c r="AF261" s="65">
        <v>2035</v>
      </c>
      <c r="AG261" s="65">
        <v>2036</v>
      </c>
    </row>
    <row r="262" spans="1:33" s="121" customFormat="1" hidden="1" x14ac:dyDescent="0.35">
      <c r="A262" s="147" t="s">
        <v>59</v>
      </c>
      <c r="B262" s="118" t="s">
        <v>60</v>
      </c>
      <c r="C262" s="119"/>
      <c r="D262" s="120">
        <f>D261*T262</f>
        <v>101.18744999999994</v>
      </c>
      <c r="E262" s="120">
        <f t="shared" ref="E262" si="270">E261*U262</f>
        <v>113.06877772499931</v>
      </c>
      <c r="F262" s="120">
        <f>F261*V262</f>
        <v>126.40088661396103</v>
      </c>
      <c r="G262" s="120">
        <f t="shared" ref="G262:Q262" si="271">G261*W262</f>
        <v>141.36754466028475</v>
      </c>
      <c r="H262" s="120">
        <f t="shared" si="271"/>
        <v>158.17661598395753</v>
      </c>
      <c r="I262" s="120">
        <f t="shared" si="271"/>
        <v>177.06332542272602</v>
      </c>
      <c r="J262" s="120">
        <f t="shared" si="271"/>
        <v>198.29397937444455</v>
      </c>
      <c r="K262" s="120">
        <f t="shared" si="271"/>
        <v>222.17020857168819</v>
      </c>
      <c r="L262" s="120">
        <f t="shared" si="271"/>
        <v>249.03380819653324</v>
      </c>
      <c r="M262" s="120">
        <f t="shared" si="271"/>
        <v>279.2722619502963</v>
      </c>
      <c r="N262" s="120">
        <f t="shared" si="271"/>
        <v>313.32504961114165</v>
      </c>
      <c r="O262" s="120">
        <f t="shared" si="271"/>
        <v>351.69085251000018</v>
      </c>
      <c r="P262" s="120">
        <f t="shared" si="271"/>
        <v>394.9357885434606</v>
      </c>
      <c r="Q262" s="120">
        <f t="shared" si="271"/>
        <v>443.70282818266082</v>
      </c>
      <c r="R262" s="68">
        <f>RATE(9,,-H262,Q262)</f>
        <v>0.12143011107497727</v>
      </c>
      <c r="S262" s="118" t="s">
        <v>60</v>
      </c>
      <c r="T262" s="116">
        <v>0.34999999999999992</v>
      </c>
      <c r="U262" s="116">
        <v>0.35361360300841621</v>
      </c>
      <c r="V262" s="116">
        <v>0.35726451495026795</v>
      </c>
      <c r="W262" s="116">
        <v>0.36095312102462412</v>
      </c>
      <c r="X262" s="116">
        <v>0.36467981040757214</v>
      </c>
      <c r="Y262" s="116">
        <v>0.36844497629327921</v>
      </c>
      <c r="Z262" s="116">
        <v>0.37224901593547705</v>
      </c>
      <c r="AA262" s="116">
        <v>0.37609233068937542</v>
      </c>
      <c r="AB262" s="116">
        <v>0.37997532605400802</v>
      </c>
      <c r="AC262" s="116">
        <v>0.38389841171501571</v>
      </c>
      <c r="AD262" s="116">
        <v>0.38786200158787171</v>
      </c>
      <c r="AE262" s="116">
        <v>0.39186651386155258</v>
      </c>
      <c r="AF262" s="116">
        <v>0.39591237104266019</v>
      </c>
      <c r="AG262" s="116">
        <v>0.40000000000000013</v>
      </c>
    </row>
    <row r="263" spans="1:33" s="117" customFormat="1" hidden="1" x14ac:dyDescent="0.35">
      <c r="A263" s="148"/>
      <c r="B263" s="113" t="s">
        <v>61</v>
      </c>
      <c r="C263" s="114"/>
      <c r="D263" s="115">
        <f>D261*T263</f>
        <v>86.732099999999988</v>
      </c>
      <c r="E263" s="115">
        <f t="shared" ref="E263:Q263" si="272">E261*U263</f>
        <v>95.974744549656108</v>
      </c>
      <c r="F263" s="115">
        <f t="shared" si="272"/>
        <v>106.2491451771026</v>
      </c>
      <c r="G263" s="115">
        <f t="shared" si="272"/>
        <v>117.67551196801526</v>
      </c>
      <c r="H263" s="115">
        <f t="shared" si="272"/>
        <v>130.38862888929702</v>
      </c>
      <c r="I263" s="115">
        <f t="shared" si="272"/>
        <v>144.53968766063289</v>
      </c>
      <c r="J263" s="115">
        <f t="shared" si="272"/>
        <v>160.2983606089187</v>
      </c>
      <c r="K263" s="115">
        <f t="shared" si="272"/>
        <v>177.85514469676204</v>
      </c>
      <c r="L263" s="115">
        <f t="shared" si="272"/>
        <v>197.42401339079112</v>
      </c>
      <c r="M263" s="115">
        <f t="shared" si="272"/>
        <v>219.24541815088253</v>
      </c>
      <c r="N263" s="115">
        <f t="shared" si="272"/>
        <v>243.58968717208131</v>
      </c>
      <c r="O263" s="115">
        <f t="shared" si="272"/>
        <v>270.76087570566693</v>
      </c>
      <c r="P263" s="115">
        <f t="shared" si="272"/>
        <v>301.1011299498083</v>
      </c>
      <c r="Q263" s="115">
        <f t="shared" si="272"/>
        <v>334.99563527790917</v>
      </c>
      <c r="R263" s="68">
        <f>RATE(9,,-H263,Q263)</f>
        <v>0.11053760705842891</v>
      </c>
      <c r="S263" s="113" t="s">
        <v>61</v>
      </c>
      <c r="T263" s="116">
        <v>0.30000000000000004</v>
      </c>
      <c r="U263" s="116">
        <v>0.30015337479422161</v>
      </c>
      <c r="V263" s="116">
        <v>0.30030682800120145</v>
      </c>
      <c r="W263" s="116">
        <v>0.30046035966102813</v>
      </c>
      <c r="X263" s="116">
        <v>0.30061396981381056</v>
      </c>
      <c r="Y263" s="116">
        <v>0.30076765849967829</v>
      </c>
      <c r="Z263" s="116">
        <v>0.30092142575878128</v>
      </c>
      <c r="AA263" s="116">
        <v>0.30107527163128989</v>
      </c>
      <c r="AB263" s="116">
        <v>0.30122919615739541</v>
      </c>
      <c r="AC263" s="116">
        <v>0.30138319937730923</v>
      </c>
      <c r="AD263" s="116">
        <v>0.30153728133126367</v>
      </c>
      <c r="AE263" s="116">
        <v>0.30169144205951126</v>
      </c>
      <c r="AF263" s="116">
        <v>0.3018456816023255</v>
      </c>
      <c r="AG263" s="116">
        <v>0.30200000000000032</v>
      </c>
    </row>
    <row r="264" spans="1:33" s="117" customFormat="1" hidden="1" x14ac:dyDescent="0.35">
      <c r="A264" s="148"/>
      <c r="B264" s="113" t="s">
        <v>62</v>
      </c>
      <c r="C264" s="114"/>
      <c r="D264" s="115">
        <f>D261*T264</f>
        <v>43.366049999999987</v>
      </c>
      <c r="E264" s="115">
        <f t="shared" ref="E264:Q264" si="273">E261*U264</f>
        <v>48.035967779519709</v>
      </c>
      <c r="F264" s="115">
        <f t="shared" si="273"/>
        <v>53.232222683142048</v>
      </c>
      <c r="G264" s="115">
        <f t="shared" si="273"/>
        <v>59.016687238651578</v>
      </c>
      <c r="H264" s="115">
        <f t="shared" si="273"/>
        <v>65.458797883734022</v>
      </c>
      <c r="I264" s="115">
        <f t="shared" si="273"/>
        <v>72.63651422370819</v>
      </c>
      <c r="J264" s="115">
        <f t="shared" si="273"/>
        <v>80.637404221979509</v>
      </c>
      <c r="K264" s="115">
        <f t="shared" si="273"/>
        <v>89.559872405572705</v>
      </c>
      <c r="L264" s="115">
        <f t="shared" si="273"/>
        <v>99.514550558390127</v>
      </c>
      <c r="M264" s="115">
        <f t="shared" si="273"/>
        <v>110.62587310964699</v>
      </c>
      <c r="N264" s="115">
        <f t="shared" si="273"/>
        <v>123.03386255533958</v>
      </c>
      <c r="O264" s="115">
        <f t="shared" si="273"/>
        <v>136.89615383547064</v>
      </c>
      <c r="P264" s="115">
        <f t="shared" si="273"/>
        <v>152.39029069694843</v>
      </c>
      <c r="Q264" s="115">
        <f t="shared" si="273"/>
        <v>169.71633177986746</v>
      </c>
      <c r="R264" s="68">
        <f>RATE(9,,-H264,Q264)</f>
        <v>0.11166221824375684</v>
      </c>
      <c r="S264" s="113" t="s">
        <v>62</v>
      </c>
      <c r="T264" s="116">
        <v>0.15</v>
      </c>
      <c r="U264" s="116">
        <v>0.15022866597023929</v>
      </c>
      <c r="V264" s="116">
        <v>0.15045768052798492</v>
      </c>
      <c r="W264" s="116">
        <v>0.15068704420463749</v>
      </c>
      <c r="X264" s="116">
        <v>0.15091675753240782</v>
      </c>
      <c r="Y264" s="116">
        <v>0.15114682104431795</v>
      </c>
      <c r="Z264" s="116">
        <v>0.15137723527420252</v>
      </c>
      <c r="AA264" s="116">
        <v>0.15160800075670999</v>
      </c>
      <c r="AB264" s="116">
        <v>0.15183911802730382</v>
      </c>
      <c r="AC264" s="116">
        <v>0.1520705876222638</v>
      </c>
      <c r="AD264" s="116">
        <v>0.15230241007868719</v>
      </c>
      <c r="AE264" s="116">
        <v>0.15253458593449007</v>
      </c>
      <c r="AF264" s="116">
        <v>0.15276711572840845</v>
      </c>
      <c r="AG264" s="116">
        <v>0.15299999999999978</v>
      </c>
    </row>
    <row r="265" spans="1:33" s="117" customFormat="1" hidden="1" x14ac:dyDescent="0.35">
      <c r="A265" s="148"/>
      <c r="B265" s="113" t="s">
        <v>63</v>
      </c>
      <c r="C265" s="114"/>
      <c r="D265" s="115">
        <f>D261*T265</f>
        <v>34.692839999999997</v>
      </c>
      <c r="E265" s="115">
        <f t="shared" ref="E265:Q265" si="274">E261*U265</f>
        <v>38.41909929704758</v>
      </c>
      <c r="F265" s="115">
        <f t="shared" si="274"/>
        <v>42.564337836753289</v>
      </c>
      <c r="G265" s="115">
        <f t="shared" si="274"/>
        <v>47.177699106536366</v>
      </c>
      <c r="H265" s="115">
        <f t="shared" si="274"/>
        <v>52.314321980708826</v>
      </c>
      <c r="I265" s="115">
        <f t="shared" si="274"/>
        <v>58.036099582840656</v>
      </c>
      <c r="J265" s="115">
        <f t="shared" si="274"/>
        <v>64.412537590178445</v>
      </c>
      <c r="K265" s="115">
        <f t="shared" si="274"/>
        <v>71.521725445674235</v>
      </c>
      <c r="L265" s="115">
        <f t="shared" si="274"/>
        <v>79.451435824265559</v>
      </c>
      <c r="M265" s="115">
        <f t="shared" si="274"/>
        <v>88.300369851828677</v>
      </c>
      <c r="N265" s="115">
        <f t="shared" si="274"/>
        <v>98.179568037781252</v>
      </c>
      <c r="O265" s="115">
        <f t="shared" si="274"/>
        <v>109.21400970180889</v>
      </c>
      <c r="P265" s="115">
        <f t="shared" si="274"/>
        <v>121.54442690485456</v>
      </c>
      <c r="Q265" s="115">
        <f t="shared" si="274"/>
        <v>135.32936259571133</v>
      </c>
      <c r="R265" s="68">
        <f>RATE(9,,-H265,Q265)</f>
        <v>0.11138234331727673</v>
      </c>
      <c r="S265" s="113" t="s">
        <v>63</v>
      </c>
      <c r="T265" s="116">
        <v>0.12000000000000002</v>
      </c>
      <c r="U265" s="116">
        <v>0.12015267521339246</v>
      </c>
      <c r="V265" s="116">
        <v>0.12030554467445809</v>
      </c>
      <c r="W265" s="116">
        <v>0.12045860863033696</v>
      </c>
      <c r="X265" s="116">
        <v>0.12061186732848356</v>
      </c>
      <c r="Y265" s="116">
        <v>0.12076532101666719</v>
      </c>
      <c r="Z265" s="116">
        <v>0.1209189699429724</v>
      </c>
      <c r="AA265" s="116">
        <v>0.12107281435579939</v>
      </c>
      <c r="AB265" s="116">
        <v>0.12122685450386435</v>
      </c>
      <c r="AC265" s="116">
        <v>0.12138109063619994</v>
      </c>
      <c r="AD265" s="116">
        <v>0.12153552300215566</v>
      </c>
      <c r="AE265" s="116">
        <v>0.12169015185139827</v>
      </c>
      <c r="AF265" s="116">
        <v>0.12184497743391219</v>
      </c>
      <c r="AG265" s="116">
        <v>0.12199999999999984</v>
      </c>
    </row>
    <row r="266" spans="1:33" s="117" customFormat="1" hidden="1" x14ac:dyDescent="0.35">
      <c r="A266" s="148"/>
      <c r="B266" s="113" t="s">
        <v>64</v>
      </c>
      <c r="C266" s="114"/>
      <c r="D266" s="115">
        <f>D261*T266</f>
        <v>23.128560000000014</v>
      </c>
      <c r="E266" s="115">
        <f t="shared" ref="E266:G266" si="275">E261*U266</f>
        <v>24.25375264877723</v>
      </c>
      <c r="F266" s="115">
        <f t="shared" si="275"/>
        <v>25.35537044920023</v>
      </c>
      <c r="G266" s="115">
        <f t="shared" si="275"/>
        <v>26.413262965804094</v>
      </c>
      <c r="H266" s="115">
        <f>H261*X266</f>
        <v>27.402718452997316</v>
      </c>
      <c r="I266" s="115">
        <f t="shared" ref="I266:Q266" si="276">I261*Y266</f>
        <v>28.29362175085825</v>
      </c>
      <c r="J266" s="115">
        <f t="shared" si="276"/>
        <v>29.049467237377247</v>
      </c>
      <c r="K266" s="115">
        <f t="shared" si="276"/>
        <v>29.626202530235695</v>
      </c>
      <c r="L266" s="115">
        <f t="shared" si="276"/>
        <v>29.970874581425146</v>
      </c>
      <c r="M266" s="115">
        <f t="shared" si="276"/>
        <v>30.020045081116031</v>
      </c>
      <c r="N266" s="115">
        <f t="shared" si="276"/>
        <v>29.697936568918898</v>
      </c>
      <c r="O266" s="115">
        <f t="shared" si="276"/>
        <v>28.914264207277643</v>
      </c>
      <c r="P266" s="115">
        <f t="shared" si="276"/>
        <v>27.561700646521452</v>
      </c>
      <c r="Q266" s="115">
        <f t="shared" si="276"/>
        <v>25.512912620502888</v>
      </c>
      <c r="R266" s="68">
        <f>RATE(9,,-H266,Q266)</f>
        <v>-7.9082881755659744E-3</v>
      </c>
      <c r="S266" s="113" t="s">
        <v>64</v>
      </c>
      <c r="T266" s="116">
        <f>1-SUM(T262:T265)</f>
        <v>8.0000000000000071E-2</v>
      </c>
      <c r="U266" s="116">
        <f t="shared" ref="U266:AG266" si="277">1-SUM(U262:U265)</f>
        <v>7.585168101373041E-2</v>
      </c>
      <c r="V266" s="116">
        <f t="shared" si="277"/>
        <v>7.1665431846087646E-2</v>
      </c>
      <c r="W266" s="116">
        <f t="shared" si="277"/>
        <v>6.7440866479373307E-2</v>
      </c>
      <c r="X266" s="116">
        <f t="shared" si="277"/>
        <v>6.3177594917725788E-2</v>
      </c>
      <c r="Y266" s="116">
        <f t="shared" si="277"/>
        <v>5.887522314605742E-2</v>
      </c>
      <c r="Z266" s="116">
        <f t="shared" si="277"/>
        <v>5.4533353088566772E-2</v>
      </c>
      <c r="AA266" s="116">
        <f t="shared" si="277"/>
        <v>5.0151582566825281E-2</v>
      </c>
      <c r="AB266" s="116">
        <f t="shared" si="277"/>
        <v>4.5729505257428471E-2</v>
      </c>
      <c r="AC266" s="116">
        <f t="shared" si="277"/>
        <v>4.126671064921128E-2</v>
      </c>
      <c r="AD266" s="116">
        <f t="shared" si="277"/>
        <v>3.6762784000021864E-2</v>
      </c>
      <c r="AE266" s="116">
        <f t="shared" si="277"/>
        <v>3.2217306293047754E-2</v>
      </c>
      <c r="AF266" s="116">
        <f t="shared" si="277"/>
        <v>2.7629854192693704E-2</v>
      </c>
      <c r="AG266" s="116">
        <f t="shared" si="277"/>
        <v>2.2999999999999909E-2</v>
      </c>
    </row>
    <row r="267" spans="1:33" hidden="1" x14ac:dyDescent="0.35">
      <c r="A267" s="1"/>
      <c r="D267" s="81" t="b">
        <f>D261=SUM(D262:D266)</f>
        <v>1</v>
      </c>
      <c r="E267" s="81" t="b">
        <f t="shared" ref="E267:Q267" si="278">E261=SUM(E262:E266)</f>
        <v>1</v>
      </c>
      <c r="F267" s="81" t="b">
        <f t="shared" si="278"/>
        <v>1</v>
      </c>
      <c r="G267" s="81" t="b">
        <f t="shared" si="278"/>
        <v>1</v>
      </c>
      <c r="H267" s="81" t="b">
        <f t="shared" si="278"/>
        <v>1</v>
      </c>
      <c r="I267" s="81" t="b">
        <f t="shared" si="278"/>
        <v>1</v>
      </c>
      <c r="J267" s="81" t="b">
        <f t="shared" si="278"/>
        <v>1</v>
      </c>
      <c r="K267" s="81" t="b">
        <f t="shared" si="278"/>
        <v>1</v>
      </c>
      <c r="L267" s="81" t="b">
        <f t="shared" si="278"/>
        <v>1</v>
      </c>
      <c r="M267" s="81" t="b">
        <f t="shared" si="278"/>
        <v>0</v>
      </c>
      <c r="N267" s="81" t="b">
        <f t="shared" si="278"/>
        <v>1</v>
      </c>
      <c r="O267" s="81" t="b">
        <f t="shared" si="278"/>
        <v>1</v>
      </c>
      <c r="P267" s="81" t="b">
        <f t="shared" si="278"/>
        <v>1</v>
      </c>
      <c r="Q267" s="81" t="b">
        <f t="shared" si="278"/>
        <v>1</v>
      </c>
      <c r="R267" s="21"/>
    </row>
    <row r="268" spans="1:33" s="117" customFormat="1" hidden="1" x14ac:dyDescent="0.35">
      <c r="A268" s="149" t="s">
        <v>65</v>
      </c>
      <c r="B268" s="122" t="s">
        <v>66</v>
      </c>
      <c r="C268" s="123"/>
      <c r="D268" s="124">
        <f>D261*T268</f>
        <v>202.37489999999997</v>
      </c>
      <c r="E268" s="124">
        <f t="shared" ref="E268:Q268" si="279">E261*U268</f>
        <v>223.94921748267032</v>
      </c>
      <c r="F268" s="124">
        <f t="shared" si="279"/>
        <v>247.93271043745708</v>
      </c>
      <c r="G268" s="124">
        <f t="shared" si="279"/>
        <v>274.60616252590665</v>
      </c>
      <c r="H268" s="124">
        <f t="shared" si="279"/>
        <v>304.28440892110854</v>
      </c>
      <c r="I268" s="124">
        <f t="shared" si="279"/>
        <v>337.320622309898</v>
      </c>
      <c r="J268" s="124">
        <f t="shared" si="279"/>
        <v>374.11115757835199</v>
      </c>
      <c r="K268" s="124">
        <f t="shared" si="279"/>
        <v>415.1010304546607</v>
      </c>
      <c r="L268" s="124">
        <f t="shared" si="279"/>
        <v>460.79011584896142</v>
      </c>
      <c r="M268" s="124">
        <f t="shared" si="279"/>
        <v>511.74016359445005</v>
      </c>
      <c r="N268" s="124">
        <f t="shared" si="279"/>
        <v>568.58274297898879</v>
      </c>
      <c r="O268" s="124">
        <f t="shared" si="279"/>
        <v>632.02824311600727</v>
      </c>
      <c r="P268" s="124">
        <f t="shared" si="279"/>
        <v>702.87607413086937</v>
      </c>
      <c r="Q268" s="124">
        <f t="shared" si="279"/>
        <v>782.02623467194087</v>
      </c>
      <c r="R268" s="68">
        <f>RATE(9,,-H268,Q268)</f>
        <v>0.11057800787439903</v>
      </c>
      <c r="S268" s="122" t="s">
        <v>66</v>
      </c>
      <c r="T268" s="116">
        <v>0.70000000000000007</v>
      </c>
      <c r="U268" s="116">
        <v>0.70038335319736411</v>
      </c>
      <c r="V268" s="116">
        <v>0.70076691633711929</v>
      </c>
      <c r="W268" s="116">
        <v>0.70115068953424042</v>
      </c>
      <c r="X268" s="116">
        <v>0.70153467290376448</v>
      </c>
      <c r="Y268" s="116">
        <v>0.70191886656079228</v>
      </c>
      <c r="Z268" s="116">
        <v>0.70230327062048659</v>
      </c>
      <c r="AA268" s="116">
        <v>0.70268788519807479</v>
      </c>
      <c r="AB268" s="116">
        <v>0.70307271040884567</v>
      </c>
      <c r="AC268" s="116">
        <v>0.70345774636815217</v>
      </c>
      <c r="AD268" s="116">
        <v>0.70384299319141008</v>
      </c>
      <c r="AE268" s="116">
        <v>0.70422845099409903</v>
      </c>
      <c r="AF268" s="116">
        <v>0.70461411989176093</v>
      </c>
      <c r="AG268" s="116">
        <v>0.70500000000000129</v>
      </c>
    </row>
    <row r="269" spans="1:33" s="117" customFormat="1" hidden="1" x14ac:dyDescent="0.35">
      <c r="A269" s="149"/>
      <c r="B269" s="122" t="s">
        <v>67</v>
      </c>
      <c r="C269" s="123"/>
      <c r="D269" s="124">
        <f>D261*T269</f>
        <v>57.821399999999997</v>
      </c>
      <c r="E269" s="124">
        <f t="shared" ref="E269:Q269" si="280">E261*U269</f>
        <v>63.999435469768436</v>
      </c>
      <c r="F269" s="124">
        <f t="shared" si="280"/>
        <v>70.868796938084728</v>
      </c>
      <c r="G269" s="124">
        <f t="shared" si="280"/>
        <v>78.510211886146607</v>
      </c>
      <c r="H269" s="124">
        <f t="shared" si="280"/>
        <v>87.01421545946873</v>
      </c>
      <c r="I269" s="124">
        <f t="shared" si="280"/>
        <v>96.482387023874281</v>
      </c>
      <c r="J269" s="124">
        <f t="shared" si="280"/>
        <v>107.028748164098</v>
      </c>
      <c r="K269" s="124">
        <f t="shared" si="280"/>
        <v>118.78134390977037</v>
      </c>
      <c r="L269" s="124">
        <f t="shared" si="280"/>
        <v>131.88403200668557</v>
      </c>
      <c r="M269" s="124">
        <f t="shared" si="280"/>
        <v>146.49850851948383</v>
      </c>
      <c r="N269" s="124">
        <f t="shared" si="280"/>
        <v>162.80660201942453</v>
      </c>
      <c r="O269" s="124">
        <f t="shared" si="280"/>
        <v>181.01287315174773</v>
      </c>
      <c r="P269" s="124">
        <f t="shared" si="280"/>
        <v>201.34756157643793</v>
      </c>
      <c r="Q269" s="124">
        <f t="shared" si="280"/>
        <v>224.069928232244</v>
      </c>
      <c r="R269" s="68">
        <f>RATE(9,,-H269,Q269)</f>
        <v>0.11082004312517375</v>
      </c>
      <c r="S269" s="122" t="s">
        <v>67</v>
      </c>
      <c r="T269" s="116">
        <v>0.20000000000000004</v>
      </c>
      <c r="U269" s="116">
        <v>0.2001531406133327</v>
      </c>
      <c r="V269" s="116">
        <v>0.2003063984869026</v>
      </c>
      <c r="W269" s="116">
        <v>0.20045977371049628</v>
      </c>
      <c r="X269" s="116">
        <v>0.20061326637396906</v>
      </c>
      <c r="Y269" s="116">
        <v>0.2007668765672449</v>
      </c>
      <c r="Z269" s="116">
        <v>0.20092060438031684</v>
      </c>
      <c r="AA269" s="116">
        <v>0.20107444990324672</v>
      </c>
      <c r="AB269" s="116">
        <v>0.20122841322616528</v>
      </c>
      <c r="AC269" s="116">
        <v>0.20138249443927231</v>
      </c>
      <c r="AD269" s="116">
        <v>0.20153669363283677</v>
      </c>
      <c r="AE269" s="116">
        <v>0.2016910108971966</v>
      </c>
      <c r="AF269" s="116">
        <v>0.20184544632275897</v>
      </c>
      <c r="AG269" s="116">
        <v>0.20200000000000032</v>
      </c>
    </row>
    <row r="270" spans="1:33" s="117" customFormat="1" hidden="1" x14ac:dyDescent="0.35">
      <c r="A270" s="149"/>
      <c r="B270" s="122" t="s">
        <v>68</v>
      </c>
      <c r="C270" s="123"/>
      <c r="D270" s="124">
        <f>D261*T270</f>
        <v>28.910699999999952</v>
      </c>
      <c r="E270" s="124">
        <f t="shared" ref="E270:L270" si="281">E261*U270</f>
        <v>31.803689047561193</v>
      </c>
      <c r="F270" s="124">
        <f t="shared" si="281"/>
        <v>35.00045538461741</v>
      </c>
      <c r="G270" s="124">
        <f t="shared" si="281"/>
        <v>38.534331527238791</v>
      </c>
      <c r="H270" s="124">
        <f t="shared" si="281"/>
        <v>42.442458810117508</v>
      </c>
      <c r="I270" s="124">
        <f t="shared" si="281"/>
        <v>46.766239306993668</v>
      </c>
      <c r="J270" s="124">
        <f t="shared" si="281"/>
        <v>51.551843290448403</v>
      </c>
      <c r="K270" s="124">
        <f t="shared" si="281"/>
        <v>56.85077928550178</v>
      </c>
      <c r="L270" s="124">
        <f t="shared" si="281"/>
        <v>62.72053469575819</v>
      </c>
      <c r="M270" s="124">
        <f>M261*AC270</f>
        <v>69.225296029836599</v>
      </c>
      <c r="N270" s="124">
        <f t="shared" ref="N270:Q270" si="282">N261*AD270</f>
        <v>76.436758946849267</v>
      </c>
      <c r="O270" s="124">
        <f t="shared" si="282"/>
        <v>84.435039692469445</v>
      </c>
      <c r="P270" s="124">
        <f t="shared" si="282"/>
        <v>93.309701034286093</v>
      </c>
      <c r="Q270" s="124">
        <f t="shared" si="282"/>
        <v>103.16090755246685</v>
      </c>
      <c r="R270" s="68">
        <f>RATE(9,,-H270,Q270)</f>
        <v>0.10371559712176097</v>
      </c>
      <c r="S270" s="122" t="s">
        <v>68</v>
      </c>
      <c r="T270" s="116">
        <f>1-SUM(T268:T269)</f>
        <v>9.9999999999999867E-2</v>
      </c>
      <c r="U270" s="116">
        <f t="shared" ref="U270:AG270" si="283">1-SUM(U268:U269)</f>
        <v>9.9463506189303219E-2</v>
      </c>
      <c r="V270" s="116">
        <f t="shared" si="283"/>
        <v>9.8926685175978135E-2</v>
      </c>
      <c r="W270" s="116">
        <f t="shared" si="283"/>
        <v>9.8389536755263296E-2</v>
      </c>
      <c r="X270" s="116">
        <f t="shared" si="283"/>
        <v>9.7852060722266487E-2</v>
      </c>
      <c r="Y270" s="116">
        <f t="shared" si="283"/>
        <v>9.7314256871962823E-2</v>
      </c>
      <c r="Z270" s="116">
        <f t="shared" si="283"/>
        <v>9.6776124999196522E-2</v>
      </c>
      <c r="AA270" s="116">
        <f t="shared" si="283"/>
        <v>9.6237664898678466E-2</v>
      </c>
      <c r="AB270" s="116">
        <f t="shared" si="283"/>
        <v>9.5698876364989083E-2</v>
      </c>
      <c r="AC270" s="116">
        <f t="shared" si="283"/>
        <v>9.5159759192575466E-2</v>
      </c>
      <c r="AD270" s="116">
        <f t="shared" si="283"/>
        <v>9.4620313175753146E-2</v>
      </c>
      <c r="AE270" s="116">
        <f t="shared" si="283"/>
        <v>9.4080538108704426E-2</v>
      </c>
      <c r="AF270" s="116">
        <f t="shared" si="283"/>
        <v>9.3540433785480159E-2</v>
      </c>
      <c r="AG270" s="116">
        <f t="shared" si="283"/>
        <v>9.2999999999998417E-2</v>
      </c>
    </row>
    <row r="271" spans="1:33" hidden="1" x14ac:dyDescent="0.35">
      <c r="A271" s="1"/>
      <c r="D271" s="81" t="b">
        <f>D261=SUM(D268:D270)</f>
        <v>1</v>
      </c>
      <c r="E271" s="81" t="b">
        <f t="shared" ref="E271:Q271" si="284">E261=SUM(E268:E270)</f>
        <v>1</v>
      </c>
      <c r="F271" s="81" t="b">
        <f t="shared" si="284"/>
        <v>1</v>
      </c>
      <c r="G271" s="81" t="b">
        <f t="shared" si="284"/>
        <v>1</v>
      </c>
      <c r="H271" s="81" t="b">
        <f t="shared" si="284"/>
        <v>1</v>
      </c>
      <c r="I271" s="81" t="b">
        <f t="shared" si="284"/>
        <v>1</v>
      </c>
      <c r="J271" s="81" t="b">
        <f t="shared" si="284"/>
        <v>1</v>
      </c>
      <c r="K271" s="81" t="b">
        <f t="shared" si="284"/>
        <v>1</v>
      </c>
      <c r="L271" s="81" t="b">
        <f t="shared" si="284"/>
        <v>1</v>
      </c>
      <c r="M271" s="81" t="b">
        <f t="shared" si="284"/>
        <v>1</v>
      </c>
      <c r="N271" s="81" t="b">
        <f t="shared" si="284"/>
        <v>1</v>
      </c>
      <c r="O271" s="81" t="b">
        <f t="shared" si="284"/>
        <v>1</v>
      </c>
      <c r="P271" s="81" t="b">
        <f t="shared" si="284"/>
        <v>1</v>
      </c>
      <c r="Q271" s="81" t="b">
        <f t="shared" si="284"/>
        <v>1</v>
      </c>
      <c r="R271" s="21"/>
    </row>
    <row r="272" spans="1:33" s="117" customFormat="1" hidden="1" x14ac:dyDescent="0.35">
      <c r="A272" s="149" t="s">
        <v>69</v>
      </c>
      <c r="B272" s="125" t="s">
        <v>70</v>
      </c>
      <c r="C272" s="126"/>
      <c r="D272" s="127">
        <f>D261*T272</f>
        <v>121.42493999999996</v>
      </c>
      <c r="E272" s="127">
        <f t="shared" ref="E272:Q272" si="285">E261*U272</f>
        <v>134.32055298624283</v>
      </c>
      <c r="F272" s="127">
        <f t="shared" si="285"/>
        <v>148.65120068082803</v>
      </c>
      <c r="G272" s="127">
        <f t="shared" si="285"/>
        <v>164.58359477624649</v>
      </c>
      <c r="H272" s="127">
        <f t="shared" si="285"/>
        <v>182.30460388890356</v>
      </c>
      <c r="I272" s="127">
        <f t="shared" si="285"/>
        <v>202.02378351909152</v>
      </c>
      <c r="J272" s="127">
        <f t="shared" si="285"/>
        <v>223.97623491517191</v>
      </c>
      <c r="K272" s="127">
        <f t="shared" si="285"/>
        <v>248.42583704501573</v>
      </c>
      <c r="L272" s="127">
        <f t="shared" si="285"/>
        <v>275.66890200864367</v>
      </c>
      <c r="M272" s="127">
        <f t="shared" si="285"/>
        <v>306.03831123315484</v>
      </c>
      <c r="N272" s="127">
        <f t="shared" si="285"/>
        <v>339.90819780331117</v>
      </c>
      <c r="O272" s="127">
        <f t="shared" si="285"/>
        <v>377.69924944691473</v>
      </c>
      <c r="P272" s="127">
        <f t="shared" si="285"/>
        <v>419.88471718425194</v>
      </c>
      <c r="Q272" s="127">
        <f t="shared" si="285"/>
        <v>466.99722666225017</v>
      </c>
      <c r="R272" s="68">
        <f>RATE(9,,-H272,Q272)</f>
        <v>0.11017320376449692</v>
      </c>
      <c r="S272" s="125" t="s">
        <v>70</v>
      </c>
      <c r="T272" s="116">
        <v>0.42</v>
      </c>
      <c r="U272" s="116">
        <v>0.42007683867486062</v>
      </c>
      <c r="V272" s="116">
        <v>0.4201536914072973</v>
      </c>
      <c r="W272" s="116">
        <v>0.42023055819988187</v>
      </c>
      <c r="X272" s="116">
        <v>0.42030743905518658</v>
      </c>
      <c r="Y272" s="116">
        <v>0.42038433397578434</v>
      </c>
      <c r="Z272" s="116">
        <v>0.42046124296424836</v>
      </c>
      <c r="AA272" s="116">
        <v>0.42053816602315214</v>
      </c>
      <c r="AB272" s="116">
        <v>0.42061510315507006</v>
      </c>
      <c r="AC272" s="116">
        <v>0.42069205436257667</v>
      </c>
      <c r="AD272" s="116">
        <v>0.4207690196482472</v>
      </c>
      <c r="AE272" s="116">
        <v>0.42084599901465702</v>
      </c>
      <c r="AF272" s="116">
        <v>0.42092299246438242</v>
      </c>
      <c r="AG272" s="137">
        <v>0.42099999999999982</v>
      </c>
    </row>
    <row r="273" spans="1:33" s="117" customFormat="1" hidden="1" x14ac:dyDescent="0.35">
      <c r="A273" s="149"/>
      <c r="B273" s="125" t="s">
        <v>71</v>
      </c>
      <c r="C273" s="126"/>
      <c r="D273" s="127">
        <f>D261*T273</f>
        <v>66.494609999999994</v>
      </c>
      <c r="E273" s="127">
        <f t="shared" ref="E273:Q273" si="286">E261*U273</f>
        <v>73.592034992781194</v>
      </c>
      <c r="F273" s="127">
        <f t="shared" si="286"/>
        <v>81.482915210999678</v>
      </c>
      <c r="G273" s="127">
        <f t="shared" si="286"/>
        <v>90.259822757325125</v>
      </c>
      <c r="H273" s="127">
        <f t="shared" si="286"/>
        <v>100.02656721074572</v>
      </c>
      <c r="I273" s="127">
        <f t="shared" si="286"/>
        <v>110.89961136514671</v>
      </c>
      <c r="J273" s="127">
        <f t="shared" si="286"/>
        <v>123.00967167017539</v>
      </c>
      <c r="K273" s="127">
        <f t="shared" si="286"/>
        <v>136.50352828064206</v>
      </c>
      <c r="L273" s="127">
        <f t="shared" si="286"/>
        <v>151.54607308617787</v>
      </c>
      <c r="M273" s="127">
        <f t="shared" si="286"/>
        <v>168.3226280551481</v>
      </c>
      <c r="N273" s="127">
        <f t="shared" si="286"/>
        <v>187.04157075918425</v>
      </c>
      <c r="O273" s="127">
        <f t="shared" si="286"/>
        <v>207.93730913154778</v>
      </c>
      <c r="P273" s="127">
        <f t="shared" si="286"/>
        <v>231.27365345109322</v>
      </c>
      <c r="Q273" s="127">
        <f t="shared" si="286"/>
        <v>257.34764034594338</v>
      </c>
      <c r="R273" s="68">
        <f>RATE(9,,-H273,Q273)</f>
        <v>0.11070962728088975</v>
      </c>
      <c r="S273" s="125" t="s">
        <v>71</v>
      </c>
      <c r="T273" s="116">
        <v>0.23000000000000007</v>
      </c>
      <c r="U273" s="116">
        <v>0.230153232131076</v>
      </c>
      <c r="V273" s="116">
        <v>0.23030656634948232</v>
      </c>
      <c r="W273" s="116">
        <v>0.23046000272323239</v>
      </c>
      <c r="X273" s="116">
        <v>0.23061354132038475</v>
      </c>
      <c r="Y273" s="116">
        <v>0.23076718220904338</v>
      </c>
      <c r="Z273" s="116">
        <v>0.23092092545735762</v>
      </c>
      <c r="AA273" s="116">
        <v>0.23107477113352223</v>
      </c>
      <c r="AB273" s="116">
        <v>0.23122871930577729</v>
      </c>
      <c r="AC273" s="116">
        <v>0.23138277004240856</v>
      </c>
      <c r="AD273" s="116">
        <v>0.23153692341174703</v>
      </c>
      <c r="AE273" s="116">
        <v>0.23169117948216938</v>
      </c>
      <c r="AF273" s="116">
        <v>0.23184553832209787</v>
      </c>
      <c r="AG273" s="137">
        <v>0.23200000000000018</v>
      </c>
    </row>
    <row r="274" spans="1:33" s="117" customFormat="1" hidden="1" x14ac:dyDescent="0.35">
      <c r="A274" s="149"/>
      <c r="B274" s="125" t="s">
        <v>72</v>
      </c>
      <c r="C274" s="126"/>
      <c r="D274" s="127">
        <f>D261*T274</f>
        <v>57.821399999999976</v>
      </c>
      <c r="E274" s="127">
        <f t="shared" ref="E274:Q274" si="287">E261*U274</f>
        <v>63.97500815449262</v>
      </c>
      <c r="F274" s="127">
        <f t="shared" si="287"/>
        <v>70.81470883360457</v>
      </c>
      <c r="G274" s="127">
        <f t="shared" si="287"/>
        <v>78.420348821261058</v>
      </c>
      <c r="H274" s="127">
        <f t="shared" si="287"/>
        <v>86.881445095906727</v>
      </c>
      <c r="I274" s="127">
        <f t="shared" si="287"/>
        <v>96.298400457143387</v>
      </c>
      <c r="J274" s="127">
        <f t="shared" si="287"/>
        <v>106.78387742051133</v>
      </c>
      <c r="K274" s="127">
        <f t="shared" si="287"/>
        <v>118.46435168045446</v>
      </c>
      <c r="L274" s="127">
        <f t="shared" si="287"/>
        <v>131.48186939970526</v>
      </c>
      <c r="M274" s="127">
        <f t="shared" si="287"/>
        <v>145.99603596485034</v>
      </c>
      <c r="N274" s="127">
        <f t="shared" si="287"/>
        <v>162.18626771503222</v>
      </c>
      <c r="O274" s="127">
        <f t="shared" si="287"/>
        <v>180.25434257538393</v>
      </c>
      <c r="P274" s="127">
        <f t="shared" si="287"/>
        <v>200.42729059154865</v>
      </c>
      <c r="Q274" s="127">
        <f t="shared" si="287"/>
        <v>222.96067116178671</v>
      </c>
      <c r="R274" s="68">
        <f>RATE(9,,-H274,Q274)</f>
        <v>0.11039606514391388</v>
      </c>
      <c r="S274" s="125" t="s">
        <v>72</v>
      </c>
      <c r="T274" s="116">
        <v>0.19999999999999998</v>
      </c>
      <c r="U274" s="116">
        <v>0.20007674612901705</v>
      </c>
      <c r="V274" s="116">
        <v>0.20015352170787573</v>
      </c>
      <c r="W274" s="116">
        <v>0.2002303267478768</v>
      </c>
      <c r="X274" s="116">
        <v>0.20030716126032544</v>
      </c>
      <c r="Y274" s="116">
        <v>0.20038402525653101</v>
      </c>
      <c r="Z274" s="116">
        <v>0.20046091874780753</v>
      </c>
      <c r="AA274" s="116">
        <v>0.20053784174547304</v>
      </c>
      <c r="AB274" s="116">
        <v>0.20061479426085005</v>
      </c>
      <c r="AC274" s="116">
        <v>0.20069177630526541</v>
      </c>
      <c r="AD274" s="116">
        <v>0.20076878789005037</v>
      </c>
      <c r="AE274" s="116">
        <v>0.20084582902654041</v>
      </c>
      <c r="AF274" s="116">
        <v>0.20092289972607549</v>
      </c>
      <c r="AG274" s="137">
        <v>0.20099999999999973</v>
      </c>
    </row>
    <row r="275" spans="1:33" s="117" customFormat="1" hidden="1" x14ac:dyDescent="0.35">
      <c r="A275" s="149"/>
      <c r="B275" s="125" t="s">
        <v>73</v>
      </c>
      <c r="C275" s="126"/>
      <c r="D275" s="127">
        <f>D261*T275</f>
        <v>28.910699999999988</v>
      </c>
      <c r="E275" s="127">
        <f t="shared" ref="E275:Q275" si="288">E261*U275</f>
        <v>32.023978519679808</v>
      </c>
      <c r="F275" s="127">
        <f t="shared" si="288"/>
        <v>35.488148455428032</v>
      </c>
      <c r="G275" s="127">
        <f t="shared" si="288"/>
        <v>39.344458159101052</v>
      </c>
      <c r="H275" s="127">
        <f t="shared" si="288"/>
        <v>43.63919858915601</v>
      </c>
      <c r="I275" s="127">
        <f t="shared" si="288"/>
        <v>48.424342815805467</v>
      </c>
      <c r="J275" s="127">
        <f t="shared" si="288"/>
        <v>53.758269481319665</v>
      </c>
      <c r="K275" s="127">
        <f t="shared" si="288"/>
        <v>59.706581603715136</v>
      </c>
      <c r="L275" s="127">
        <f t="shared" si="288"/>
        <v>66.343033705593427</v>
      </c>
      <c r="M275" s="127">
        <f t="shared" si="288"/>
        <v>73.750582073097988</v>
      </c>
      <c r="N275" s="127">
        <f t="shared" si="288"/>
        <v>82.022575036893045</v>
      </c>
      <c r="O275" s="127">
        <f t="shared" si="288"/>
        <v>91.264102556980433</v>
      </c>
      <c r="P275" s="127">
        <f t="shared" si="288"/>
        <v>101.59352713129896</v>
      </c>
      <c r="Q275" s="127">
        <f t="shared" si="288"/>
        <v>113.14422118657832</v>
      </c>
      <c r="R275" s="68">
        <f>RATE(9,,-H275,Q275)</f>
        <v>0.1116622182437569</v>
      </c>
      <c r="S275" s="125" t="s">
        <v>73</v>
      </c>
      <c r="T275" s="116">
        <v>9.9999999999999992E-2</v>
      </c>
      <c r="U275" s="116">
        <v>0.10015244398015953</v>
      </c>
      <c r="V275" s="116">
        <v>0.10030512035198993</v>
      </c>
      <c r="W275" s="116">
        <v>0.10045802946975833</v>
      </c>
      <c r="X275" s="116">
        <v>0.10061117168827188</v>
      </c>
      <c r="Y275" s="116">
        <v>0.10076454736287864</v>
      </c>
      <c r="Z275" s="116">
        <v>0.10091815684946834</v>
      </c>
      <c r="AA275" s="116">
        <v>0.10107200050447333</v>
      </c>
      <c r="AB275" s="116">
        <v>0.10122607868486923</v>
      </c>
      <c r="AC275" s="116">
        <v>0.10138039174817587</v>
      </c>
      <c r="AD275" s="116">
        <v>0.10153494005245813</v>
      </c>
      <c r="AE275" s="116">
        <v>0.10168972395632671</v>
      </c>
      <c r="AF275" s="116">
        <v>0.10184474381893897</v>
      </c>
      <c r="AG275" s="137">
        <v>0.10199999999999985</v>
      </c>
    </row>
    <row r="276" spans="1:33" s="117" customFormat="1" hidden="1" x14ac:dyDescent="0.35">
      <c r="A276" s="149"/>
      <c r="B276" s="125" t="s">
        <v>74</v>
      </c>
      <c r="C276" s="126"/>
      <c r="D276" s="127">
        <f>D261*T276</f>
        <v>14.455350000000008</v>
      </c>
      <c r="E276" s="127">
        <f t="shared" ref="E276:Q276" si="289">E261*U276</f>
        <v>15.840767346803476</v>
      </c>
      <c r="F276" s="127">
        <f t="shared" si="289"/>
        <v>17.364989579298925</v>
      </c>
      <c r="G276" s="127">
        <f t="shared" si="289"/>
        <v>19.042481425358307</v>
      </c>
      <c r="H276" s="127">
        <f t="shared" si="289"/>
        <v>20.889268405982726</v>
      </c>
      <c r="I276" s="127">
        <f t="shared" si="289"/>
        <v>22.923110483578927</v>
      </c>
      <c r="J276" s="127">
        <f t="shared" si="289"/>
        <v>25.16369554572006</v>
      </c>
      <c r="K276" s="127">
        <f t="shared" si="289"/>
        <v>27.63285504010554</v>
      </c>
      <c r="L276" s="127">
        <f t="shared" si="289"/>
        <v>30.354804351284894</v>
      </c>
      <c r="M276" s="127">
        <f t="shared" si="289"/>
        <v>33.356410817519304</v>
      </c>
      <c r="N276" s="127">
        <f t="shared" si="289"/>
        <v>36.667492630841913</v>
      </c>
      <c r="O276" s="127">
        <f t="shared" si="289"/>
        <v>40.321152249397457</v>
      </c>
      <c r="P276" s="127">
        <f t="shared" si="289"/>
        <v>44.354148383400563</v>
      </c>
      <c r="Q276" s="127">
        <f t="shared" si="289"/>
        <v>48.807311100093088</v>
      </c>
      <c r="R276" s="68">
        <f>RATE(9,,-H276,Q276)</f>
        <v>9.88825948246429E-2</v>
      </c>
      <c r="S276" s="125" t="s">
        <v>74</v>
      </c>
      <c r="T276" s="116">
        <f>1-SUM(T272:T275)</f>
        <v>5.0000000000000044E-2</v>
      </c>
      <c r="U276" s="116">
        <f t="shared" ref="U276:AG276" si="290">1-SUM(U272:U275)</f>
        <v>4.9540739084886765E-2</v>
      </c>
      <c r="V276" s="116">
        <f t="shared" si="290"/>
        <v>4.9081100183354764E-2</v>
      </c>
      <c r="W276" s="116">
        <f t="shared" si="290"/>
        <v>4.8621082859250597E-2</v>
      </c>
      <c r="X276" s="116">
        <f t="shared" si="290"/>
        <v>4.8160686675831288E-2</v>
      </c>
      <c r="Y276" s="116">
        <f t="shared" si="290"/>
        <v>4.7699911195762668E-2</v>
      </c>
      <c r="Z276" s="116">
        <f t="shared" si="290"/>
        <v>4.7238755981118041E-2</v>
      </c>
      <c r="AA276" s="116">
        <f t="shared" si="290"/>
        <v>4.6777220593379298E-2</v>
      </c>
      <c r="AB276" s="116">
        <f t="shared" si="290"/>
        <v>4.631530459343336E-2</v>
      </c>
      <c r="AC276" s="116">
        <f t="shared" si="290"/>
        <v>4.5853007541573509E-2</v>
      </c>
      <c r="AD276" s="116">
        <f t="shared" si="290"/>
        <v>4.5390328997497287E-2</v>
      </c>
      <c r="AE276" s="116">
        <f t="shared" si="290"/>
        <v>4.4927268520306485E-2</v>
      </c>
      <c r="AF276" s="116">
        <f t="shared" si="290"/>
        <v>4.4463825668505264E-2</v>
      </c>
      <c r="AG276" s="116">
        <f t="shared" si="290"/>
        <v>4.4000000000000372E-2</v>
      </c>
    </row>
    <row r="277" spans="1:33" hidden="1" x14ac:dyDescent="0.35">
      <c r="A277" s="2"/>
      <c r="D277" s="81" t="b">
        <f>D261=SUM(D272:D276)</f>
        <v>1</v>
      </c>
      <c r="E277" s="81" t="b">
        <f t="shared" ref="E277:Q277" si="291">E261=SUM(E272:E276)</f>
        <v>1</v>
      </c>
      <c r="F277" s="81" t="b">
        <f t="shared" si="291"/>
        <v>1</v>
      </c>
      <c r="G277" s="81" t="b">
        <f t="shared" si="291"/>
        <v>1</v>
      </c>
      <c r="H277" s="81" t="b">
        <f t="shared" si="291"/>
        <v>1</v>
      </c>
      <c r="I277" s="81" t="b">
        <f t="shared" si="291"/>
        <v>1</v>
      </c>
      <c r="J277" s="81" t="b">
        <f t="shared" si="291"/>
        <v>1</v>
      </c>
      <c r="K277" s="81" t="b">
        <f t="shared" si="291"/>
        <v>1</v>
      </c>
      <c r="L277" s="81" t="b">
        <f t="shared" si="291"/>
        <v>1</v>
      </c>
      <c r="M277" s="81" t="b">
        <f t="shared" si="291"/>
        <v>1</v>
      </c>
      <c r="N277" s="81" t="b">
        <f t="shared" si="291"/>
        <v>1</v>
      </c>
      <c r="O277" s="81" t="b">
        <f t="shared" si="291"/>
        <v>1</v>
      </c>
      <c r="P277" s="81" t="b">
        <f t="shared" si="291"/>
        <v>1</v>
      </c>
      <c r="Q277" s="81" t="b">
        <f t="shared" si="291"/>
        <v>1</v>
      </c>
      <c r="R277" s="21"/>
    </row>
    <row r="278" spans="1:33" s="117" customFormat="1" hidden="1" x14ac:dyDescent="0.35">
      <c r="A278" s="149" t="s">
        <v>75</v>
      </c>
      <c r="B278" s="128" t="s">
        <v>76</v>
      </c>
      <c r="C278" s="129"/>
      <c r="D278" s="130">
        <f>D261*T278</f>
        <v>63.603539999999988</v>
      </c>
      <c r="E278" s="130">
        <f t="shared" ref="E278:P278" si="292">E261*U278</f>
        <v>70.467225379770795</v>
      </c>
      <c r="F278" s="130">
        <f t="shared" si="292"/>
        <v>78.106006302774972</v>
      </c>
      <c r="G278" s="130">
        <f t="shared" si="292"/>
        <v>86.611161878514309</v>
      </c>
      <c r="H278" s="130">
        <f t="shared" si="292"/>
        <v>96.085148876878009</v>
      </c>
      <c r="I278" s="130">
        <f t="shared" si="292"/>
        <v>106.64302152744614</v>
      </c>
      <c r="J278" s="130">
        <f t="shared" si="292"/>
        <v>118.41403799078621</v>
      </c>
      <c r="K278" s="130">
        <f t="shared" si="292"/>
        <v>131.54347885908939</v>
      </c>
      <c r="L278" s="130">
        <f t="shared" si="292"/>
        <v>146.19470659646677</v>
      </c>
      <c r="M278" s="130">
        <f t="shared" si="292"/>
        <v>162.55149889495664</v>
      </c>
      <c r="N278" s="130">
        <f t="shared" si="292"/>
        <v>180.82069357690253</v>
      </c>
      <c r="O278" s="130">
        <f t="shared" si="292"/>
        <v>201.23518800557997</v>
      </c>
      <c r="P278" s="130">
        <f t="shared" si="292"/>
        <v>224.05734207493532</v>
      </c>
      <c r="Q278" s="130">
        <f>Q261*AG278</f>
        <v>249.58284085274684</v>
      </c>
      <c r="R278" s="68">
        <f t="shared" ref="R278:R283" si="293">RATE(9,,-H278,Q278)</f>
        <v>0.11189057955817069</v>
      </c>
      <c r="S278" s="134" t="s">
        <v>76</v>
      </c>
      <c r="T278" s="116">
        <v>0.22000000000000003</v>
      </c>
      <c r="U278" s="116">
        <v>0.22038063877502673</v>
      </c>
      <c r="V278" s="116">
        <v>0.22076193612222184</v>
      </c>
      <c r="W278" s="116">
        <v>0.22114389318103134</v>
      </c>
      <c r="X278" s="116">
        <v>0.22152651109287255</v>
      </c>
      <c r="Y278" s="116">
        <v>0.22190979100113767</v>
      </c>
      <c r="Z278" s="116">
        <v>0.22229373405119721</v>
      </c>
      <c r="AA278" s="116">
        <v>0.22267834139040343</v>
      </c>
      <c r="AB278" s="116">
        <v>0.2230636141680935</v>
      </c>
      <c r="AC278" s="116">
        <v>0.22344955353559337</v>
      </c>
      <c r="AD278" s="116">
        <v>0.22383616064622086</v>
      </c>
      <c r="AE278" s="116">
        <v>0.22422343665528938</v>
      </c>
      <c r="AF278" s="116">
        <v>0.22461138272011094</v>
      </c>
      <c r="AG278" s="116">
        <v>0.22500000000000017</v>
      </c>
    </row>
    <row r="279" spans="1:33" s="117" customFormat="1" hidden="1" x14ac:dyDescent="0.35">
      <c r="A279" s="149"/>
      <c r="B279" s="128" t="s">
        <v>77</v>
      </c>
      <c r="C279" s="129"/>
      <c r="D279" s="130">
        <f>D261*T279</f>
        <v>109.86065999999997</v>
      </c>
      <c r="E279" s="130">
        <f t="shared" ref="E279:Q279" si="294">E261*U279</f>
        <v>121.50588995999998</v>
      </c>
      <c r="F279" s="130">
        <f t="shared" si="294"/>
        <v>134.44474584886049</v>
      </c>
      <c r="G279" s="130">
        <f t="shared" si="294"/>
        <v>148.82726825693098</v>
      </c>
      <c r="H279" s="130">
        <f t="shared" si="294"/>
        <v>164.82161161246401</v>
      </c>
      <c r="I279" s="130">
        <f t="shared" si="294"/>
        <v>182.61631448349107</v>
      </c>
      <c r="J279" s="130">
        <f t="shared" si="294"/>
        <v>202.42286463250142</v>
      </c>
      <c r="K279" s="130">
        <f t="shared" si="294"/>
        <v>224.47859838697451</v>
      </c>
      <c r="L279" s="130">
        <f t="shared" si="294"/>
        <v>249.04997936953396</v>
      </c>
      <c r="M279" s="130">
        <f t="shared" si="294"/>
        <v>276.43630789463282</v>
      </c>
      <c r="N279" s="130">
        <f t="shared" si="294"/>
        <v>306.97391949919978</v>
      </c>
      <c r="O279" s="130">
        <f t="shared" si="294"/>
        <v>341.04093926488525</v>
      </c>
      <c r="P279" s="130">
        <f t="shared" si="294"/>
        <v>379.06266796180546</v>
      </c>
      <c r="Q279" s="130">
        <f t="shared" si="294"/>
        <v>421.51768677352766</v>
      </c>
      <c r="R279" s="68">
        <f t="shared" si="293"/>
        <v>0.1099701355872318</v>
      </c>
      <c r="S279" s="134" t="s">
        <v>77</v>
      </c>
      <c r="T279" s="116">
        <v>0.38</v>
      </c>
      <c r="U279" s="116">
        <v>0.38</v>
      </c>
      <c r="V279" s="116">
        <v>0.38</v>
      </c>
      <c r="W279" s="116">
        <v>0.38</v>
      </c>
      <c r="X279" s="116">
        <v>0.38</v>
      </c>
      <c r="Y279" s="116">
        <v>0.38</v>
      </c>
      <c r="Z279" s="116">
        <v>0.38</v>
      </c>
      <c r="AA279" s="116">
        <v>0.38</v>
      </c>
      <c r="AB279" s="116">
        <v>0.38</v>
      </c>
      <c r="AC279" s="116">
        <v>0.38</v>
      </c>
      <c r="AD279" s="116">
        <v>0.38</v>
      </c>
      <c r="AE279" s="116">
        <v>0.38</v>
      </c>
      <c r="AF279" s="116">
        <v>0.38</v>
      </c>
      <c r="AG279" s="116">
        <v>0.38</v>
      </c>
    </row>
    <row r="280" spans="1:33" s="117" customFormat="1" hidden="1" x14ac:dyDescent="0.35">
      <c r="A280" s="149"/>
      <c r="B280" s="128" t="s">
        <v>78</v>
      </c>
      <c r="C280" s="129"/>
      <c r="D280" s="132">
        <f>D261*T280</f>
        <v>49.148189999999978</v>
      </c>
      <c r="E280" s="132">
        <f t="shared" ref="E280:Q280" si="295">E261*U280</f>
        <v>54.620697813887944</v>
      </c>
      <c r="F280" s="132">
        <f t="shared" si="295"/>
        <v>60.729308598658427</v>
      </c>
      <c r="G280" s="132">
        <f t="shared" si="295"/>
        <v>67.550971801951874</v>
      </c>
      <c r="H280" s="132">
        <f t="shared" si="295"/>
        <v>75.17229960471839</v>
      </c>
      <c r="I280" s="132">
        <f t="shared" si="295"/>
        <v>83.690823669113513</v>
      </c>
      <c r="J280" s="132">
        <f t="shared" si="295"/>
        <v>93.216420857442799</v>
      </c>
      <c r="K280" s="132">
        <f t="shared" si="295"/>
        <v>103.87293136744238</v>
      </c>
      <c r="L280" s="132">
        <f t="shared" si="295"/>
        <v>115.79999608133743</v>
      </c>
      <c r="M280" s="132">
        <f t="shared" si="295"/>
        <v>129.15514377148494</v>
      </c>
      <c r="N280" s="132">
        <f t="shared" si="295"/>
        <v>144.11616321856786</v>
      </c>
      <c r="O280" s="132">
        <f t="shared" si="295"/>
        <v>160.88380036542989</v>
      </c>
      <c r="P280" s="132">
        <f t="shared" si="295"/>
        <v>179.68482645031449</v>
      </c>
      <c r="Q280" s="132">
        <f t="shared" si="295"/>
        <v>200.77552975265363</v>
      </c>
      <c r="R280" s="68">
        <f t="shared" si="293"/>
        <v>0.11533641720521108</v>
      </c>
      <c r="S280" s="134" t="s">
        <v>78</v>
      </c>
      <c r="T280" s="116">
        <v>0.16999999999999998</v>
      </c>
      <c r="U280" s="116">
        <v>0.17082188506343435</v>
      </c>
      <c r="V280" s="116">
        <v>0.17164774362720694</v>
      </c>
      <c r="W280" s="116">
        <v>0.17247759490167405</v>
      </c>
      <c r="X280" s="116">
        <v>0.17331145819006682</v>
      </c>
      <c r="Y280" s="116">
        <v>0.17414935288894001</v>
      </c>
      <c r="Z280" s="116">
        <v>0.17499129848862341</v>
      </c>
      <c r="AA280" s="116">
        <v>0.17583731457367507</v>
      </c>
      <c r="AB280" s="116">
        <v>0.17668742082333691</v>
      </c>
      <c r="AC280" s="116">
        <v>0.17754163701199244</v>
      </c>
      <c r="AD280" s="116">
        <v>0.17839998300962681</v>
      </c>
      <c r="AE280" s="116">
        <v>0.17926247878228888</v>
      </c>
      <c r="AF280" s="116">
        <v>0.18012914439255584</v>
      </c>
      <c r="AG280" s="116">
        <v>0.18099999999999969</v>
      </c>
    </row>
    <row r="281" spans="1:33" s="117" customFormat="1" hidden="1" x14ac:dyDescent="0.35">
      <c r="A281" s="149"/>
      <c r="B281" s="128" t="s">
        <v>79</v>
      </c>
      <c r="C281" s="129"/>
      <c r="D281" s="132">
        <f>D261*T281</f>
        <v>40.474979999999995</v>
      </c>
      <c r="E281" s="132">
        <f t="shared" ref="E281:Q281" si="296">E261*U281</f>
        <v>44.789843496534061</v>
      </c>
      <c r="F281" s="132">
        <f t="shared" si="296"/>
        <v>49.586542087491416</v>
      </c>
      <c r="G281" s="132">
        <f t="shared" si="296"/>
        <v>54.921232505181337</v>
      </c>
      <c r="H281" s="132">
        <f t="shared" si="296"/>
        <v>60.85688178422172</v>
      </c>
      <c r="I281" s="132">
        <f t="shared" si="296"/>
        <v>67.464124461979608</v>
      </c>
      <c r="J281" s="132">
        <f t="shared" si="296"/>
        <v>74.822231515670396</v>
      </c>
      <c r="K281" s="132">
        <f t="shared" si="296"/>
        <v>83.020206090932135</v>
      </c>
      <c r="L281" s="132">
        <f t="shared" si="296"/>
        <v>92.158023169792273</v>
      </c>
      <c r="M281" s="132">
        <f t="shared" si="296"/>
        <v>102.34803271889001</v>
      </c>
      <c r="N281" s="132">
        <f t="shared" si="296"/>
        <v>113.71654859579778</v>
      </c>
      <c r="O281" s="132">
        <f t="shared" si="296"/>
        <v>126.40564862320146</v>
      </c>
      <c r="P281" s="132">
        <f t="shared" si="296"/>
        <v>140.57521482617386</v>
      </c>
      <c r="Q281" s="132">
        <f t="shared" si="296"/>
        <v>156.40524693438817</v>
      </c>
      <c r="R281" s="68">
        <f t="shared" si="293"/>
        <v>0.11057800787439899</v>
      </c>
      <c r="S281" s="134" t="s">
        <v>79</v>
      </c>
      <c r="T281" s="116">
        <v>0.14000000000000001</v>
      </c>
      <c r="U281" s="116">
        <v>0.14007667063947282</v>
      </c>
      <c r="V281" s="116">
        <v>0.14015338326742385</v>
      </c>
      <c r="W281" s="116">
        <v>0.1402301379068481</v>
      </c>
      <c r="X281" s="116">
        <v>0.14030693458075291</v>
      </c>
      <c r="Y281" s="116">
        <v>0.14038377331215846</v>
      </c>
      <c r="Z281" s="116">
        <v>0.14046065412409731</v>
      </c>
      <c r="AA281" s="116">
        <v>0.14053757703961495</v>
      </c>
      <c r="AB281" s="116">
        <v>0.14061454208176913</v>
      </c>
      <c r="AC281" s="116">
        <v>0.14069154927363042</v>
      </c>
      <c r="AD281" s="116">
        <v>0.14076859863828203</v>
      </c>
      <c r="AE281" s="116">
        <v>0.14084569019881982</v>
      </c>
      <c r="AF281" s="116">
        <v>0.14092282397835218</v>
      </c>
      <c r="AG281" s="116">
        <v>0.14100000000000026</v>
      </c>
    </row>
    <row r="282" spans="1:33" s="117" customFormat="1" hidden="1" x14ac:dyDescent="0.35">
      <c r="A282" s="149"/>
      <c r="B282" s="128" t="s">
        <v>80</v>
      </c>
      <c r="C282" s="129"/>
      <c r="D282" s="132">
        <f>D261*T282</f>
        <v>11.564280000000005</v>
      </c>
      <c r="E282" s="132">
        <f t="shared" ref="E282:Q282" si="297">E261*U282</f>
        <v>11.860606564241222</v>
      </c>
      <c r="F282" s="132">
        <f t="shared" si="297"/>
        <v>12.169887906802312</v>
      </c>
      <c r="G282" s="132">
        <f t="shared" si="297"/>
        <v>12.492760907945126</v>
      </c>
      <c r="H282" s="132">
        <f t="shared" si="297"/>
        <v>12.829899333100903</v>
      </c>
      <c r="I282" s="132">
        <f t="shared" si="297"/>
        <v>13.182016187734185</v>
      </c>
      <c r="J282" s="132">
        <f t="shared" si="297"/>
        <v>13.549866237576291</v>
      </c>
      <c r="K282" s="132">
        <f t="shared" si="297"/>
        <v>13.934248706758774</v>
      </c>
      <c r="L282" s="132">
        <f t="shared" si="297"/>
        <v>14.336010167395509</v>
      </c>
      <c r="M282" s="132">
        <f t="shared" si="297"/>
        <v>14.756047635267862</v>
      </c>
      <c r="N282" s="132">
        <f t="shared" si="297"/>
        <v>15.195311887469288</v>
      </c>
      <c r="O282" s="132">
        <f t="shared" si="297"/>
        <v>15.654811019172442</v>
      </c>
      <c r="P282" s="132">
        <f t="shared" si="297"/>
        <v>16.135614258102912</v>
      </c>
      <c r="Q282" s="132">
        <f t="shared" si="297"/>
        <v>16.638856056849782</v>
      </c>
      <c r="R282" s="68">
        <f t="shared" si="293"/>
        <v>2.9305914844669958E-2</v>
      </c>
      <c r="S282" s="134" t="s">
        <v>80</v>
      </c>
      <c r="T282" s="116">
        <v>4.0000000000000029E-2</v>
      </c>
      <c r="U282" s="116">
        <v>3.7093103024844219E-2</v>
      </c>
      <c r="V282" s="116">
        <v>3.4397457300292665E-2</v>
      </c>
      <c r="W282" s="116">
        <v>3.1897710685810869E-2</v>
      </c>
      <c r="X282" s="116">
        <v>2.9579626718136409E-2</v>
      </c>
      <c r="Y282" s="116">
        <v>2.7430003532306693E-2</v>
      </c>
      <c r="Z282" s="116">
        <v>2.543659867489231E-2</v>
      </c>
      <c r="AA282" s="116">
        <v>2.3588059381234896E-2</v>
      </c>
      <c r="AB282" s="116">
        <v>2.1873857919607213E-2</v>
      </c>
      <c r="AC282" s="116">
        <v>2.0284231634069862E-2</v>
      </c>
      <c r="AD282" s="116">
        <v>1.8810127344558929E-2</v>
      </c>
      <c r="AE282" s="116">
        <v>1.7443149787554083E-2</v>
      </c>
      <c r="AF282" s="116">
        <v>1.617551380368832E-2</v>
      </c>
      <c r="AG282" s="116">
        <v>1.5000000000000005E-2</v>
      </c>
    </row>
    <row r="283" spans="1:33" s="117" customFormat="1" hidden="1" x14ac:dyDescent="0.35">
      <c r="A283" s="149"/>
      <c r="B283" s="128" t="s">
        <v>81</v>
      </c>
      <c r="C283" s="129"/>
      <c r="D283" s="132">
        <f>D261*T283</f>
        <v>5.7821399999999992</v>
      </c>
      <c r="E283" s="132">
        <f t="shared" ref="E283:Q283" si="298">E261*U283</f>
        <v>6.4421047533109013</v>
      </c>
      <c r="F283" s="132">
        <f t="shared" si="298"/>
        <v>7.1805603882832543</v>
      </c>
      <c r="G283" s="132">
        <f t="shared" si="298"/>
        <v>8.0072072129980647</v>
      </c>
      <c r="H283" s="132">
        <f t="shared" si="298"/>
        <v>8.9329883208877039</v>
      </c>
      <c r="I283" s="132">
        <f t="shared" si="298"/>
        <v>9.9702543176693332</v>
      </c>
      <c r="J283" s="132">
        <f t="shared" si="298"/>
        <v>11.132950596616903</v>
      </c>
      <c r="K283" s="132">
        <f t="shared" si="298"/>
        <v>12.436830344603905</v>
      </c>
      <c r="L283" s="132">
        <f t="shared" si="298"/>
        <v>13.899696923821672</v>
      </c>
      <c r="M283" s="132">
        <f t="shared" si="298"/>
        <v>15.541679805661143</v>
      </c>
      <c r="N283" s="132">
        <f t="shared" si="298"/>
        <v>17.385548844547895</v>
      </c>
      <c r="O283" s="132">
        <f t="shared" si="298"/>
        <v>19.457072382819661</v>
      </c>
      <c r="P283" s="132">
        <f t="shared" si="298"/>
        <v>21.785425487252162</v>
      </c>
      <c r="Q283" s="132">
        <f t="shared" si="298"/>
        <v>24.403655550046345</v>
      </c>
      <c r="R283" s="68">
        <f t="shared" si="293"/>
        <v>0.11813784408349483</v>
      </c>
      <c r="S283" s="134" t="s">
        <v>81</v>
      </c>
      <c r="T283" s="116">
        <v>2.0000000000000004E-2</v>
      </c>
      <c r="U283" s="116">
        <v>2.0147169878464571E-2</v>
      </c>
      <c r="V283" s="116">
        <v>2.0295422705585511E-2</v>
      </c>
      <c r="W283" s="116">
        <v>2.0444766450233912E-2</v>
      </c>
      <c r="X283" s="116">
        <v>2.0595209139919784E-2</v>
      </c>
      <c r="Y283" s="116">
        <v>2.0746758861223506E-2</v>
      </c>
      <c r="Z283" s="116">
        <v>2.0899423760230504E-2</v>
      </c>
      <c r="AA283" s="116">
        <v>2.1053212042969137E-2</v>
      </c>
      <c r="AB283" s="116">
        <v>2.1208131975851766E-2</v>
      </c>
      <c r="AC283" s="116">
        <v>2.1364191886119096E-2</v>
      </c>
      <c r="AD283" s="116">
        <v>2.1521400162287797E-2</v>
      </c>
      <c r="AE283" s="116">
        <v>2.1679765254601358E-2</v>
      </c>
      <c r="AF283" s="116">
        <v>2.1839295675484361E-2</v>
      </c>
      <c r="AG283" s="116">
        <v>2.2000000000000006E-2</v>
      </c>
    </row>
    <row r="284" spans="1:33" s="117" customFormat="1" hidden="1" x14ac:dyDescent="0.35">
      <c r="A284" s="149"/>
      <c r="B284" s="128" t="s">
        <v>82</v>
      </c>
      <c r="C284" s="129"/>
      <c r="D284" s="132">
        <f>D261*T284</f>
        <v>8.6732099999999726</v>
      </c>
      <c r="E284" s="132">
        <f t="shared" ref="E284:Q284" si="299">E261*U284</f>
        <v>10.06597403225503</v>
      </c>
      <c r="F284" s="132">
        <f t="shared" si="299"/>
        <v>11.58491162728834</v>
      </c>
      <c r="G284" s="132">
        <f t="shared" si="299"/>
        <v>13.240103375770341</v>
      </c>
      <c r="H284" s="132">
        <f t="shared" si="299"/>
        <v>15.042253658424006</v>
      </c>
      <c r="I284" s="132">
        <f t="shared" si="299"/>
        <v>17.002693993332134</v>
      </c>
      <c r="J284" s="132">
        <f t="shared" si="299"/>
        <v>19.133377202304406</v>
      </c>
      <c r="K284" s="132">
        <f t="shared" si="299"/>
        <v>21.446859894131848</v>
      </c>
      <c r="L284" s="132">
        <f t="shared" si="299"/>
        <v>23.956270243057546</v>
      </c>
      <c r="M284" s="132">
        <f t="shared" si="299"/>
        <v>26.675257422877195</v>
      </c>
      <c r="N284" s="132">
        <f t="shared" si="299"/>
        <v>29.617918322777577</v>
      </c>
      <c r="O284" s="132">
        <f t="shared" si="299"/>
        <v>32.79869629913555</v>
      </c>
      <c r="P284" s="132">
        <f t="shared" si="299"/>
        <v>36.232245683009012</v>
      </c>
      <c r="Q284" s="132">
        <f t="shared" si="299"/>
        <v>39.93325453643925</v>
      </c>
      <c r="R284" s="68">
        <f>RATE(9,,-H284,Q284)</f>
        <v>0.11458587028236387</v>
      </c>
      <c r="S284" s="134" t="s">
        <v>82</v>
      </c>
      <c r="T284" s="116">
        <f>1-SUM(T278:T283)</f>
        <v>2.9999999999999916E-2</v>
      </c>
      <c r="U284" s="116">
        <f t="shared" ref="U284:AG284" si="300">1-SUM(U278:U283)</f>
        <v>3.1480532618757273E-2</v>
      </c>
      <c r="V284" s="116">
        <f t="shared" si="300"/>
        <v>3.2744056977269231E-2</v>
      </c>
      <c r="W284" s="116">
        <f t="shared" si="300"/>
        <v>3.380589687440172E-2</v>
      </c>
      <c r="X284" s="116">
        <f t="shared" si="300"/>
        <v>3.468026027825144E-2</v>
      </c>
      <c r="Y284" s="116">
        <f t="shared" si="300"/>
        <v>3.5380320404233667E-2</v>
      </c>
      <c r="Z284" s="116">
        <f t="shared" si="300"/>
        <v>3.5918290900959216E-2</v>
      </c>
      <c r="AA284" s="116">
        <f t="shared" si="300"/>
        <v>3.6305495572102608E-2</v>
      </c>
      <c r="AB284" s="116">
        <f t="shared" si="300"/>
        <v>3.655243303134148E-2</v>
      </c>
      <c r="AC284" s="116">
        <f t="shared" si="300"/>
        <v>3.6668836658594883E-2</v>
      </c>
      <c r="AD284" s="116">
        <f t="shared" si="300"/>
        <v>3.6663730199023692E-2</v>
      </c>
      <c r="AE284" s="116">
        <f t="shared" si="300"/>
        <v>3.6545479321446361E-2</v>
      </c>
      <c r="AF284" s="116">
        <f t="shared" si="300"/>
        <v>3.6321839429808267E-2</v>
      </c>
      <c r="AG284" s="116">
        <f t="shared" si="300"/>
        <v>3.599999999999981E-2</v>
      </c>
    </row>
  </sheetData>
  <mergeCells count="55">
    <mergeCell ref="A278:A284"/>
    <mergeCell ref="A247:A248"/>
    <mergeCell ref="A250:A255"/>
    <mergeCell ref="A257:A259"/>
    <mergeCell ref="A262:A266"/>
    <mergeCell ref="A268:A270"/>
    <mergeCell ref="A272:A276"/>
    <mergeCell ref="A244:A245"/>
    <mergeCell ref="A192:A193"/>
    <mergeCell ref="A195:A196"/>
    <mergeCell ref="A198:A199"/>
    <mergeCell ref="A201:A206"/>
    <mergeCell ref="A208:A210"/>
    <mergeCell ref="A213:A217"/>
    <mergeCell ref="A219:A221"/>
    <mergeCell ref="A223:A227"/>
    <mergeCell ref="A229:A235"/>
    <mergeCell ref="A237:R237"/>
    <mergeCell ref="A241:A242"/>
    <mergeCell ref="A188:R188"/>
    <mergeCell ref="A130:A136"/>
    <mergeCell ref="A139:R139"/>
    <mergeCell ref="A143:A144"/>
    <mergeCell ref="A146:A147"/>
    <mergeCell ref="A149:A150"/>
    <mergeCell ref="A152:A157"/>
    <mergeCell ref="A159:A161"/>
    <mergeCell ref="A164:A168"/>
    <mergeCell ref="A170:A172"/>
    <mergeCell ref="A174:A178"/>
    <mergeCell ref="A180:A186"/>
    <mergeCell ref="A124:A128"/>
    <mergeCell ref="A70:A72"/>
    <mergeCell ref="A74:A78"/>
    <mergeCell ref="A80:A86"/>
    <mergeCell ref="A89:R89"/>
    <mergeCell ref="A93:A94"/>
    <mergeCell ref="A96:A97"/>
    <mergeCell ref="A99:A100"/>
    <mergeCell ref="A102:A107"/>
    <mergeCell ref="A109:A111"/>
    <mergeCell ref="A114:A118"/>
    <mergeCell ref="A120:A122"/>
    <mergeCell ref="A64:A68"/>
    <mergeCell ref="A2:R2"/>
    <mergeCell ref="A15:A19"/>
    <mergeCell ref="A21:A23"/>
    <mergeCell ref="A25:A29"/>
    <mergeCell ref="A31:A37"/>
    <mergeCell ref="A39:R39"/>
    <mergeCell ref="A43:A44"/>
    <mergeCell ref="A46:A47"/>
    <mergeCell ref="A49:A50"/>
    <mergeCell ref="A52:A57"/>
    <mergeCell ref="A59:A6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3D62-6FA0-40F8-B1BE-6E8AC211FD0A}">
  <dimension ref="A2:AG284"/>
  <sheetViews>
    <sheetView showGridLines="0" topLeftCell="A19" zoomScale="71" zoomScaleNormal="71" workbookViewId="0">
      <selection activeCell="A31" sqref="A31:A37"/>
    </sheetView>
  </sheetViews>
  <sheetFormatPr defaultRowHeight="14.5" x14ac:dyDescent="0.35"/>
  <cols>
    <col min="1" max="1" width="17.1796875" customWidth="1"/>
    <col min="2" max="2" width="27.81640625" customWidth="1"/>
    <col min="17" max="17" width="11.7265625" customWidth="1"/>
    <col min="18" max="18" width="26.453125" customWidth="1"/>
    <col min="19" max="19" width="28.90625" customWidth="1"/>
  </cols>
  <sheetData>
    <row r="2" spans="1:33" ht="25" x14ac:dyDescent="0.5">
      <c r="A2" s="146" t="s">
        <v>96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63"/>
    </row>
    <row r="3" spans="1:33" ht="25" x14ac:dyDescent="0.5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63"/>
    </row>
    <row r="4" spans="1:33" ht="25" x14ac:dyDescent="0.5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63"/>
    </row>
    <row r="5" spans="1:33" ht="25" x14ac:dyDescent="0.5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63"/>
    </row>
    <row r="6" spans="1:33" ht="25" x14ac:dyDescent="0.5">
      <c r="A6" s="96"/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63"/>
    </row>
    <row r="7" spans="1:33" ht="25" x14ac:dyDescent="0.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63"/>
    </row>
    <row r="8" spans="1:33" ht="25" x14ac:dyDescent="0.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63"/>
    </row>
    <row r="9" spans="1:33" ht="25" x14ac:dyDescent="0.5">
      <c r="A9" s="96"/>
      <c r="B9" s="96"/>
      <c r="C9" s="97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63"/>
    </row>
    <row r="10" spans="1:33" ht="25" x14ac:dyDescent="0.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63"/>
    </row>
    <row r="11" spans="1:33" ht="25" x14ac:dyDescent="0.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63"/>
    </row>
    <row r="12" spans="1:33" ht="25.5" thickBot="1" x14ac:dyDescent="0.55000000000000004">
      <c r="A12" s="96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63"/>
    </row>
    <row r="13" spans="1:33" ht="15.5" x14ac:dyDescent="0.35">
      <c r="A13" s="42"/>
      <c r="B13" s="43"/>
      <c r="C13" s="93"/>
      <c r="D13" s="91">
        <v>2023</v>
      </c>
      <c r="E13" s="65">
        <v>2024</v>
      </c>
      <c r="F13" s="65">
        <v>2025</v>
      </c>
      <c r="G13" s="65">
        <v>2026</v>
      </c>
      <c r="H13" s="65">
        <v>2027</v>
      </c>
      <c r="I13" s="65">
        <v>2028</v>
      </c>
      <c r="J13" s="65">
        <v>2029</v>
      </c>
      <c r="K13" s="65">
        <v>2030</v>
      </c>
      <c r="L13" s="65">
        <v>2031</v>
      </c>
      <c r="M13" s="65">
        <v>2032</v>
      </c>
      <c r="N13" s="65">
        <v>2033</v>
      </c>
      <c r="O13" s="65">
        <v>2034</v>
      </c>
      <c r="P13" s="65">
        <v>2035</v>
      </c>
      <c r="Q13" s="65">
        <v>2036</v>
      </c>
      <c r="R13" s="66" t="s">
        <v>84</v>
      </c>
    </row>
    <row r="14" spans="1:33" ht="16" thickBot="1" x14ac:dyDescent="0.4">
      <c r="A14" s="1"/>
      <c r="C14" s="21"/>
      <c r="D14" s="92">
        <f>SUM(D63+D113+D163+D212+D261)</f>
        <v>977.45699999999988</v>
      </c>
      <c r="E14" s="92">
        <f t="shared" ref="E14:Q14" si="0">SUM(E63+E113+E163+E212+E261)</f>
        <v>1097.2402252500001</v>
      </c>
      <c r="F14" s="92">
        <f t="shared" si="0"/>
        <v>1233.1111116189686</v>
      </c>
      <c r="G14" s="92">
        <f t="shared" si="0"/>
        <v>1387.436791557981</v>
      </c>
      <c r="H14" s="92">
        <f t="shared" si="0"/>
        <v>1562.9683404044595</v>
      </c>
      <c r="I14" s="92">
        <f t="shared" si="0"/>
        <v>1762.9100506389991</v>
      </c>
      <c r="J14" s="92">
        <f t="shared" si="0"/>
        <v>1991.0027203077198</v>
      </c>
      <c r="K14" s="92">
        <f t="shared" si="0"/>
        <v>2251.6241418517857</v>
      </c>
      <c r="L14" s="92">
        <f t="shared" si="0"/>
        <v>2549.9107873398543</v>
      </c>
      <c r="M14" s="92">
        <f t="shared" si="0"/>
        <v>2891.905723199608</v>
      </c>
      <c r="N14" s="92">
        <f t="shared" si="0"/>
        <v>3284.7391215077914</v>
      </c>
      <c r="O14" s="92">
        <f t="shared" si="0"/>
        <v>3736.8494580854644</v>
      </c>
      <c r="P14" s="92">
        <f t="shared" si="0"/>
        <v>4258.2557232441295</v>
      </c>
      <c r="Q14" s="92">
        <f t="shared" si="0"/>
        <v>4860.8938839784078</v>
      </c>
      <c r="R14" s="131">
        <f t="shared" ref="R14:R19" si="1">RATE(9,,-H14,Q14)</f>
        <v>0.13436227060967615</v>
      </c>
      <c r="T14" s="65">
        <v>2023</v>
      </c>
      <c r="U14" s="65">
        <v>2024</v>
      </c>
      <c r="V14" s="65">
        <v>2025</v>
      </c>
      <c r="W14" s="65">
        <v>2026</v>
      </c>
      <c r="X14" s="65">
        <v>2027</v>
      </c>
      <c r="Y14" s="65">
        <v>2028</v>
      </c>
      <c r="Z14" s="65">
        <v>2029</v>
      </c>
      <c r="AA14" s="65">
        <v>2030</v>
      </c>
      <c r="AB14" s="65">
        <v>2031</v>
      </c>
      <c r="AC14" s="65">
        <v>2032</v>
      </c>
      <c r="AD14" s="65">
        <v>2033</v>
      </c>
      <c r="AE14" s="65">
        <v>2034</v>
      </c>
      <c r="AF14" s="65">
        <v>2035</v>
      </c>
      <c r="AG14" s="65">
        <v>2036</v>
      </c>
    </row>
    <row r="15" spans="1:33" s="121" customFormat="1" x14ac:dyDescent="0.35">
      <c r="A15" s="147" t="s">
        <v>59</v>
      </c>
      <c r="B15" s="118" t="s">
        <v>60</v>
      </c>
      <c r="C15" s="119"/>
      <c r="D15" s="120">
        <f>D14*T15</f>
        <v>293.2371</v>
      </c>
      <c r="E15" s="120">
        <f>E14*U15</f>
        <v>333.09853942559204</v>
      </c>
      <c r="F15" s="120">
        <f>F14*V15</f>
        <v>378.81134050528777</v>
      </c>
      <c r="G15" s="120">
        <f t="shared" ref="G15:Q15" si="2">G14*W15</f>
        <v>431.30423313347666</v>
      </c>
      <c r="H15" s="120">
        <f t="shared" si="2"/>
        <v>491.66630702916802</v>
      </c>
      <c r="I15" s="120">
        <f t="shared" si="2"/>
        <v>561.17740145181438</v>
      </c>
      <c r="J15" s="120">
        <f t="shared" si="2"/>
        <v>641.34487172578793</v>
      </c>
      <c r="K15" s="120">
        <f t="shared" si="2"/>
        <v>733.94822171851467</v>
      </c>
      <c r="L15" s="120">
        <f t="shared" si="2"/>
        <v>841.09347788860077</v>
      </c>
      <c r="M15" s="120">
        <f t="shared" si="2"/>
        <v>965.27967757482838</v>
      </c>
      <c r="N15" s="120">
        <f t="shared" si="2"/>
        <v>1109.4804863093793</v>
      </c>
      <c r="O15" s="120">
        <f t="shared" si="2"/>
        <v>1277.2447921488751</v>
      </c>
      <c r="P15" s="120">
        <f t="shared" si="2"/>
        <v>1472.8212110601605</v>
      </c>
      <c r="Q15" s="120">
        <f t="shared" si="2"/>
        <v>1701.3128593924412</v>
      </c>
      <c r="R15" s="131">
        <f t="shared" si="1"/>
        <v>0.14789331398468517</v>
      </c>
      <c r="S15" s="118" t="s">
        <v>60</v>
      </c>
      <c r="T15" s="136">
        <v>0.30000000000000004</v>
      </c>
      <c r="U15" s="136">
        <v>0.30357849790796487</v>
      </c>
      <c r="V15" s="136">
        <v>0.3071996813068541</v>
      </c>
      <c r="W15" s="136">
        <v>0.31086405936313422</v>
      </c>
      <c r="X15" s="136">
        <v>0.31457214731677569</v>
      </c>
      <c r="Y15" s="136">
        <v>0.31832446655369928</v>
      </c>
      <c r="Z15" s="136">
        <v>0.32212154467908749</v>
      </c>
      <c r="AA15" s="136">
        <v>0.32596391559156912</v>
      </c>
      <c r="AB15" s="136">
        <v>0.32985211955829069</v>
      </c>
      <c r="AC15" s="136">
        <v>0.33378670329088106</v>
      </c>
      <c r="AD15" s="136">
        <v>0.33776822002232409</v>
      </c>
      <c r="AE15" s="136">
        <v>0.34179722958474706</v>
      </c>
      <c r="AF15" s="136">
        <v>0.34587429848813767</v>
      </c>
      <c r="AG15" s="136">
        <v>0.3499999999999997</v>
      </c>
    </row>
    <row r="16" spans="1:33" s="117" customFormat="1" x14ac:dyDescent="0.35">
      <c r="A16" s="148"/>
      <c r="B16" s="113" t="s">
        <v>61</v>
      </c>
      <c r="C16" s="114"/>
      <c r="D16" s="115">
        <f>D14*T16</f>
        <v>195.4914</v>
      </c>
      <c r="E16" s="115">
        <f t="shared" ref="E16:Q16" si="3">E14*U16</f>
        <v>220.27320068790161</v>
      </c>
      <c r="F16" s="115">
        <f t="shared" si="3"/>
        <v>248.48037799551543</v>
      </c>
      <c r="G16" s="115">
        <f t="shared" si="3"/>
        <v>280.6293179182955</v>
      </c>
      <c r="H16" s="115">
        <f t="shared" si="3"/>
        <v>317.32183788946594</v>
      </c>
      <c r="I16" s="115">
        <f t="shared" si="3"/>
        <v>359.26083903634685</v>
      </c>
      <c r="J16" s="115">
        <f t="shared" si="3"/>
        <v>407.26916065025489</v>
      </c>
      <c r="K16" s="115">
        <f t="shared" si="3"/>
        <v>462.31237087520128</v>
      </c>
      <c r="L16" s="115">
        <f t="shared" si="3"/>
        <v>525.52641536512317</v>
      </c>
      <c r="M16" s="115">
        <f t="shared" si="3"/>
        <v>598.25128642906736</v>
      </c>
      <c r="N16" s="115">
        <f t="shared" si="3"/>
        <v>682.07218529255033</v>
      </c>
      <c r="O16" s="115">
        <f t="shared" si="3"/>
        <v>778.8700512618276</v>
      </c>
      <c r="P16" s="115">
        <f t="shared" si="3"/>
        <v>890.88385279202498</v>
      </c>
      <c r="Q16" s="115">
        <f t="shared" si="3"/>
        <v>1020.7877156354662</v>
      </c>
      <c r="R16" s="131">
        <f t="shared" si="1"/>
        <v>0.13862763292880681</v>
      </c>
      <c r="S16" s="113" t="s">
        <v>61</v>
      </c>
      <c r="T16" s="135">
        <v>0.2</v>
      </c>
      <c r="U16" s="135">
        <v>0.20075202824223254</v>
      </c>
      <c r="V16" s="135">
        <v>0.20150688421685059</v>
      </c>
      <c r="W16" s="135">
        <v>0.20226457855652732</v>
      </c>
      <c r="X16" s="135">
        <v>0.20302512193391614</v>
      </c>
      <c r="Y16" s="135">
        <v>0.20378852506180117</v>
      </c>
      <c r="Z16" s="135">
        <v>0.20455479869324805</v>
      </c>
      <c r="AA16" s="135">
        <v>0.20532395362175559</v>
      </c>
      <c r="AB16" s="135">
        <v>0.20609600068140757</v>
      </c>
      <c r="AC16" s="135">
        <v>0.20687095074702552</v>
      </c>
      <c r="AD16" s="135">
        <v>0.20764881473432178</v>
      </c>
      <c r="AE16" s="135">
        <v>0.20842960360005336</v>
      </c>
      <c r="AF16" s="135">
        <v>0.20921332834217618</v>
      </c>
      <c r="AG16" s="135">
        <v>0.2100000000000001</v>
      </c>
    </row>
    <row r="17" spans="1:33" s="117" customFormat="1" x14ac:dyDescent="0.35">
      <c r="A17" s="148"/>
      <c r="B17" s="113" t="s">
        <v>62</v>
      </c>
      <c r="C17" s="114"/>
      <c r="D17" s="115">
        <f>D14*T17</f>
        <v>97.745700000000056</v>
      </c>
      <c r="E17" s="115">
        <f t="shared" ref="E17:Q17" si="4">E14*U17</f>
        <v>111.27371448777841</v>
      </c>
      <c r="F17" s="115">
        <f t="shared" si="4"/>
        <v>126.81888817032446</v>
      </c>
      <c r="G17" s="115">
        <f t="shared" si="4"/>
        <v>144.70575450517183</v>
      </c>
      <c r="H17" s="115">
        <f t="shared" si="4"/>
        <v>165.31552525673266</v>
      </c>
      <c r="I17" s="115">
        <f t="shared" si="4"/>
        <v>189.09693045978642</v>
      </c>
      <c r="J17" s="115">
        <f t="shared" si="4"/>
        <v>216.57934896132164</v>
      </c>
      <c r="K17" s="115">
        <f t="shared" si="4"/>
        <v>248.38876724140772</v>
      </c>
      <c r="L17" s="115">
        <f t="shared" si="4"/>
        <v>285.26724432622393</v>
      </c>
      <c r="M17" s="115">
        <f t="shared" si="4"/>
        <v>328.09674095226273</v>
      </c>
      <c r="N17" s="115">
        <f t="shared" si="4"/>
        <v>377.92840430711755</v>
      </c>
      <c r="O17" s="115">
        <f t="shared" si="4"/>
        <v>436.01870248448716</v>
      </c>
      <c r="P17" s="115">
        <f t="shared" si="4"/>
        <v>503.87419783215836</v>
      </c>
      <c r="Q17" s="115">
        <f t="shared" si="4"/>
        <v>583.30726607740928</v>
      </c>
      <c r="R17" s="131">
        <f t="shared" si="1"/>
        <v>0.15038348504641891</v>
      </c>
      <c r="S17" s="113" t="s">
        <v>62</v>
      </c>
      <c r="T17" s="135">
        <v>0.10000000000000007</v>
      </c>
      <c r="U17" s="135">
        <v>0.10141235431140461</v>
      </c>
      <c r="V17" s="135">
        <v>0.10284465606981855</v>
      </c>
      <c r="W17" s="135">
        <v>0.10429718700386978</v>
      </c>
      <c r="X17" s="135">
        <v>0.10577023282119258</v>
      </c>
      <c r="Y17" s="135">
        <v>0.1072640832646253</v>
      </c>
      <c r="Z17" s="135">
        <v>0.10877903216920175</v>
      </c>
      <c r="AA17" s="135">
        <v>0.11031537751994758</v>
      </c>
      <c r="AB17" s="135">
        <v>0.11187342151049273</v>
      </c>
      <c r="AC17" s="135">
        <v>0.11345347060251193</v>
      </c>
      <c r="AD17" s="135">
        <v>0.11505583558600457</v>
      </c>
      <c r="AE17" s="135">
        <v>0.11668083164042599</v>
      </c>
      <c r="AF17" s="135">
        <v>0.11832877839668221</v>
      </c>
      <c r="AG17" s="135">
        <v>0.12000000000000006</v>
      </c>
    </row>
    <row r="18" spans="1:33" s="117" customFormat="1" x14ac:dyDescent="0.35">
      <c r="A18" s="148"/>
      <c r="B18" s="113" t="s">
        <v>63</v>
      </c>
      <c r="C18" s="114"/>
      <c r="D18" s="115">
        <f>D14*T18</f>
        <v>68.421989999999994</v>
      </c>
      <c r="E18" s="115">
        <f>E14*U18</f>
        <v>77.215524173804752</v>
      </c>
      <c r="F18" s="115">
        <f t="shared" ref="F18:Q18" si="5">F14*V18</f>
        <v>87.238859223748165</v>
      </c>
      <c r="G18" s="115">
        <f t="shared" si="5"/>
        <v>98.679249268771514</v>
      </c>
      <c r="H18" s="115">
        <f t="shared" si="5"/>
        <v>111.75518308214114</v>
      </c>
      <c r="I18" s="115">
        <f t="shared" si="5"/>
        <v>126.72214352184665</v>
      </c>
      <c r="J18" s="115">
        <f t="shared" si="5"/>
        <v>143.87955086035922</v>
      </c>
      <c r="K18" s="115">
        <f t="shared" si="5"/>
        <v>163.57916232595028</v>
      </c>
      <c r="L18" s="115">
        <f t="shared" si="5"/>
        <v>186.23527000954707</v>
      </c>
      <c r="M18" s="115">
        <f t="shared" si="5"/>
        <v>212.3371289073408</v>
      </c>
      <c r="N18" s="115">
        <f t="shared" si="5"/>
        <v>242.46416235944088</v>
      </c>
      <c r="O18" s="115">
        <f t="shared" si="5"/>
        <v>277.30464163130807</v>
      </c>
      <c r="P18" s="115">
        <f t="shared" si="5"/>
        <v>317.67873072705515</v>
      </c>
      <c r="Q18" s="115">
        <f t="shared" si="5"/>
        <v>364.56704129838005</v>
      </c>
      <c r="R18" s="131">
        <f t="shared" si="1"/>
        <v>0.14039849787282932</v>
      </c>
      <c r="S18" s="113" t="s">
        <v>63</v>
      </c>
      <c r="T18" s="135">
        <v>7.0000000000000007E-2</v>
      </c>
      <c r="U18" s="135">
        <v>7.0372487625680713E-2</v>
      </c>
      <c r="V18" s="135">
        <v>7.0746957351808359E-2</v>
      </c>
      <c r="W18" s="135">
        <v>7.1123419725638515E-2</v>
      </c>
      <c r="X18" s="135">
        <v>7.1501885350551325E-2</v>
      </c>
      <c r="Y18" s="135">
        <v>7.1882364886350206E-2</v>
      </c>
      <c r="Z18" s="135">
        <v>7.2264869049562072E-2</v>
      </c>
      <c r="AA18" s="135">
        <v>7.2649408613739211E-2</v>
      </c>
      <c r="AB18" s="135">
        <v>7.3035994409762647E-2</v>
      </c>
      <c r="AC18" s="135">
        <v>7.3424637326147249E-2</v>
      </c>
      <c r="AD18" s="135">
        <v>7.3815348309348452E-2</v>
      </c>
      <c r="AE18" s="135">
        <v>7.4208138364070517E-2</v>
      </c>
      <c r="AF18" s="135">
        <v>7.4603018553576511E-2</v>
      </c>
      <c r="AG18" s="135">
        <v>7.4999999999999886E-2</v>
      </c>
    </row>
    <row r="19" spans="1:33" s="117" customFormat="1" x14ac:dyDescent="0.35">
      <c r="A19" s="148"/>
      <c r="B19" s="113" t="s">
        <v>64</v>
      </c>
      <c r="C19" s="114"/>
      <c r="D19" s="115">
        <f>D14*T19</f>
        <v>322.56080999999983</v>
      </c>
      <c r="E19" s="115">
        <f>E14*U19</f>
        <v>355.37924647492332</v>
      </c>
      <c r="F19" s="115">
        <f t="shared" ref="F19:Q19" si="6">F14*V19</f>
        <v>391.76164572409289</v>
      </c>
      <c r="G19" s="115">
        <f t="shared" si="6"/>
        <v>432.11823673226542</v>
      </c>
      <c r="H19" s="115">
        <f t="shared" si="6"/>
        <v>476.90948714695168</v>
      </c>
      <c r="I19" s="115">
        <f t="shared" si="6"/>
        <v>526.65273616920456</v>
      </c>
      <c r="J19" s="115">
        <f t="shared" si="6"/>
        <v>581.92978810999603</v>
      </c>
      <c r="K19" s="115">
        <f t="shared" si="6"/>
        <v>643.39561969071156</v>
      </c>
      <c r="L19" s="115">
        <f t="shared" si="6"/>
        <v>711.78837975035947</v>
      </c>
      <c r="M19" s="115">
        <f t="shared" si="6"/>
        <v>787.94088933610874</v>
      </c>
      <c r="N19" s="115">
        <f t="shared" si="6"/>
        <v>872.79388323930391</v>
      </c>
      <c r="O19" s="115">
        <f t="shared" si="6"/>
        <v>967.41127055896686</v>
      </c>
      <c r="P19" s="115">
        <f t="shared" si="6"/>
        <v>1072.9977308327302</v>
      </c>
      <c r="Q19" s="115">
        <f t="shared" si="6"/>
        <v>1190.919001574711</v>
      </c>
      <c r="R19" s="131">
        <f t="shared" si="1"/>
        <v>0.10703332812385387</v>
      </c>
      <c r="S19" s="113" t="s">
        <v>64</v>
      </c>
      <c r="T19" s="135">
        <f>1-SUM(T15:T18)</f>
        <v>0.32999999999999985</v>
      </c>
      <c r="U19" s="135">
        <f t="shared" ref="U19:AG19" si="7">1-SUM(U15:U18)</f>
        <v>0.32388463191271732</v>
      </c>
      <c r="V19" s="135">
        <f t="shared" si="7"/>
        <v>0.31770182105466849</v>
      </c>
      <c r="W19" s="135">
        <f t="shared" si="7"/>
        <v>0.31145075535083011</v>
      </c>
      <c r="X19" s="135">
        <f t="shared" si="7"/>
        <v>0.30513061257756424</v>
      </c>
      <c r="Y19" s="135">
        <f t="shared" si="7"/>
        <v>0.29874056023352391</v>
      </c>
      <c r="Z19" s="135">
        <f t="shared" si="7"/>
        <v>0.29227975540890061</v>
      </c>
      <c r="AA19" s="135">
        <f t="shared" si="7"/>
        <v>0.28574734465298846</v>
      </c>
      <c r="AB19" s="135">
        <f t="shared" si="7"/>
        <v>0.27914246384004637</v>
      </c>
      <c r="AC19" s="135">
        <f t="shared" si="7"/>
        <v>0.27246423803343423</v>
      </c>
      <c r="AD19" s="135">
        <f t="shared" si="7"/>
        <v>0.26571178134800122</v>
      </c>
      <c r="AE19" s="135">
        <f t="shared" si="7"/>
        <v>0.25888419681070318</v>
      </c>
      <c r="AF19" s="135">
        <f t="shared" si="7"/>
        <v>0.25198057621942738</v>
      </c>
      <c r="AG19" s="135">
        <f t="shared" si="7"/>
        <v>0.24500000000000022</v>
      </c>
    </row>
    <row r="20" spans="1:33" x14ac:dyDescent="0.35">
      <c r="A20" s="1"/>
      <c r="D20" s="81" t="b">
        <f>D14=SUM(D15:D19)</f>
        <v>1</v>
      </c>
      <c r="E20" s="81" t="b">
        <f>E14=SUM(E15:E19)</f>
        <v>1</v>
      </c>
      <c r="F20" s="81" t="b">
        <f t="shared" ref="F20:Q20" si="8">F14=SUM(F15:F19)</f>
        <v>1</v>
      </c>
      <c r="G20" s="81" t="b">
        <f t="shared" si="8"/>
        <v>1</v>
      </c>
      <c r="H20" s="81" t="b">
        <f t="shared" si="8"/>
        <v>1</v>
      </c>
      <c r="I20" s="81" t="b">
        <f t="shared" si="8"/>
        <v>1</v>
      </c>
      <c r="J20" s="81" t="b">
        <f t="shared" si="8"/>
        <v>1</v>
      </c>
      <c r="K20" s="81" t="b">
        <f t="shared" si="8"/>
        <v>1</v>
      </c>
      <c r="L20" s="81" t="b">
        <f t="shared" si="8"/>
        <v>1</v>
      </c>
      <c r="M20" s="81" t="b">
        <f t="shared" si="8"/>
        <v>1</v>
      </c>
      <c r="N20" s="81" t="b">
        <f t="shared" si="8"/>
        <v>1</v>
      </c>
      <c r="O20" s="81" t="b">
        <f t="shared" si="8"/>
        <v>1</v>
      </c>
      <c r="P20" s="81" t="b">
        <f t="shared" si="8"/>
        <v>1</v>
      </c>
      <c r="Q20" s="81" t="b">
        <f t="shared" si="8"/>
        <v>1</v>
      </c>
      <c r="R20" s="21"/>
      <c r="T20" s="12"/>
    </row>
    <row r="21" spans="1:33" s="117" customFormat="1" x14ac:dyDescent="0.35">
      <c r="A21" s="149" t="s">
        <v>65</v>
      </c>
      <c r="B21" s="122" t="s">
        <v>66</v>
      </c>
      <c r="C21" s="123"/>
      <c r="D21" s="124">
        <f>D14*T21</f>
        <v>684.21989999999983</v>
      </c>
      <c r="E21" s="124">
        <f t="shared" ref="E21:Q21" si="9">E14*U21</f>
        <v>768.15256076925004</v>
      </c>
      <c r="F21" s="124">
        <f t="shared" si="9"/>
        <v>863.36748753506549</v>
      </c>
      <c r="G21" s="124">
        <f t="shared" si="9"/>
        <v>971.5259318117154</v>
      </c>
      <c r="H21" s="124">
        <f t="shared" si="9"/>
        <v>1094.5587516186306</v>
      </c>
      <c r="I21" s="124">
        <f t="shared" si="9"/>
        <v>1234.7150777744682</v>
      </c>
      <c r="J21" s="124">
        <f t="shared" si="9"/>
        <v>1394.6208285478533</v>
      </c>
      <c r="K21" s="124">
        <f t="shared" si="9"/>
        <v>1577.3493122957084</v>
      </c>
      <c r="L21" s="124">
        <f t="shared" si="9"/>
        <v>1786.5067270070301</v>
      </c>
      <c r="M21" s="124">
        <f t="shared" si="9"/>
        <v>2026.3360948173251</v>
      </c>
      <c r="N21" s="124">
        <f t="shared" si="9"/>
        <v>2301.8441074566135</v>
      </c>
      <c r="O21" s="124">
        <f t="shared" si="9"/>
        <v>2618.9565702012819</v>
      </c>
      <c r="P21" s="124">
        <f t="shared" si="9"/>
        <v>2984.7097038615775</v>
      </c>
      <c r="Q21" s="124">
        <f t="shared" si="9"/>
        <v>3407.4866126688635</v>
      </c>
      <c r="R21" s="131">
        <f>RATE(9,,-H21,Q21)</f>
        <v>0.13448681632348877</v>
      </c>
      <c r="S21" s="122" t="s">
        <v>66</v>
      </c>
      <c r="T21" s="135">
        <v>0.7</v>
      </c>
      <c r="U21" s="135">
        <v>0.70007692307692304</v>
      </c>
      <c r="V21" s="135">
        <v>0.70015384615384613</v>
      </c>
      <c r="W21" s="135">
        <v>0.70023076923076921</v>
      </c>
      <c r="X21" s="135">
        <v>0.7003076923076923</v>
      </c>
      <c r="Y21" s="135">
        <v>0.70038461538461538</v>
      </c>
      <c r="Z21" s="135">
        <v>0.70046153846153836</v>
      </c>
      <c r="AA21" s="135">
        <v>0.70053846153846144</v>
      </c>
      <c r="AB21" s="135">
        <v>0.70061538461538453</v>
      </c>
      <c r="AC21" s="135">
        <v>0.70069230769230761</v>
      </c>
      <c r="AD21" s="135">
        <v>0.7007692307692307</v>
      </c>
      <c r="AE21" s="135">
        <v>0.70084615384615379</v>
      </c>
      <c r="AF21" s="135">
        <v>0.70092307692307687</v>
      </c>
      <c r="AG21" s="135">
        <v>0.70099999999999996</v>
      </c>
    </row>
    <row r="22" spans="1:33" s="117" customFormat="1" x14ac:dyDescent="0.35">
      <c r="A22" s="149"/>
      <c r="B22" s="122" t="s">
        <v>67</v>
      </c>
      <c r="C22" s="123"/>
      <c r="D22" s="124">
        <f>D14*T22</f>
        <v>195.4914</v>
      </c>
      <c r="E22" s="124">
        <f t="shared" ref="E22:Q22" si="10">E14*U22</f>
        <v>219.53244814425</v>
      </c>
      <c r="F22" s="124">
        <f t="shared" si="10"/>
        <v>246.81193172558125</v>
      </c>
      <c r="G22" s="124">
        <f t="shared" si="10"/>
        <v>277.80753603272495</v>
      </c>
      <c r="H22" s="124">
        <f t="shared" si="10"/>
        <v>313.07458141640092</v>
      </c>
      <c r="I22" s="124">
        <f t="shared" si="10"/>
        <v>353.26005245496867</v>
      </c>
      <c r="J22" s="124">
        <f t="shared" si="10"/>
        <v>399.11946839399366</v>
      </c>
      <c r="K22" s="124">
        <f t="shared" si="10"/>
        <v>451.53724136981583</v>
      </c>
      <c r="L22" s="124">
        <f t="shared" si="10"/>
        <v>511.55133333710307</v>
      </c>
      <c r="M22" s="124">
        <f t="shared" si="10"/>
        <v>580.38323321752137</v>
      </c>
      <c r="N22" s="124">
        <f t="shared" si="10"/>
        <v>659.47454670271816</v>
      </c>
      <c r="O22" s="124">
        <f t="shared" si="10"/>
        <v>750.53184115854981</v>
      </c>
      <c r="P22" s="124">
        <f t="shared" si="10"/>
        <v>855.58184223951275</v>
      </c>
      <c r="Q22" s="124">
        <f t="shared" si="10"/>
        <v>977.03967067966005</v>
      </c>
      <c r="R22" s="131">
        <f>RATE(9,,-H22,Q22)</f>
        <v>0.13479722589413279</v>
      </c>
      <c r="S22" s="122" t="s">
        <v>67</v>
      </c>
      <c r="T22" s="135">
        <v>0.2</v>
      </c>
      <c r="U22" s="135">
        <v>0.20007692307692307</v>
      </c>
      <c r="V22" s="135">
        <v>0.20015384615384615</v>
      </c>
      <c r="W22" s="135">
        <v>0.20023076923076924</v>
      </c>
      <c r="X22" s="135">
        <v>0.2003076923076923</v>
      </c>
      <c r="Y22" s="135">
        <v>0.20038461538461538</v>
      </c>
      <c r="Z22" s="135">
        <v>0.20046153846153847</v>
      </c>
      <c r="AA22" s="135">
        <v>0.20053846153846155</v>
      </c>
      <c r="AB22" s="135">
        <v>0.20061538461538461</v>
      </c>
      <c r="AC22" s="135">
        <v>0.2006923076923077</v>
      </c>
      <c r="AD22" s="135">
        <v>0.20076923076923078</v>
      </c>
      <c r="AE22" s="135">
        <v>0.20084615384615384</v>
      </c>
      <c r="AF22" s="135">
        <v>0.20092307692307693</v>
      </c>
      <c r="AG22" s="135">
        <v>0.20100000000000001</v>
      </c>
    </row>
    <row r="23" spans="1:33" s="117" customFormat="1" x14ac:dyDescent="0.35">
      <c r="A23" s="149"/>
      <c r="B23" s="122" t="s">
        <v>68</v>
      </c>
      <c r="C23" s="123"/>
      <c r="D23" s="124">
        <f>D14*T23</f>
        <v>97.74570000000007</v>
      </c>
      <c r="E23" s="124">
        <f t="shared" ref="E23:L23" si="11">E14*U23</f>
        <v>109.5552163365001</v>
      </c>
      <c r="F23" s="124">
        <f t="shared" si="11"/>
        <v>122.93169235832185</v>
      </c>
      <c r="G23" s="124">
        <f t="shared" si="11"/>
        <v>138.10332371354062</v>
      </c>
      <c r="H23" s="124">
        <f t="shared" si="11"/>
        <v>155.33500736942784</v>
      </c>
      <c r="I23" s="124">
        <f t="shared" si="11"/>
        <v>174.93492040956224</v>
      </c>
      <c r="J23" s="124">
        <f t="shared" si="11"/>
        <v>197.26242336587273</v>
      </c>
      <c r="K23" s="124">
        <f t="shared" si="11"/>
        <v>222.73758818626143</v>
      </c>
      <c r="L23" s="124">
        <f t="shared" si="11"/>
        <v>251.85272699572116</v>
      </c>
      <c r="M23" s="124">
        <f>M14*AC23</f>
        <v>285.18639516476145</v>
      </c>
      <c r="N23" s="124">
        <f t="shared" ref="N23:Q23" si="12">N14*AD23</f>
        <v>323.42046734845957</v>
      </c>
      <c r="O23" s="124">
        <f t="shared" si="12"/>
        <v>367.36104672563306</v>
      </c>
      <c r="P23" s="124">
        <f t="shared" si="12"/>
        <v>417.96417714303959</v>
      </c>
      <c r="Q23" s="124">
        <f t="shared" si="12"/>
        <v>476.36760062988441</v>
      </c>
      <c r="R23" s="131">
        <f>RATE(9,,-H23,Q23)</f>
        <v>0.13259532258279538</v>
      </c>
      <c r="S23" s="122" t="s">
        <v>68</v>
      </c>
      <c r="T23" s="135">
        <f>1-SUM(T21:T22)</f>
        <v>0.10000000000000009</v>
      </c>
      <c r="U23" s="135">
        <f t="shared" ref="U23:AG23" si="13">1-SUM(U21:U22)</f>
        <v>9.9846153846153918E-2</v>
      </c>
      <c r="V23" s="135">
        <f t="shared" si="13"/>
        <v>9.9692307692307747E-2</v>
      </c>
      <c r="W23" s="135">
        <f t="shared" si="13"/>
        <v>9.9538461538461576E-2</v>
      </c>
      <c r="X23" s="135">
        <f t="shared" si="13"/>
        <v>9.9384615384615405E-2</v>
      </c>
      <c r="Y23" s="135">
        <f t="shared" si="13"/>
        <v>9.9230769230769234E-2</v>
      </c>
      <c r="Z23" s="135">
        <f t="shared" si="13"/>
        <v>9.9076923076923173E-2</v>
      </c>
      <c r="AA23" s="135">
        <f t="shared" si="13"/>
        <v>9.8923076923077002E-2</v>
      </c>
      <c r="AB23" s="135">
        <f t="shared" si="13"/>
        <v>9.8769230769230831E-2</v>
      </c>
      <c r="AC23" s="135">
        <f t="shared" si="13"/>
        <v>9.861538461538466E-2</v>
      </c>
      <c r="AD23" s="135">
        <f t="shared" si="13"/>
        <v>9.8461538461538489E-2</v>
      </c>
      <c r="AE23" s="135">
        <f t="shared" si="13"/>
        <v>9.8307692307692429E-2</v>
      </c>
      <c r="AF23" s="135">
        <f t="shared" si="13"/>
        <v>9.8153846153846258E-2</v>
      </c>
      <c r="AG23" s="135">
        <f t="shared" si="13"/>
        <v>9.8000000000000087E-2</v>
      </c>
    </row>
    <row r="24" spans="1:33" ht="15" thickBot="1" x14ac:dyDescent="0.4">
      <c r="A24" s="1"/>
      <c r="D24" s="81" t="b">
        <f>D14=SUM(D21:D23)</f>
        <v>1</v>
      </c>
      <c r="E24" s="81" t="b">
        <f t="shared" ref="E24:Q24" si="14">E14=SUM(E21:E23)</f>
        <v>1</v>
      </c>
      <c r="F24" s="81" t="b">
        <f t="shared" si="14"/>
        <v>1</v>
      </c>
      <c r="G24" s="81" t="b">
        <f t="shared" si="14"/>
        <v>1</v>
      </c>
      <c r="H24" s="81" t="b">
        <f t="shared" si="14"/>
        <v>1</v>
      </c>
      <c r="I24" s="81" t="b">
        <f t="shared" si="14"/>
        <v>1</v>
      </c>
      <c r="J24" s="81" t="b">
        <f t="shared" si="14"/>
        <v>1</v>
      </c>
      <c r="K24" s="81" t="b">
        <f t="shared" si="14"/>
        <v>1</v>
      </c>
      <c r="L24" s="81" t="b">
        <f t="shared" si="14"/>
        <v>1</v>
      </c>
      <c r="M24" s="81" t="b">
        <f t="shared" si="14"/>
        <v>1</v>
      </c>
      <c r="N24" s="81" t="b">
        <f t="shared" si="14"/>
        <v>1</v>
      </c>
      <c r="O24" s="81" t="b">
        <f t="shared" si="14"/>
        <v>1</v>
      </c>
      <c r="P24" s="81" t="b">
        <f t="shared" si="14"/>
        <v>1</v>
      </c>
      <c r="Q24" s="81" t="b">
        <f t="shared" si="14"/>
        <v>1</v>
      </c>
      <c r="R24" s="21"/>
    </row>
    <row r="25" spans="1:33" s="117" customFormat="1" x14ac:dyDescent="0.35">
      <c r="A25" s="149" t="s">
        <v>69</v>
      </c>
      <c r="B25" s="125" t="s">
        <v>70</v>
      </c>
      <c r="C25" s="126"/>
      <c r="D25" s="127">
        <f>D14*T25</f>
        <v>293.23709999999988</v>
      </c>
      <c r="E25" s="127">
        <f t="shared" ref="E25:Q25" si="15">E14*U25</f>
        <v>331.82519503669135</v>
      </c>
      <c r="F25" s="127">
        <f t="shared" si="15"/>
        <v>375.92069237533457</v>
      </c>
      <c r="G25" s="127">
        <f t="shared" si="15"/>
        <v>426.37684379603473</v>
      </c>
      <c r="H25" s="127">
        <f t="shared" si="15"/>
        <v>484.19128432011877</v>
      </c>
      <c r="I25" s="127">
        <f t="shared" si="15"/>
        <v>550.53295799877787</v>
      </c>
      <c r="J25" s="127">
        <f t="shared" si="15"/>
        <v>626.77462544113837</v>
      </c>
      <c r="K25" s="127">
        <f t="shared" si="15"/>
        <v>714.5322449187895</v>
      </c>
      <c r="L25" s="127">
        <f t="shared" si="15"/>
        <v>815.71285181603309</v>
      </c>
      <c r="M25" s="127">
        <f t="shared" si="15"/>
        <v>932.57298880277017</v>
      </c>
      <c r="N25" s="127">
        <f t="shared" si="15"/>
        <v>1067.7902907222185</v>
      </c>
      <c r="O25" s="127">
        <f t="shared" si="15"/>
        <v>1224.5515429161658</v>
      </c>
      <c r="P25" s="127">
        <f t="shared" si="15"/>
        <v>1406.6614619059958</v>
      </c>
      <c r="Q25" s="127">
        <f t="shared" si="15"/>
        <v>1618.677663364809</v>
      </c>
      <c r="R25" s="131">
        <f>RATE(9,,-H25,Q25)</f>
        <v>0.1435052325690791</v>
      </c>
      <c r="S25" s="125" t="s">
        <v>70</v>
      </c>
      <c r="T25" s="136">
        <v>0.29999999999999993</v>
      </c>
      <c r="U25" s="136">
        <v>0.30241800054412588</v>
      </c>
      <c r="V25" s="136">
        <v>0.30485549017702313</v>
      </c>
      <c r="W25" s="136">
        <v>0.30731262598078252</v>
      </c>
      <c r="X25" s="136">
        <v>0.30978956630357685</v>
      </c>
      <c r="Y25" s="136">
        <v>0.31228647076986549</v>
      </c>
      <c r="Z25" s="136">
        <v>0.31480350029068122</v>
      </c>
      <c r="AA25" s="136">
        <v>0.31734081707399991</v>
      </c>
      <c r="AB25" s="136">
        <v>0.31989858463519422</v>
      </c>
      <c r="AC25" s="136">
        <v>0.32247696780757096</v>
      </c>
      <c r="AD25" s="136">
        <v>0.32507613275299363</v>
      </c>
      <c r="AE25" s="136">
        <v>0.32769624697259059</v>
      </c>
      <c r="AF25" s="136">
        <v>0.33033747931754981</v>
      </c>
      <c r="AG25" s="136">
        <v>0.33299999999999985</v>
      </c>
    </row>
    <row r="26" spans="1:33" s="117" customFormat="1" x14ac:dyDescent="0.35">
      <c r="A26" s="149"/>
      <c r="B26" s="125" t="s">
        <v>71</v>
      </c>
      <c r="C26" s="126"/>
      <c r="D26" s="127">
        <f>D14*T26</f>
        <v>195.49140000000003</v>
      </c>
      <c r="E26" s="127">
        <f t="shared" ref="E26:Q26" si="16">E14*U26</f>
        <v>221.06285215596486</v>
      </c>
      <c r="F26" s="127">
        <f t="shared" si="16"/>
        <v>250.26511253261401</v>
      </c>
      <c r="G26" s="127">
        <f t="shared" si="16"/>
        <v>283.65821167864789</v>
      </c>
      <c r="H26" s="127">
        <f t="shared" si="16"/>
        <v>321.89659849703179</v>
      </c>
      <c r="I26" s="127">
        <f t="shared" si="16"/>
        <v>365.74669714634632</v>
      </c>
      <c r="J26" s="127">
        <f t="shared" si="16"/>
        <v>416.10809559482732</v>
      </c>
      <c r="K26" s="127">
        <f t="shared" si="16"/>
        <v>474.0392049947406</v>
      </c>
      <c r="L26" s="127">
        <f t="shared" si="16"/>
        <v>540.78844504551728</v>
      </c>
      <c r="M26" s="127">
        <f t="shared" si="16"/>
        <v>617.8322878700244</v>
      </c>
      <c r="N26" s="127">
        <f t="shared" si="16"/>
        <v>706.92185062690862</v>
      </c>
      <c r="O26" s="127">
        <f t="shared" si="16"/>
        <v>810.14019043077167</v>
      </c>
      <c r="P26" s="127">
        <f t="shared" si="16"/>
        <v>929.97305801752054</v>
      </c>
      <c r="Q26" s="127">
        <f t="shared" si="16"/>
        <v>1069.39665447525</v>
      </c>
      <c r="R26" s="131">
        <f>RATE(9,,-H26,Q26)</f>
        <v>0.14270946848553234</v>
      </c>
      <c r="S26" s="125" t="s">
        <v>71</v>
      </c>
      <c r="T26" s="135">
        <v>0.20000000000000004</v>
      </c>
      <c r="U26" s="135">
        <v>0.20147169878464574</v>
      </c>
      <c r="V26" s="135">
        <v>0.20295422705585509</v>
      </c>
      <c r="W26" s="135">
        <v>0.20444766450233912</v>
      </c>
      <c r="X26" s="135">
        <v>0.20595209139919785</v>
      </c>
      <c r="Y26" s="135">
        <v>0.20746758861223505</v>
      </c>
      <c r="Z26" s="135">
        <v>0.20899423760230507</v>
      </c>
      <c r="AA26" s="135">
        <v>0.21053212042969136</v>
      </c>
      <c r="AB26" s="135">
        <v>0.21208131975851768</v>
      </c>
      <c r="AC26" s="135">
        <v>0.21364191886119097</v>
      </c>
      <c r="AD26" s="135">
        <v>0.21521400162287799</v>
      </c>
      <c r="AE26" s="135">
        <v>0.21679765254601358</v>
      </c>
      <c r="AF26" s="135">
        <v>0.21839295675484363</v>
      </c>
      <c r="AG26" s="135">
        <v>0.22000000000000006</v>
      </c>
    </row>
    <row r="27" spans="1:33" s="117" customFormat="1" x14ac:dyDescent="0.35">
      <c r="A27" s="149"/>
      <c r="B27" s="125" t="s">
        <v>72</v>
      </c>
      <c r="C27" s="126"/>
      <c r="D27" s="127">
        <f>D14*T27</f>
        <v>146.61854999999997</v>
      </c>
      <c r="E27" s="127">
        <f t="shared" ref="E27:Q27" si="17">E14*U27</f>
        <v>165.7971391169736</v>
      </c>
      <c r="F27" s="127">
        <f t="shared" si="17"/>
        <v>187.69883439946048</v>
      </c>
      <c r="G27" s="127">
        <f t="shared" si="17"/>
        <v>212.7436587589859</v>
      </c>
      <c r="H27" s="127">
        <f t="shared" si="17"/>
        <v>241.42244887277383</v>
      </c>
      <c r="I27" s="127">
        <f t="shared" si="17"/>
        <v>274.31002285975973</v>
      </c>
      <c r="J27" s="127">
        <f t="shared" si="17"/>
        <v>312.08107169612043</v>
      </c>
      <c r="K27" s="127">
        <f t="shared" si="17"/>
        <v>355.52940374605544</v>
      </c>
      <c r="L27" s="127">
        <f t="shared" si="17"/>
        <v>405.59133378413782</v>
      </c>
      <c r="M27" s="127">
        <f t="shared" si="17"/>
        <v>463.3742159025183</v>
      </c>
      <c r="N27" s="127">
        <f t="shared" si="17"/>
        <v>530.19138797018127</v>
      </c>
      <c r="O27" s="127">
        <f t="shared" si="17"/>
        <v>607.60514282307861</v>
      </c>
      <c r="P27" s="127">
        <f t="shared" si="17"/>
        <v>697.47979351314029</v>
      </c>
      <c r="Q27" s="127">
        <f t="shared" si="17"/>
        <v>802.04749085643732</v>
      </c>
      <c r="R27" s="131">
        <f>RATE(9,,-H27,Q27)</f>
        <v>0.14270946848553229</v>
      </c>
      <c r="S27" s="125" t="s">
        <v>72</v>
      </c>
      <c r="T27" s="135">
        <v>0.15</v>
      </c>
      <c r="U27" s="135">
        <v>0.15110377408848427</v>
      </c>
      <c r="V27" s="135">
        <v>0.15221567029189129</v>
      </c>
      <c r="W27" s="135">
        <v>0.15333574837675432</v>
      </c>
      <c r="X27" s="135">
        <v>0.15446406854939837</v>
      </c>
      <c r="Y27" s="135">
        <v>0.15560069145917627</v>
      </c>
      <c r="Z27" s="135">
        <v>0.15674567820172877</v>
      </c>
      <c r="AA27" s="135">
        <v>0.15789909032226851</v>
      </c>
      <c r="AB27" s="135">
        <v>0.15906098981888822</v>
      </c>
      <c r="AC27" s="135">
        <v>0.16023143914589322</v>
      </c>
      <c r="AD27" s="135">
        <v>0.16141050121715844</v>
      </c>
      <c r="AE27" s="135">
        <v>0.16259823940951015</v>
      </c>
      <c r="AF27" s="135">
        <v>0.1637947175661327</v>
      </c>
      <c r="AG27" s="135">
        <v>0.16500000000000001</v>
      </c>
    </row>
    <row r="28" spans="1:33" s="117" customFormat="1" x14ac:dyDescent="0.35">
      <c r="A28" s="149"/>
      <c r="B28" s="125" t="s">
        <v>73</v>
      </c>
      <c r="C28" s="126"/>
      <c r="D28" s="127">
        <f>D14*T28</f>
        <v>68.421989999999994</v>
      </c>
      <c r="E28" s="127">
        <f t="shared" ref="E28:Q28" si="18">E14*U28</f>
        <v>77.215524173804752</v>
      </c>
      <c r="F28" s="127">
        <f t="shared" si="18"/>
        <v>87.238859223748165</v>
      </c>
      <c r="G28" s="127">
        <f t="shared" si="18"/>
        <v>98.679249268771514</v>
      </c>
      <c r="H28" s="127">
        <f t="shared" si="18"/>
        <v>111.75518308214114</v>
      </c>
      <c r="I28" s="127">
        <f t="shared" si="18"/>
        <v>126.72214352184665</v>
      </c>
      <c r="J28" s="127">
        <f t="shared" si="18"/>
        <v>143.87955086035922</v>
      </c>
      <c r="K28" s="127">
        <f t="shared" si="18"/>
        <v>163.57916232595028</v>
      </c>
      <c r="L28" s="127">
        <f t="shared" si="18"/>
        <v>186.23527000954707</v>
      </c>
      <c r="M28" s="127">
        <f t="shared" si="18"/>
        <v>212.3371289073408</v>
      </c>
      <c r="N28" s="127">
        <f t="shared" si="18"/>
        <v>242.46416235944088</v>
      </c>
      <c r="O28" s="127">
        <f t="shared" si="18"/>
        <v>277.30464163130807</v>
      </c>
      <c r="P28" s="127">
        <f t="shared" si="18"/>
        <v>317.67873072705515</v>
      </c>
      <c r="Q28" s="127">
        <f t="shared" si="18"/>
        <v>364.56704129838005</v>
      </c>
      <c r="R28" s="131">
        <f>RATE(9,,-H28,Q28)</f>
        <v>0.14039849787282932</v>
      </c>
      <c r="S28" s="125" t="s">
        <v>73</v>
      </c>
      <c r="T28" s="135">
        <v>7.0000000000000007E-2</v>
      </c>
      <c r="U28" s="135">
        <v>7.0372487625680713E-2</v>
      </c>
      <c r="V28" s="135">
        <v>7.0746957351808359E-2</v>
      </c>
      <c r="W28" s="135">
        <v>7.1123419725638515E-2</v>
      </c>
      <c r="X28" s="135">
        <v>7.1501885350551325E-2</v>
      </c>
      <c r="Y28" s="135">
        <v>7.1882364886350206E-2</v>
      </c>
      <c r="Z28" s="135">
        <v>7.2264869049562072E-2</v>
      </c>
      <c r="AA28" s="135">
        <v>7.2649408613739211E-2</v>
      </c>
      <c r="AB28" s="135">
        <v>7.3035994409762647E-2</v>
      </c>
      <c r="AC28" s="135">
        <v>7.3424637326147249E-2</v>
      </c>
      <c r="AD28" s="135">
        <v>7.3815348309348452E-2</v>
      </c>
      <c r="AE28" s="135">
        <v>7.4208138364070517E-2</v>
      </c>
      <c r="AF28" s="135">
        <v>7.4603018553576511E-2</v>
      </c>
      <c r="AG28" s="135">
        <v>7.4999999999999886E-2</v>
      </c>
    </row>
    <row r="29" spans="1:33" s="117" customFormat="1" x14ac:dyDescent="0.35">
      <c r="A29" s="149"/>
      <c r="B29" s="125" t="s">
        <v>74</v>
      </c>
      <c r="C29" s="126"/>
      <c r="D29" s="127">
        <f>D14*T29</f>
        <v>273.68795999999998</v>
      </c>
      <c r="E29" s="127">
        <f t="shared" ref="E29:Q29" si="19">E14*U29</f>
        <v>301.33951476656557</v>
      </c>
      <c r="F29" s="127">
        <f t="shared" si="19"/>
        <v>331.98761308781144</v>
      </c>
      <c r="G29" s="127">
        <f t="shared" si="19"/>
        <v>365.97882805554087</v>
      </c>
      <c r="H29" s="127">
        <f t="shared" si="19"/>
        <v>403.70282563239397</v>
      </c>
      <c r="I29" s="127">
        <f t="shared" si="19"/>
        <v>445.5982291122686</v>
      </c>
      <c r="J29" s="127">
        <f t="shared" si="19"/>
        <v>492.15937671527422</v>
      </c>
      <c r="K29" s="127">
        <f t="shared" si="19"/>
        <v>543.94412586624969</v>
      </c>
      <c r="L29" s="127">
        <f t="shared" si="19"/>
        <v>601.58288668461933</v>
      </c>
      <c r="M29" s="127">
        <f t="shared" si="19"/>
        <v>665.78910171695429</v>
      </c>
      <c r="N29" s="127">
        <f t="shared" si="19"/>
        <v>737.37142982904243</v>
      </c>
      <c r="O29" s="127">
        <f t="shared" si="19"/>
        <v>817.24794028414067</v>
      </c>
      <c r="P29" s="127">
        <f t="shared" si="19"/>
        <v>906.46267908041739</v>
      </c>
      <c r="Q29" s="127">
        <f t="shared" si="19"/>
        <v>1006.2050339835313</v>
      </c>
      <c r="R29" s="131">
        <f>RATE(9,,-H29,Q29)</f>
        <v>0.10680066327632741</v>
      </c>
      <c r="S29" s="125" t="s">
        <v>74</v>
      </c>
      <c r="T29" s="135">
        <f>1-SUM(T25:T28)</f>
        <v>0.28000000000000003</v>
      </c>
      <c r="U29" s="135">
        <f t="shared" ref="U29:AG29" si="20">1-SUM(U25:U28)</f>
        <v>0.2746340389570634</v>
      </c>
      <c r="V29" s="135">
        <f t="shared" si="20"/>
        <v>0.26922765512342217</v>
      </c>
      <c r="W29" s="135">
        <f t="shared" si="20"/>
        <v>0.26378054141448548</v>
      </c>
      <c r="X29" s="135">
        <f t="shared" si="20"/>
        <v>0.25829238839727564</v>
      </c>
      <c r="Y29" s="135">
        <f t="shared" si="20"/>
        <v>0.25276288427237303</v>
      </c>
      <c r="Z29" s="135">
        <f t="shared" si="20"/>
        <v>0.24719171485572278</v>
      </c>
      <c r="AA29" s="135">
        <f t="shared" si="20"/>
        <v>0.24157856356030094</v>
      </c>
      <c r="AB29" s="135">
        <f t="shared" si="20"/>
        <v>0.23592311137763733</v>
      </c>
      <c r="AC29" s="135">
        <f t="shared" si="20"/>
        <v>0.2302250368591976</v>
      </c>
      <c r="AD29" s="135">
        <f t="shared" si="20"/>
        <v>0.22448401609762159</v>
      </c>
      <c r="AE29" s="135">
        <f t="shared" si="20"/>
        <v>0.21869972270781524</v>
      </c>
      <c r="AF29" s="135">
        <f t="shared" si="20"/>
        <v>0.21287182780789726</v>
      </c>
      <c r="AG29" s="135">
        <f t="shared" si="20"/>
        <v>0.20700000000000018</v>
      </c>
    </row>
    <row r="30" spans="1:33" ht="15" thickBot="1" x14ac:dyDescent="0.4">
      <c r="A30" s="2"/>
      <c r="D30" s="81" t="b">
        <f>D14=SUM(D25:D29)</f>
        <v>1</v>
      </c>
      <c r="E30" s="81" t="b">
        <f t="shared" ref="E30:Q30" si="21">E14=SUM(E25:E29)</f>
        <v>1</v>
      </c>
      <c r="F30" s="81" t="b">
        <f t="shared" si="21"/>
        <v>1</v>
      </c>
      <c r="G30" s="81" t="b">
        <f t="shared" si="21"/>
        <v>1</v>
      </c>
      <c r="H30" s="81" t="b">
        <f t="shared" si="21"/>
        <v>1</v>
      </c>
      <c r="I30" s="81" t="b">
        <f t="shared" si="21"/>
        <v>1</v>
      </c>
      <c r="J30" s="81" t="b">
        <f t="shared" si="21"/>
        <v>1</v>
      </c>
      <c r="K30" s="81" t="b">
        <f t="shared" si="21"/>
        <v>1</v>
      </c>
      <c r="L30" s="81" t="b">
        <f t="shared" si="21"/>
        <v>1</v>
      </c>
      <c r="M30" s="81" t="b">
        <f t="shared" si="21"/>
        <v>1</v>
      </c>
      <c r="N30" s="81" t="b">
        <f t="shared" si="21"/>
        <v>1</v>
      </c>
      <c r="O30" s="81" t="b">
        <f t="shared" si="21"/>
        <v>1</v>
      </c>
      <c r="P30" s="81" t="b">
        <f t="shared" si="21"/>
        <v>1</v>
      </c>
      <c r="Q30" s="81" t="b">
        <f t="shared" si="21"/>
        <v>1</v>
      </c>
      <c r="R30" s="21"/>
    </row>
    <row r="31" spans="1:33" s="117" customFormat="1" x14ac:dyDescent="0.35">
      <c r="A31" s="149" t="s">
        <v>75</v>
      </c>
      <c r="B31" s="128" t="s">
        <v>76</v>
      </c>
      <c r="C31" s="129"/>
      <c r="D31" s="130">
        <f>D14*T31</f>
        <v>244.36424999999997</v>
      </c>
      <c r="E31" s="130">
        <f t="shared" ref="E31:Q31" si="22">E14*U31</f>
        <v>271.62589206001394</v>
      </c>
      <c r="F31" s="130">
        <f t="shared" si="22"/>
        <v>302.27420841574872</v>
      </c>
      <c r="G31" s="130">
        <f t="shared" si="22"/>
        <v>336.77630245777794</v>
      </c>
      <c r="H31" s="130">
        <f t="shared" si="22"/>
        <v>375.67122840923849</v>
      </c>
      <c r="I31" s="130">
        <f t="shared" si="22"/>
        <v>419.58247849075485</v>
      </c>
      <c r="J31" s="130">
        <f t="shared" si="22"/>
        <v>469.23292719321245</v>
      </c>
      <c r="K31" s="130">
        <f t="shared" si="22"/>
        <v>525.46278030704616</v>
      </c>
      <c r="L31" s="130">
        <f t="shared" si="22"/>
        <v>589.25121331855246</v>
      </c>
      <c r="M31" s="130">
        <f t="shared" si="22"/>
        <v>661.74255861015558</v>
      </c>
      <c r="N31" s="130">
        <f t="shared" si="22"/>
        <v>744.2781249822682</v>
      </c>
      <c r="O31" s="130">
        <f t="shared" si="22"/>
        <v>838.43502141641386</v>
      </c>
      <c r="P31" s="130">
        <f t="shared" si="22"/>
        <v>946.07372972812652</v>
      </c>
      <c r="Q31" s="130">
        <f t="shared" si="22"/>
        <v>1069.3966544752491</v>
      </c>
      <c r="R31" s="131">
        <f t="shared" ref="R31:R37" si="23">RATE(9,,-H31,Q31)</f>
        <v>0.12326236892598832</v>
      </c>
      <c r="S31" s="128" t="s">
        <v>76</v>
      </c>
      <c r="T31" s="136">
        <v>0.25</v>
      </c>
      <c r="U31" s="136">
        <v>0.2475537132245817</v>
      </c>
      <c r="V31" s="136">
        <v>0.24513136372511374</v>
      </c>
      <c r="W31" s="136">
        <v>0.24273271727182974</v>
      </c>
      <c r="X31" s="136">
        <v>0.24035754192693604</v>
      </c>
      <c r="Y31" s="136">
        <v>0.23800560802218437</v>
      </c>
      <c r="Z31" s="136">
        <v>0.23567668813666415</v>
      </c>
      <c r="AA31" s="136">
        <v>0.23337055707481172</v>
      </c>
      <c r="AB31" s="136">
        <v>0.23108699184463527</v>
      </c>
      <c r="AC31" s="136">
        <v>0.22882577163615236</v>
      </c>
      <c r="AD31" s="136">
        <v>0.22658667780003872</v>
      </c>
      <c r="AE31" s="136">
        <v>0.22436949382648591</v>
      </c>
      <c r="AF31" s="136">
        <v>0.22217400532426579</v>
      </c>
      <c r="AG31" s="136">
        <v>0.21999999999999989</v>
      </c>
    </row>
    <row r="32" spans="1:33" s="117" customFormat="1" x14ac:dyDescent="0.35">
      <c r="A32" s="149"/>
      <c r="B32" s="128" t="s">
        <v>77</v>
      </c>
      <c r="C32" s="129"/>
      <c r="D32" s="130">
        <f>D14*T32</f>
        <v>195.4914</v>
      </c>
      <c r="E32" s="130">
        <f t="shared" ref="E32:Q32" si="24">E14*U32</f>
        <v>220.67226466088871</v>
      </c>
      <c r="F32" s="130">
        <f t="shared" si="24"/>
        <v>249.38152610716901</v>
      </c>
      <c r="G32" s="130">
        <f t="shared" si="24"/>
        <v>282.15731216470294</v>
      </c>
      <c r="H32" s="130">
        <f t="shared" si="24"/>
        <v>319.62763364631758</v>
      </c>
      <c r="I32" s="130">
        <f t="shared" si="24"/>
        <v>362.5269756480144</v>
      </c>
      <c r="J32" s="130">
        <f t="shared" si="24"/>
        <v>411.71630201176652</v>
      </c>
      <c r="K32" s="130">
        <f t="shared" si="24"/>
        <v>468.20725847916782</v>
      </c>
      <c r="L32" s="130">
        <f t="shared" si="24"/>
        <v>533.19156161981186</v>
      </c>
      <c r="M32" s="130">
        <f t="shared" si="24"/>
        <v>608.07681926923362</v>
      </c>
      <c r="N32" s="130">
        <f t="shared" si="24"/>
        <v>694.53036157059955</v>
      </c>
      <c r="O32" s="130">
        <f t="shared" si="24"/>
        <v>794.53309324520239</v>
      </c>
      <c r="P32" s="130">
        <f t="shared" si="24"/>
        <v>910.44593879233514</v>
      </c>
      <c r="Q32" s="130">
        <f t="shared" si="24"/>
        <v>1045.0921850553593</v>
      </c>
      <c r="R32" s="131">
        <f t="shared" si="23"/>
        <v>0.14069045884097228</v>
      </c>
      <c r="S32" s="128" t="s">
        <v>77</v>
      </c>
      <c r="T32" s="135">
        <v>0.2</v>
      </c>
      <c r="U32" s="135">
        <v>0.20111572614885656</v>
      </c>
      <c r="V32" s="135">
        <v>0.20223767652190933</v>
      </c>
      <c r="W32" s="135">
        <v>0.20336588584180673</v>
      </c>
      <c r="X32" s="135">
        <v>0.20450038902490211</v>
      </c>
      <c r="Y32" s="135">
        <v>0.20564122118233419</v>
      </c>
      <c r="Z32" s="135">
        <v>0.20678841762111386</v>
      </c>
      <c r="AA32" s="135">
        <v>0.20794201384521654</v>
      </c>
      <c r="AB32" s="135">
        <v>0.20910204555668152</v>
      </c>
      <c r="AC32" s="135">
        <v>0.21026854865671646</v>
      </c>
      <c r="AD32" s="135">
        <v>0.21144155924680855</v>
      </c>
      <c r="AE32" s="135">
        <v>0.21262111362984182</v>
      </c>
      <c r="AF32" s="135">
        <v>0.21380724831122089</v>
      </c>
      <c r="AG32" s="135">
        <v>0.21500000000000033</v>
      </c>
    </row>
    <row r="33" spans="1:33" s="117" customFormat="1" x14ac:dyDescent="0.35">
      <c r="A33" s="149"/>
      <c r="B33" s="128" t="s">
        <v>78</v>
      </c>
      <c r="C33" s="129"/>
      <c r="D33" s="132">
        <f>D14*T33</f>
        <v>175.94226</v>
      </c>
      <c r="E33" s="132">
        <f t="shared" ref="E33:Q33" si="25">E14*U33</f>
        <v>197.67118717686751</v>
      </c>
      <c r="F33" s="132">
        <f t="shared" si="25"/>
        <v>222.33764740222776</v>
      </c>
      <c r="G33" s="132">
        <f t="shared" si="25"/>
        <v>250.37625915606858</v>
      </c>
      <c r="H33" s="132">
        <f t="shared" si="25"/>
        <v>282.29245162518112</v>
      </c>
      <c r="I33" s="132">
        <f t="shared" si="25"/>
        <v>318.6752851204659</v>
      </c>
      <c r="J33" s="132">
        <f t="shared" si="25"/>
        <v>360.21287158994306</v>
      </c>
      <c r="K33" s="132">
        <f t="shared" si="25"/>
        <v>407.71098745730308</v>
      </c>
      <c r="L33" s="132">
        <f t="shared" si="25"/>
        <v>462.11562174269062</v>
      </c>
      <c r="M33" s="132">
        <f t="shared" si="25"/>
        <v>524.54039552409427</v>
      </c>
      <c r="N33" s="132">
        <f t="shared" si="25"/>
        <v>596.30003724951405</v>
      </c>
      <c r="O33" s="132">
        <f t="shared" si="25"/>
        <v>678.95141945758064</v>
      </c>
      <c r="P33" s="132">
        <f t="shared" si="25"/>
        <v>774.34407911793937</v>
      </c>
      <c r="Q33" s="132">
        <f t="shared" si="25"/>
        <v>884.68268688406897</v>
      </c>
      <c r="R33" s="131">
        <f t="shared" si="23"/>
        <v>0.13532687413754679</v>
      </c>
      <c r="S33" s="128" t="s">
        <v>78</v>
      </c>
      <c r="T33" s="135">
        <v>0.18000000000000002</v>
      </c>
      <c r="U33" s="135">
        <v>0.18015306277331314</v>
      </c>
      <c r="V33" s="135">
        <v>0.18030625570336284</v>
      </c>
      <c r="W33" s="135">
        <v>0.18045957890082762</v>
      </c>
      <c r="X33" s="135">
        <v>0.18061303247648028</v>
      </c>
      <c r="Y33" s="135">
        <v>0.18076661654118778</v>
      </c>
      <c r="Z33" s="135">
        <v>0.18092033120591131</v>
      </c>
      <c r="AA33" s="135">
        <v>0.18107417658170627</v>
      </c>
      <c r="AB33" s="135">
        <v>0.1812281527797229</v>
      </c>
      <c r="AC33" s="135">
        <v>0.1813822599112056</v>
      </c>
      <c r="AD33" s="135">
        <v>0.18153649808749345</v>
      </c>
      <c r="AE33" s="135">
        <v>0.18169086742002025</v>
      </c>
      <c r="AF33" s="135">
        <v>0.18184536802031454</v>
      </c>
      <c r="AG33" s="135">
        <v>0.18199999999999975</v>
      </c>
    </row>
    <row r="34" spans="1:33" s="117" customFormat="1" x14ac:dyDescent="0.35">
      <c r="A34" s="149"/>
      <c r="B34" s="128" t="s">
        <v>79</v>
      </c>
      <c r="C34" s="129"/>
      <c r="D34" s="132">
        <f>D14*T34</f>
        <v>117.29483999999997</v>
      </c>
      <c r="E34" s="132">
        <f t="shared" ref="E34:Q34" si="26">E14*U34</f>
        <v>131.91916064947651</v>
      </c>
      <c r="F34" s="132">
        <f t="shared" si="26"/>
        <v>148.53653296768013</v>
      </c>
      <c r="G34" s="132">
        <f t="shared" si="26"/>
        <v>167.44384611155945</v>
      </c>
      <c r="H34" s="132">
        <f t="shared" si="26"/>
        <v>188.98662876991008</v>
      </c>
      <c r="I34" s="132">
        <f t="shared" si="26"/>
        <v>213.56789318001344</v>
      </c>
      <c r="J34" s="132">
        <f t="shared" si="26"/>
        <v>241.65877840998814</v>
      </c>
      <c r="K34" s="132">
        <f t="shared" si="26"/>
        <v>273.81140365955599</v>
      </c>
      <c r="L34" s="132">
        <f t="shared" si="26"/>
        <v>310.67444705900402</v>
      </c>
      <c r="M34" s="132">
        <f t="shared" si="26"/>
        <v>353.01209966470805</v>
      </c>
      <c r="N34" s="132">
        <f t="shared" si="26"/>
        <v>401.72721710564218</v>
      </c>
      <c r="O34" s="132">
        <f t="shared" si="26"/>
        <v>457.88971465743981</v>
      </c>
      <c r="P34" s="132">
        <f t="shared" si="26"/>
        <v>522.77154146594546</v>
      </c>
      <c r="Q34" s="132">
        <f t="shared" si="26"/>
        <v>597.88994772934279</v>
      </c>
      <c r="R34" s="131">
        <f t="shared" si="23"/>
        <v>0.13651896190307433</v>
      </c>
      <c r="S34" s="128" t="s">
        <v>79</v>
      </c>
      <c r="T34" s="135">
        <v>0.11999999999999998</v>
      </c>
      <c r="U34" s="135">
        <v>0.1202281484161041</v>
      </c>
      <c r="V34" s="135">
        <v>0.12045673059637299</v>
      </c>
      <c r="W34" s="135">
        <v>0.12068574736549501</v>
      </c>
      <c r="X34" s="135">
        <v>0.12091519954972652</v>
      </c>
      <c r="Y34" s="135">
        <v>0.1211450879768947</v>
      </c>
      <c r="Z34" s="135">
        <v>0.12137541347640074</v>
      </c>
      <c r="AA34" s="135">
        <v>0.12160617687922258</v>
      </c>
      <c r="AB34" s="135">
        <v>0.12183737901791819</v>
      </c>
      <c r="AC34" s="135">
        <v>0.12206902072662833</v>
      </c>
      <c r="AD34" s="135">
        <v>0.1223011028410797</v>
      </c>
      <c r="AE34" s="135">
        <v>0.12253362619858783</v>
      </c>
      <c r="AF34" s="135">
        <v>0.12276659163806038</v>
      </c>
      <c r="AG34" s="135">
        <v>0.12299999999999972</v>
      </c>
    </row>
    <row r="35" spans="1:33" s="117" customFormat="1" x14ac:dyDescent="0.35">
      <c r="A35" s="149"/>
      <c r="B35" s="128" t="s">
        <v>80</v>
      </c>
      <c r="C35" s="129"/>
      <c r="D35" s="132">
        <f>D14*T35</f>
        <v>97.745699999999971</v>
      </c>
      <c r="E35" s="132">
        <f t="shared" ref="E35:Q35" si="27">E14*U35</f>
        <v>110.13660034395078</v>
      </c>
      <c r="F35" s="132">
        <f t="shared" si="27"/>
        <v>124.24018899775768</v>
      </c>
      <c r="G35" s="132">
        <f t="shared" si="27"/>
        <v>140.31465895914769</v>
      </c>
      <c r="H35" s="132">
        <f t="shared" si="27"/>
        <v>158.66091894473291</v>
      </c>
      <c r="I35" s="132">
        <f t="shared" si="27"/>
        <v>179.63041951817337</v>
      </c>
      <c r="J35" s="132">
        <f t="shared" si="27"/>
        <v>203.63458032512739</v>
      </c>
      <c r="K35" s="132">
        <f t="shared" si="27"/>
        <v>231.15618543760058</v>
      </c>
      <c r="L35" s="132">
        <f t="shared" si="27"/>
        <v>262.76320768256147</v>
      </c>
      <c r="M35" s="132">
        <f t="shared" si="27"/>
        <v>299.12564321453357</v>
      </c>
      <c r="N35" s="132">
        <f t="shared" si="27"/>
        <v>341.03609264627505</v>
      </c>
      <c r="O35" s="132">
        <f t="shared" si="27"/>
        <v>389.43502563091369</v>
      </c>
      <c r="P35" s="132">
        <f t="shared" si="27"/>
        <v>445.44192639601238</v>
      </c>
      <c r="Q35" s="132">
        <f t="shared" si="27"/>
        <v>510.39385781773291</v>
      </c>
      <c r="R35" s="131">
        <f t="shared" si="23"/>
        <v>0.13862763292880678</v>
      </c>
      <c r="S35" s="128" t="s">
        <v>80</v>
      </c>
      <c r="T35" s="135">
        <v>9.9999999999999978E-2</v>
      </c>
      <c r="U35" s="135">
        <v>0.10037601412111624</v>
      </c>
      <c r="V35" s="135">
        <v>0.10075344210842527</v>
      </c>
      <c r="W35" s="135">
        <v>0.10113228927826363</v>
      </c>
      <c r="X35" s="135">
        <v>0.10151256096695804</v>
      </c>
      <c r="Y35" s="135">
        <v>0.10189426253090056</v>
      </c>
      <c r="Z35" s="135">
        <v>0.102277399346624</v>
      </c>
      <c r="AA35" s="135">
        <v>0.10266197681087777</v>
      </c>
      <c r="AB35" s="135">
        <v>0.10304800034070376</v>
      </c>
      <c r="AC35" s="135">
        <v>0.10343547537351272</v>
      </c>
      <c r="AD35" s="135">
        <v>0.10382440736716086</v>
      </c>
      <c r="AE35" s="135">
        <v>0.10421480180002665</v>
      </c>
      <c r="AF35" s="135">
        <v>0.10460666417108806</v>
      </c>
      <c r="AG35" s="135">
        <v>0.10500000000000002</v>
      </c>
    </row>
    <row r="36" spans="1:33" s="117" customFormat="1" x14ac:dyDescent="0.35">
      <c r="A36" s="149"/>
      <c r="B36" s="128" t="s">
        <v>81</v>
      </c>
      <c r="C36" s="129"/>
      <c r="D36" s="132">
        <f>D14*T36</f>
        <v>127.06941000000005</v>
      </c>
      <c r="E36" s="132">
        <f t="shared" ref="E36:Q36" si="28">E14*U36</f>
        <v>142.97413965392275</v>
      </c>
      <c r="F36" s="132">
        <f t="shared" si="28"/>
        <v>161.05358680358106</v>
      </c>
      <c r="G36" s="132">
        <f t="shared" si="28"/>
        <v>181.6326067456456</v>
      </c>
      <c r="H36" s="132">
        <f t="shared" si="28"/>
        <v>205.08939739856393</v>
      </c>
      <c r="I36" s="132">
        <f t="shared" si="28"/>
        <v>231.86521559981318</v>
      </c>
      <c r="J36" s="132">
        <f t="shared" si="28"/>
        <v>262.47607269037206</v>
      </c>
      <c r="K36" s="132">
        <f t="shared" si="28"/>
        <v>297.52686166066252</v>
      </c>
      <c r="L36" s="132">
        <f t="shared" si="28"/>
        <v>337.72848353128973</v>
      </c>
      <c r="M36" s="132">
        <f t="shared" si="28"/>
        <v>383.91868855999769</v>
      </c>
      <c r="N36" s="132">
        <f t="shared" si="28"/>
        <v>437.08753828500585</v>
      </c>
      <c r="O36" s="132">
        <f t="shared" si="28"/>
        <v>498.40864060965561</v>
      </c>
      <c r="P36" s="132">
        <f t="shared" si="28"/>
        <v>569.27762982891306</v>
      </c>
      <c r="Q36" s="132">
        <f t="shared" si="28"/>
        <v>651.35978045310731</v>
      </c>
      <c r="R36" s="131">
        <f t="shared" si="23"/>
        <v>0.13700975876260174</v>
      </c>
      <c r="S36" s="128" t="s">
        <v>81</v>
      </c>
      <c r="T36" s="133">
        <v>0.13000000000000006</v>
      </c>
      <c r="U36" s="133">
        <v>0.13030340700583309</v>
      </c>
      <c r="V36" s="133">
        <v>0.13060752213329063</v>
      </c>
      <c r="W36" s="133">
        <v>0.13091234703505783</v>
      </c>
      <c r="X36" s="133">
        <v>0.13121788336767692</v>
      </c>
      <c r="Y36" s="133">
        <v>0.13152413279155642</v>
      </c>
      <c r="Z36" s="133">
        <v>0.13183109697098006</v>
      </c>
      <c r="AA36" s="133">
        <v>0.13213877757411582</v>
      </c>
      <c r="AB36" s="133">
        <v>0.13244717627302502</v>
      </c>
      <c r="AC36" s="133">
        <v>0.13275629474367151</v>
      </c>
      <c r="AD36" s="133">
        <v>0.13306613466593045</v>
      </c>
      <c r="AE36" s="133">
        <v>0.13337669772359789</v>
      </c>
      <c r="AF36" s="133">
        <v>0.13368798560439951</v>
      </c>
      <c r="AG36" s="133">
        <v>0.13400000000000015</v>
      </c>
    </row>
    <row r="37" spans="1:33" s="117" customFormat="1" x14ac:dyDescent="0.35">
      <c r="A37" s="149"/>
      <c r="B37" s="128" t="s">
        <v>82</v>
      </c>
      <c r="C37" s="129"/>
      <c r="D37" s="132">
        <f>D14*T37</f>
        <v>19.549140000000016</v>
      </c>
      <c r="E37" s="132">
        <f t="shared" ref="E37:Q37" si="29">E14*U37</f>
        <v>22.240980704879991</v>
      </c>
      <c r="F37" s="132">
        <f t="shared" si="29"/>
        <v>25.287420924804209</v>
      </c>
      <c r="G37" s="132">
        <f t="shared" si="29"/>
        <v>28.735805963078661</v>
      </c>
      <c r="H37" s="132">
        <f t="shared" si="29"/>
        <v>32.64008161051531</v>
      </c>
      <c r="I37" s="132">
        <f t="shared" si="29"/>
        <v>37.061783081763963</v>
      </c>
      <c r="J37" s="132">
        <f t="shared" si="29"/>
        <v>42.071188087310404</v>
      </c>
      <c r="K37" s="132">
        <f t="shared" si="29"/>
        <v>47.748664850449323</v>
      </c>
      <c r="L37" s="132">
        <f t="shared" si="29"/>
        <v>54.186252385944378</v>
      </c>
      <c r="M37" s="132">
        <f t="shared" si="29"/>
        <v>61.489518356885768</v>
      </c>
      <c r="N37" s="132">
        <f t="shared" si="29"/>
        <v>69.7797496684869</v>
      </c>
      <c r="O37" s="132">
        <f t="shared" si="29"/>
        <v>79.196543068258805</v>
      </c>
      <c r="P37" s="132">
        <f t="shared" si="29"/>
        <v>89.900877914857205</v>
      </c>
      <c r="Q37" s="132">
        <f t="shared" si="29"/>
        <v>102.07877156354719</v>
      </c>
      <c r="R37" s="131">
        <f t="shared" si="23"/>
        <v>0.13506430545394355</v>
      </c>
      <c r="S37" s="128" t="s">
        <v>82</v>
      </c>
      <c r="T37" s="133">
        <f>1-SUM(T31:T36)</f>
        <v>2.0000000000000018E-2</v>
      </c>
      <c r="U37" s="133">
        <f t="shared" ref="U37:AG37" si="30">1-SUM(U31:U36)</f>
        <v>2.0269928310195251E-2</v>
      </c>
      <c r="V37" s="133">
        <f t="shared" si="30"/>
        <v>2.0507009211525151E-2</v>
      </c>
      <c r="W37" s="133">
        <f t="shared" si="30"/>
        <v>2.0711434306719401E-2</v>
      </c>
      <c r="X37" s="133">
        <f t="shared" si="30"/>
        <v>2.088339268732009E-2</v>
      </c>
      <c r="Y37" s="133">
        <f t="shared" si="30"/>
        <v>2.1023070954941936E-2</v>
      </c>
      <c r="Z37" s="133">
        <f t="shared" si="30"/>
        <v>2.1130653242306008E-2</v>
      </c>
      <c r="AA37" s="133">
        <f t="shared" si="30"/>
        <v>2.1206321234049197E-2</v>
      </c>
      <c r="AB37" s="133">
        <f t="shared" si="30"/>
        <v>2.1250254187313411E-2</v>
      </c>
      <c r="AC37" s="133">
        <f t="shared" si="30"/>
        <v>2.1262628952113172E-2</v>
      </c>
      <c r="AD37" s="133">
        <f t="shared" si="30"/>
        <v>2.1243619991488383E-2</v>
      </c>
      <c r="AE37" s="133">
        <f t="shared" si="30"/>
        <v>2.1193399401439716E-2</v>
      </c>
      <c r="AF37" s="133">
        <f t="shared" si="30"/>
        <v>2.1112136930650727E-2</v>
      </c>
      <c r="AG37" s="133">
        <f t="shared" si="30"/>
        <v>2.100000000000013E-2</v>
      </c>
    </row>
    <row r="38" spans="1:33" x14ac:dyDescent="0.35">
      <c r="D38" t="b">
        <f>D14=SUM(D31:D37)</f>
        <v>1</v>
      </c>
      <c r="E38" t="b">
        <f t="shared" ref="E38:Q38" si="31">E14=SUM(E31:E37)</f>
        <v>1</v>
      </c>
      <c r="F38" t="b">
        <f t="shared" si="31"/>
        <v>1</v>
      </c>
      <c r="G38" t="b">
        <f t="shared" si="31"/>
        <v>1</v>
      </c>
      <c r="H38" t="b">
        <f t="shared" si="31"/>
        <v>1</v>
      </c>
      <c r="I38" t="b">
        <f t="shared" si="31"/>
        <v>1</v>
      </c>
      <c r="J38" t="b">
        <f t="shared" si="31"/>
        <v>1</v>
      </c>
      <c r="K38" t="b">
        <f t="shared" si="31"/>
        <v>1</v>
      </c>
      <c r="L38" t="b">
        <f t="shared" si="31"/>
        <v>1</v>
      </c>
      <c r="M38" t="b">
        <f t="shared" si="31"/>
        <v>1</v>
      </c>
      <c r="N38" t="b">
        <f t="shared" si="31"/>
        <v>1</v>
      </c>
      <c r="O38" t="b">
        <f t="shared" si="31"/>
        <v>0</v>
      </c>
      <c r="P38" t="b">
        <f t="shared" si="31"/>
        <v>1</v>
      </c>
      <c r="Q38" t="b">
        <f t="shared" si="31"/>
        <v>1</v>
      </c>
    </row>
    <row r="39" spans="1:33" ht="25" x14ac:dyDescent="0.5">
      <c r="A39" s="146" t="s">
        <v>102</v>
      </c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63"/>
    </row>
    <row r="40" spans="1:33" ht="23.5" thickBot="1" x14ac:dyDescent="0.55000000000000004">
      <c r="A40" s="63"/>
      <c r="B40" s="63"/>
      <c r="C40" s="63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</row>
    <row r="41" spans="1:33" ht="15.5" hidden="1" customHeight="1" x14ac:dyDescent="0.35">
      <c r="A41" s="42"/>
      <c r="B41" s="43"/>
      <c r="C41" s="93"/>
      <c r="D41" s="91">
        <v>2023</v>
      </c>
      <c r="E41" s="65">
        <v>2024</v>
      </c>
      <c r="F41" s="65">
        <v>2025</v>
      </c>
      <c r="G41" s="65">
        <v>2026</v>
      </c>
      <c r="H41" s="65">
        <v>2027</v>
      </c>
      <c r="I41" s="65">
        <v>2028</v>
      </c>
      <c r="J41" s="65">
        <v>2029</v>
      </c>
      <c r="K41" s="65">
        <v>2030</v>
      </c>
      <c r="L41" s="65">
        <v>2031</v>
      </c>
      <c r="M41" s="65">
        <v>2032</v>
      </c>
      <c r="N41" s="65">
        <v>2033</v>
      </c>
      <c r="O41" s="65">
        <v>2034</v>
      </c>
      <c r="P41" s="65">
        <v>2035</v>
      </c>
      <c r="Q41" s="65">
        <v>2036</v>
      </c>
      <c r="R41" s="66" t="s">
        <v>13</v>
      </c>
    </row>
    <row r="42" spans="1:33" ht="16" hidden="1" customHeight="1" thickBot="1" x14ac:dyDescent="0.4">
      <c r="A42" s="25"/>
      <c r="B42" s="94"/>
      <c r="C42" s="95"/>
      <c r="D42" s="92" t="e">
        <f>#REF!</f>
        <v>#REF!</v>
      </c>
      <c r="E42" s="92" t="e">
        <f>#REF!</f>
        <v>#REF!</v>
      </c>
      <c r="F42" s="92" t="e">
        <f>#REF!</f>
        <v>#REF!</v>
      </c>
      <c r="G42" s="92" t="e">
        <f>#REF!</f>
        <v>#REF!</v>
      </c>
      <c r="H42" s="92" t="e">
        <f>#REF!</f>
        <v>#REF!</v>
      </c>
      <c r="I42" s="92" t="e">
        <f>#REF!</f>
        <v>#REF!</v>
      </c>
      <c r="J42" s="92" t="e">
        <f>#REF!</f>
        <v>#REF!</v>
      </c>
      <c r="K42" s="92" t="e">
        <f>#REF!</f>
        <v>#REF!</v>
      </c>
      <c r="L42" s="92" t="e">
        <f>#REF!</f>
        <v>#REF!</v>
      </c>
      <c r="M42" s="92" t="e">
        <f>#REF!</f>
        <v>#REF!</v>
      </c>
      <c r="N42" s="92" t="e">
        <f>#REF!</f>
        <v>#REF!</v>
      </c>
      <c r="O42" s="92" t="e">
        <f>#REF!</f>
        <v>#REF!</v>
      </c>
      <c r="P42" s="92" t="e">
        <f>#REF!</f>
        <v>#REF!</v>
      </c>
      <c r="Q42" s="92" t="e">
        <f>#REF!</f>
        <v>#REF!</v>
      </c>
      <c r="R42" s="68" t="e">
        <f>RATE(12,,-E42,Q42)</f>
        <v>#REF!</v>
      </c>
      <c r="T42" s="65">
        <v>2023</v>
      </c>
      <c r="U42" s="65">
        <v>2024</v>
      </c>
      <c r="V42" s="65">
        <v>2025</v>
      </c>
      <c r="W42" s="65">
        <v>2026</v>
      </c>
      <c r="X42" s="65">
        <v>2027</v>
      </c>
      <c r="Y42" s="65">
        <v>2028</v>
      </c>
      <c r="Z42" s="65">
        <v>2029</v>
      </c>
      <c r="AA42" s="65">
        <v>2030</v>
      </c>
      <c r="AB42" s="65">
        <v>2031</v>
      </c>
      <c r="AC42" s="65">
        <v>2032</v>
      </c>
      <c r="AD42" s="65">
        <v>2033</v>
      </c>
      <c r="AE42" s="65">
        <v>2034</v>
      </c>
      <c r="AF42" s="65">
        <v>2035</v>
      </c>
      <c r="AG42" s="65">
        <v>2036</v>
      </c>
    </row>
    <row r="43" spans="1:33" ht="14.5" hidden="1" customHeight="1" x14ac:dyDescent="0.35">
      <c r="A43" s="152" t="s">
        <v>49</v>
      </c>
      <c r="B43" s="52" t="s">
        <v>34</v>
      </c>
      <c r="C43" s="45"/>
      <c r="D43" s="79" t="e">
        <f t="shared" ref="D43:Q43" si="32">D42*T43</f>
        <v>#REF!</v>
      </c>
      <c r="E43" s="79" t="e">
        <f t="shared" si="32"/>
        <v>#REF!</v>
      </c>
      <c r="F43" s="79" t="e">
        <f t="shared" si="32"/>
        <v>#REF!</v>
      </c>
      <c r="G43" s="79" t="e">
        <f t="shared" si="32"/>
        <v>#REF!</v>
      </c>
      <c r="H43" s="79" t="e">
        <f t="shared" si="32"/>
        <v>#REF!</v>
      </c>
      <c r="I43" s="79" t="e">
        <f t="shared" si="32"/>
        <v>#REF!</v>
      </c>
      <c r="J43" s="79" t="e">
        <f t="shared" si="32"/>
        <v>#REF!</v>
      </c>
      <c r="K43" s="79" t="e">
        <f t="shared" si="32"/>
        <v>#REF!</v>
      </c>
      <c r="L43" s="79" t="e">
        <f t="shared" si="32"/>
        <v>#REF!</v>
      </c>
      <c r="M43" s="79" t="e">
        <f t="shared" si="32"/>
        <v>#REF!</v>
      </c>
      <c r="N43" s="79" t="e">
        <f t="shared" si="32"/>
        <v>#REF!</v>
      </c>
      <c r="O43" s="79" t="e">
        <f t="shared" si="32"/>
        <v>#REF!</v>
      </c>
      <c r="P43" s="79" t="e">
        <f t="shared" si="32"/>
        <v>#REF!</v>
      </c>
      <c r="Q43" s="79" t="e">
        <f t="shared" si="32"/>
        <v>#REF!</v>
      </c>
      <c r="R43" s="77" t="e">
        <f>RATE(12,,-E43,Q43)</f>
        <v>#REF!</v>
      </c>
      <c r="S43" s="52"/>
      <c r="T43" s="12">
        <v>0.56000000000000005</v>
      </c>
      <c r="U43" s="12">
        <v>0.56092161367703952</v>
      </c>
      <c r="V43" s="12">
        <v>0.56184474408938223</v>
      </c>
      <c r="W43" s="12">
        <v>0.56276939373317769</v>
      </c>
      <c r="X43" s="12">
        <v>0.56369556510868446</v>
      </c>
      <c r="Y43" s="12">
        <v>0.56462326072027491</v>
      </c>
      <c r="Z43" s="12">
        <v>0.56555248307644368</v>
      </c>
      <c r="AA43" s="12">
        <v>0.56648323468981299</v>
      </c>
      <c r="AB43" s="12">
        <v>0.56741551807714108</v>
      </c>
      <c r="AC43" s="12">
        <v>0.56834933575932756</v>
      </c>
      <c r="AD43" s="12">
        <v>0.56928469026142059</v>
      </c>
      <c r="AE43" s="12">
        <v>0.57022158411262425</v>
      </c>
      <c r="AF43" s="12">
        <v>0.57116001984630527</v>
      </c>
      <c r="AG43" s="12">
        <v>0.57209999999999905</v>
      </c>
    </row>
    <row r="44" spans="1:33" ht="15" hidden="1" customHeight="1" thickBot="1" x14ac:dyDescent="0.4">
      <c r="A44" s="153"/>
      <c r="B44" s="53" t="s">
        <v>35</v>
      </c>
      <c r="C44" s="46"/>
      <c r="D44" s="80" t="e">
        <f t="shared" ref="D44:Q44" si="33">D42*T44</f>
        <v>#REF!</v>
      </c>
      <c r="E44" s="80" t="e">
        <f t="shared" si="33"/>
        <v>#REF!</v>
      </c>
      <c r="F44" s="80" t="e">
        <f t="shared" si="33"/>
        <v>#REF!</v>
      </c>
      <c r="G44" s="80" t="e">
        <f t="shared" si="33"/>
        <v>#REF!</v>
      </c>
      <c r="H44" s="80" t="e">
        <f t="shared" si="33"/>
        <v>#REF!</v>
      </c>
      <c r="I44" s="80" t="e">
        <f t="shared" si="33"/>
        <v>#REF!</v>
      </c>
      <c r="J44" s="80" t="e">
        <f t="shared" si="33"/>
        <v>#REF!</v>
      </c>
      <c r="K44" s="80" t="e">
        <f t="shared" si="33"/>
        <v>#REF!</v>
      </c>
      <c r="L44" s="80" t="e">
        <f t="shared" si="33"/>
        <v>#REF!</v>
      </c>
      <c r="M44" s="80" t="e">
        <f t="shared" si="33"/>
        <v>#REF!</v>
      </c>
      <c r="N44" s="80" t="e">
        <f t="shared" si="33"/>
        <v>#REF!</v>
      </c>
      <c r="O44" s="80" t="e">
        <f t="shared" si="33"/>
        <v>#REF!</v>
      </c>
      <c r="P44" s="80" t="e">
        <f t="shared" si="33"/>
        <v>#REF!</v>
      </c>
      <c r="Q44" s="80" t="e">
        <f t="shared" si="33"/>
        <v>#REF!</v>
      </c>
      <c r="R44" s="78" t="e">
        <f>RATE(12,,-E44,Q44)</f>
        <v>#REF!</v>
      </c>
      <c r="S44" s="53"/>
      <c r="T44" s="12">
        <f>1-T43</f>
        <v>0.43999999999999995</v>
      </c>
      <c r="U44" s="12">
        <f t="shared" ref="U44:AG44" si="34">1-U43</f>
        <v>0.43907838632296048</v>
      </c>
      <c r="V44" s="12">
        <f t="shared" si="34"/>
        <v>0.43815525591061777</v>
      </c>
      <c r="W44" s="12">
        <f t="shared" si="34"/>
        <v>0.43723060626682231</v>
      </c>
      <c r="X44" s="12">
        <f t="shared" si="34"/>
        <v>0.43630443489131554</v>
      </c>
      <c r="Y44" s="12">
        <f t="shared" si="34"/>
        <v>0.43537673927972509</v>
      </c>
      <c r="Z44" s="12">
        <f t="shared" si="34"/>
        <v>0.43444751692355632</v>
      </c>
      <c r="AA44" s="12">
        <f t="shared" si="34"/>
        <v>0.43351676531018701</v>
      </c>
      <c r="AB44" s="12">
        <f t="shared" si="34"/>
        <v>0.43258448192285892</v>
      </c>
      <c r="AC44" s="12">
        <f t="shared" si="34"/>
        <v>0.43165066424067244</v>
      </c>
      <c r="AD44" s="12">
        <f t="shared" si="34"/>
        <v>0.43071530973857941</v>
      </c>
      <c r="AE44" s="12">
        <f t="shared" si="34"/>
        <v>0.42977841588737575</v>
      </c>
      <c r="AF44" s="12">
        <f t="shared" si="34"/>
        <v>0.42883998015369473</v>
      </c>
      <c r="AG44" s="12">
        <f t="shared" si="34"/>
        <v>0.42790000000000095</v>
      </c>
    </row>
    <row r="45" spans="1:33" ht="15" hidden="1" customHeight="1" thickBot="1" x14ac:dyDescent="0.4">
      <c r="A45" s="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21"/>
    </row>
    <row r="46" spans="1:33" ht="14.5" hidden="1" customHeight="1" x14ac:dyDescent="0.35">
      <c r="A46" s="152" t="s">
        <v>15</v>
      </c>
      <c r="B46" s="57" t="s">
        <v>16</v>
      </c>
      <c r="C46" s="47"/>
      <c r="D46" s="82" t="e">
        <f t="shared" ref="D46:Q46" si="35">D42*T46</f>
        <v>#REF!</v>
      </c>
      <c r="E46" s="82" t="e">
        <f t="shared" si="35"/>
        <v>#REF!</v>
      </c>
      <c r="F46" s="82" t="e">
        <f t="shared" si="35"/>
        <v>#REF!</v>
      </c>
      <c r="G46" s="82" t="e">
        <f t="shared" si="35"/>
        <v>#REF!</v>
      </c>
      <c r="H46" s="82" t="e">
        <f t="shared" si="35"/>
        <v>#REF!</v>
      </c>
      <c r="I46" s="82" t="e">
        <f t="shared" si="35"/>
        <v>#REF!</v>
      </c>
      <c r="J46" s="82" t="e">
        <f t="shared" si="35"/>
        <v>#REF!</v>
      </c>
      <c r="K46" s="82" t="e">
        <f t="shared" si="35"/>
        <v>#REF!</v>
      </c>
      <c r="L46" s="82" t="e">
        <f t="shared" si="35"/>
        <v>#REF!</v>
      </c>
      <c r="M46" s="82" t="e">
        <f t="shared" si="35"/>
        <v>#REF!</v>
      </c>
      <c r="N46" s="82" t="e">
        <f t="shared" si="35"/>
        <v>#REF!</v>
      </c>
      <c r="O46" s="82" t="e">
        <f t="shared" si="35"/>
        <v>#REF!</v>
      </c>
      <c r="P46" s="82" t="e">
        <f t="shared" si="35"/>
        <v>#REF!</v>
      </c>
      <c r="Q46" s="82" t="e">
        <f t="shared" si="35"/>
        <v>#REF!</v>
      </c>
      <c r="R46" s="69" t="e">
        <f>RATE(12,,-E46,Q46)</f>
        <v>#REF!</v>
      </c>
      <c r="S46" s="57"/>
      <c r="T46" s="12">
        <v>0.47099999999999992</v>
      </c>
      <c r="U46" s="12">
        <v>0.47038461538461535</v>
      </c>
      <c r="V46" s="12">
        <v>0.46976923076923072</v>
      </c>
      <c r="W46" s="12">
        <v>0.46915384615384609</v>
      </c>
      <c r="X46" s="12">
        <v>0.46853846153846151</v>
      </c>
      <c r="Y46" s="12">
        <v>0.46792307692307689</v>
      </c>
      <c r="Z46" s="12">
        <v>0.46730769230769226</v>
      </c>
      <c r="AA46" s="12">
        <v>0.46669230769230763</v>
      </c>
      <c r="AB46" s="12">
        <v>0.46607692307692306</v>
      </c>
      <c r="AC46" s="12">
        <v>0.46546153846153843</v>
      </c>
      <c r="AD46" s="12">
        <v>0.4648461538461538</v>
      </c>
      <c r="AE46" s="12">
        <v>0.46423076923076922</v>
      </c>
      <c r="AF46" s="12">
        <v>0.4636153846153846</v>
      </c>
      <c r="AG46" s="12">
        <v>0.46299999999999997</v>
      </c>
    </row>
    <row r="47" spans="1:33" ht="15" hidden="1" customHeight="1" thickBot="1" x14ac:dyDescent="0.4">
      <c r="A47" s="153"/>
      <c r="B47" s="58" t="s">
        <v>17</v>
      </c>
      <c r="C47" s="48"/>
      <c r="D47" s="83" t="e">
        <f t="shared" ref="D47:Q47" si="36">D42*T47</f>
        <v>#REF!</v>
      </c>
      <c r="E47" s="83" t="e">
        <f t="shared" si="36"/>
        <v>#REF!</v>
      </c>
      <c r="F47" s="83" t="e">
        <f t="shared" si="36"/>
        <v>#REF!</v>
      </c>
      <c r="G47" s="83" t="e">
        <f t="shared" si="36"/>
        <v>#REF!</v>
      </c>
      <c r="H47" s="83" t="e">
        <f t="shared" si="36"/>
        <v>#REF!</v>
      </c>
      <c r="I47" s="83" t="e">
        <f t="shared" si="36"/>
        <v>#REF!</v>
      </c>
      <c r="J47" s="83" t="e">
        <f t="shared" si="36"/>
        <v>#REF!</v>
      </c>
      <c r="K47" s="83" t="e">
        <f t="shared" si="36"/>
        <v>#REF!</v>
      </c>
      <c r="L47" s="83" t="e">
        <f t="shared" si="36"/>
        <v>#REF!</v>
      </c>
      <c r="M47" s="83" t="e">
        <f t="shared" si="36"/>
        <v>#REF!</v>
      </c>
      <c r="N47" s="83" t="e">
        <f t="shared" si="36"/>
        <v>#REF!</v>
      </c>
      <c r="O47" s="83" t="e">
        <f t="shared" si="36"/>
        <v>#REF!</v>
      </c>
      <c r="P47" s="83" t="e">
        <f t="shared" si="36"/>
        <v>#REF!</v>
      </c>
      <c r="Q47" s="83" t="e">
        <f t="shared" si="36"/>
        <v>#REF!</v>
      </c>
      <c r="R47" s="70" t="e">
        <f>RATE(12,,-E47,Q47)</f>
        <v>#REF!</v>
      </c>
      <c r="S47" s="58"/>
      <c r="T47" s="12">
        <f>1-T46</f>
        <v>0.52900000000000014</v>
      </c>
      <c r="U47" s="12">
        <f t="shared" ref="U47:AG47" si="37">1-U46</f>
        <v>0.5296153846153846</v>
      </c>
      <c r="V47" s="12">
        <f t="shared" si="37"/>
        <v>0.53023076923076928</v>
      </c>
      <c r="W47" s="12">
        <f t="shared" si="37"/>
        <v>0.53084615384615397</v>
      </c>
      <c r="X47" s="12">
        <f t="shared" si="37"/>
        <v>0.53146153846153843</v>
      </c>
      <c r="Y47" s="12">
        <f t="shared" si="37"/>
        <v>0.53207692307692311</v>
      </c>
      <c r="Z47" s="12">
        <f t="shared" si="37"/>
        <v>0.5326923076923078</v>
      </c>
      <c r="AA47" s="12">
        <f t="shared" si="37"/>
        <v>0.53330769230769237</v>
      </c>
      <c r="AB47" s="12">
        <f t="shared" si="37"/>
        <v>0.53392307692307694</v>
      </c>
      <c r="AC47" s="12">
        <f t="shared" si="37"/>
        <v>0.53453846153846163</v>
      </c>
      <c r="AD47" s="12">
        <f t="shared" si="37"/>
        <v>0.5351538461538462</v>
      </c>
      <c r="AE47" s="12">
        <f t="shared" si="37"/>
        <v>0.53576923076923078</v>
      </c>
      <c r="AF47" s="12">
        <f t="shared" si="37"/>
        <v>0.53638461538461546</v>
      </c>
      <c r="AG47" s="12">
        <f t="shared" si="37"/>
        <v>0.53700000000000003</v>
      </c>
    </row>
    <row r="48" spans="1:33" ht="15" hidden="1" customHeight="1" thickBot="1" x14ac:dyDescent="0.4">
      <c r="A48" s="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21"/>
    </row>
    <row r="49" spans="1:33" ht="14.5" hidden="1" customHeight="1" x14ac:dyDescent="0.35">
      <c r="A49" s="152" t="s">
        <v>18</v>
      </c>
      <c r="B49" s="54" t="s">
        <v>19</v>
      </c>
      <c r="C49" s="49"/>
      <c r="D49" s="84" t="e">
        <f t="shared" ref="D49:Q49" si="38">D42*T49</f>
        <v>#REF!</v>
      </c>
      <c r="E49" s="84" t="e">
        <f t="shared" si="38"/>
        <v>#REF!</v>
      </c>
      <c r="F49" s="84" t="e">
        <f t="shared" si="38"/>
        <v>#REF!</v>
      </c>
      <c r="G49" s="84" t="e">
        <f t="shared" si="38"/>
        <v>#REF!</v>
      </c>
      <c r="H49" s="84" t="e">
        <f t="shared" si="38"/>
        <v>#REF!</v>
      </c>
      <c r="I49" s="84" t="e">
        <f t="shared" si="38"/>
        <v>#REF!</v>
      </c>
      <c r="J49" s="84" t="e">
        <f t="shared" si="38"/>
        <v>#REF!</v>
      </c>
      <c r="K49" s="84" t="e">
        <f t="shared" si="38"/>
        <v>#REF!</v>
      </c>
      <c r="L49" s="84" t="e">
        <f t="shared" si="38"/>
        <v>#REF!</v>
      </c>
      <c r="M49" s="84" t="e">
        <f t="shared" si="38"/>
        <v>#REF!</v>
      </c>
      <c r="N49" s="84" t="e">
        <f t="shared" si="38"/>
        <v>#REF!</v>
      </c>
      <c r="O49" s="84" t="e">
        <f t="shared" si="38"/>
        <v>#REF!</v>
      </c>
      <c r="P49" s="84" t="e">
        <f t="shared" si="38"/>
        <v>#REF!</v>
      </c>
      <c r="Q49" s="84" t="e">
        <f t="shared" si="38"/>
        <v>#REF!</v>
      </c>
      <c r="R49" s="71" t="e">
        <f>RATE(12,,-E49,Q49)</f>
        <v>#REF!</v>
      </c>
      <c r="S49" s="54"/>
      <c r="T49" s="12">
        <v>0.40099999999999997</v>
      </c>
      <c r="U49" s="12">
        <v>0.40265090533119946</v>
      </c>
      <c r="V49" s="12">
        <v>0.40430860739160734</v>
      </c>
      <c r="W49" s="12">
        <v>0.40597313416316017</v>
      </c>
      <c r="X49" s="12">
        <v>0.40764451374299493</v>
      </c>
      <c r="Y49" s="12">
        <v>0.40932277434392395</v>
      </c>
      <c r="Z49" s="12">
        <v>0.41100794429491083</v>
      </c>
      <c r="AA49" s="12">
        <v>0.4127000520415488</v>
      </c>
      <c r="AB49" s="12">
        <v>0.41439912614654062</v>
      </c>
      <c r="AC49" s="12">
        <v>0.41610519529018092</v>
      </c>
      <c r="AD49" s="12">
        <v>0.41781828827084017</v>
      </c>
      <c r="AE49" s="12">
        <v>0.4195384340054511</v>
      </c>
      <c r="AF49" s="12">
        <v>0.4212656615299965</v>
      </c>
      <c r="AG49" s="12">
        <v>0.42299999999999938</v>
      </c>
    </row>
    <row r="50" spans="1:33" ht="15" hidden="1" customHeight="1" thickBot="1" x14ac:dyDescent="0.4">
      <c r="A50" s="153"/>
      <c r="B50" s="56" t="s">
        <v>20</v>
      </c>
      <c r="C50" s="44"/>
      <c r="D50" s="85" t="e">
        <f t="shared" ref="D50:Q50" si="39">D42*T50</f>
        <v>#REF!</v>
      </c>
      <c r="E50" s="85" t="e">
        <f t="shared" si="39"/>
        <v>#REF!</v>
      </c>
      <c r="F50" s="85" t="e">
        <f t="shared" si="39"/>
        <v>#REF!</v>
      </c>
      <c r="G50" s="85" t="e">
        <f t="shared" si="39"/>
        <v>#REF!</v>
      </c>
      <c r="H50" s="85" t="e">
        <f t="shared" si="39"/>
        <v>#REF!</v>
      </c>
      <c r="I50" s="85" t="e">
        <f t="shared" si="39"/>
        <v>#REF!</v>
      </c>
      <c r="J50" s="85" t="e">
        <f t="shared" si="39"/>
        <v>#REF!</v>
      </c>
      <c r="K50" s="85" t="e">
        <f t="shared" si="39"/>
        <v>#REF!</v>
      </c>
      <c r="L50" s="85" t="e">
        <f t="shared" si="39"/>
        <v>#REF!</v>
      </c>
      <c r="M50" s="85" t="e">
        <f t="shared" si="39"/>
        <v>#REF!</v>
      </c>
      <c r="N50" s="85" t="e">
        <f t="shared" si="39"/>
        <v>#REF!</v>
      </c>
      <c r="O50" s="85" t="e">
        <f t="shared" si="39"/>
        <v>#REF!</v>
      </c>
      <c r="P50" s="85" t="e">
        <f t="shared" si="39"/>
        <v>#REF!</v>
      </c>
      <c r="Q50" s="85" t="e">
        <f t="shared" si="39"/>
        <v>#REF!</v>
      </c>
      <c r="R50" s="72" t="e">
        <f>RATE(12,,-E50,Q50)</f>
        <v>#REF!</v>
      </c>
      <c r="S50" s="56"/>
      <c r="T50" s="12">
        <f>1-T49</f>
        <v>0.59899999999999998</v>
      </c>
      <c r="U50" s="12">
        <f t="shared" ref="U50:AG50" si="40">1-U49</f>
        <v>0.59734909466880048</v>
      </c>
      <c r="V50" s="12">
        <f t="shared" si="40"/>
        <v>0.59569139260839266</v>
      </c>
      <c r="W50" s="12">
        <f t="shared" si="40"/>
        <v>0.59402686583683983</v>
      </c>
      <c r="X50" s="12">
        <f t="shared" si="40"/>
        <v>0.59235548625700507</v>
      </c>
      <c r="Y50" s="12">
        <f t="shared" si="40"/>
        <v>0.59067722565607605</v>
      </c>
      <c r="Z50" s="12">
        <f t="shared" si="40"/>
        <v>0.58899205570508917</v>
      </c>
      <c r="AA50" s="12">
        <f t="shared" si="40"/>
        <v>0.5872999479584512</v>
      </c>
      <c r="AB50" s="12">
        <f t="shared" si="40"/>
        <v>0.58560087385345938</v>
      </c>
      <c r="AC50" s="12">
        <f t="shared" si="40"/>
        <v>0.58389480470981914</v>
      </c>
      <c r="AD50" s="12">
        <f t="shared" si="40"/>
        <v>0.58218171172915989</v>
      </c>
      <c r="AE50" s="12">
        <f t="shared" si="40"/>
        <v>0.5804615659945489</v>
      </c>
      <c r="AF50" s="12">
        <f t="shared" si="40"/>
        <v>0.57873433847000344</v>
      </c>
      <c r="AG50" s="12">
        <f t="shared" si="40"/>
        <v>0.57700000000000062</v>
      </c>
    </row>
    <row r="51" spans="1:33" ht="15" hidden="1" customHeight="1" thickBot="1" x14ac:dyDescent="0.4">
      <c r="A51" s="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21"/>
    </row>
    <row r="52" spans="1:33" ht="14.5" hidden="1" customHeight="1" x14ac:dyDescent="0.35">
      <c r="A52" s="152" t="s">
        <v>14</v>
      </c>
      <c r="B52" s="59" t="s">
        <v>21</v>
      </c>
      <c r="C52" s="50"/>
      <c r="D52" s="86" t="e">
        <f t="shared" ref="D52:Q52" si="41">D42*T52</f>
        <v>#REF!</v>
      </c>
      <c r="E52" s="86" t="e">
        <f t="shared" si="41"/>
        <v>#REF!</v>
      </c>
      <c r="F52" s="86" t="e">
        <f t="shared" si="41"/>
        <v>#REF!</v>
      </c>
      <c r="G52" s="86" t="e">
        <f t="shared" si="41"/>
        <v>#REF!</v>
      </c>
      <c r="H52" s="86" t="e">
        <f t="shared" si="41"/>
        <v>#REF!</v>
      </c>
      <c r="I52" s="86" t="e">
        <f t="shared" si="41"/>
        <v>#REF!</v>
      </c>
      <c r="J52" s="86" t="e">
        <f t="shared" si="41"/>
        <v>#REF!</v>
      </c>
      <c r="K52" s="86" t="e">
        <f t="shared" si="41"/>
        <v>#REF!</v>
      </c>
      <c r="L52" s="86" t="e">
        <f t="shared" si="41"/>
        <v>#REF!</v>
      </c>
      <c r="M52" s="86" t="e">
        <f t="shared" si="41"/>
        <v>#REF!</v>
      </c>
      <c r="N52" s="86" t="e">
        <f t="shared" si="41"/>
        <v>#REF!</v>
      </c>
      <c r="O52" s="86" t="e">
        <f t="shared" si="41"/>
        <v>#REF!</v>
      </c>
      <c r="P52" s="86" t="e">
        <f t="shared" si="41"/>
        <v>#REF!</v>
      </c>
      <c r="Q52" s="86" t="e">
        <f t="shared" si="41"/>
        <v>#REF!</v>
      </c>
      <c r="R52" s="73" t="e">
        <f t="shared" ref="R52:R57" si="42">RATE(12,,-E52,Q52)</f>
        <v>#REF!</v>
      </c>
      <c r="S52" s="59"/>
      <c r="T52" s="12">
        <v>0.25</v>
      </c>
      <c r="U52" s="12">
        <v>0.25155593539307364</v>
      </c>
      <c r="V52" s="12">
        <v>0.25312155452593693</v>
      </c>
      <c r="W52" s="12">
        <v>0.25469691766768382</v>
      </c>
      <c r="X52" s="12">
        <v>0.25628208546250747</v>
      </c>
      <c r="Y52" s="12">
        <v>0.2578771189320348</v>
      </c>
      <c r="Z52" s="12">
        <v>0.25948207947767565</v>
      </c>
      <c r="AA52" s="12">
        <v>0.2610970288829863</v>
      </c>
      <c r="AB52" s="12">
        <v>0.26272202931604799</v>
      </c>
      <c r="AC52" s="12">
        <v>0.26435714333185978</v>
      </c>
      <c r="AD52" s="12">
        <v>0.26600243387474731</v>
      </c>
      <c r="AE52" s="12">
        <v>0.26765796428078514</v>
      </c>
      <c r="AF52" s="12">
        <v>0.26932379828023517</v>
      </c>
      <c r="AG52" s="12">
        <v>0.27100000000000013</v>
      </c>
    </row>
    <row r="53" spans="1:33" ht="14.5" hidden="1" customHeight="1" x14ac:dyDescent="0.35">
      <c r="A53" s="154"/>
      <c r="B53" s="60" t="s">
        <v>22</v>
      </c>
      <c r="C53" s="41"/>
      <c r="D53" s="87" t="e">
        <f t="shared" ref="D53:Q53" si="43">D42*T53</f>
        <v>#REF!</v>
      </c>
      <c r="E53" s="87" t="e">
        <f t="shared" si="43"/>
        <v>#REF!</v>
      </c>
      <c r="F53" s="87" t="e">
        <f t="shared" si="43"/>
        <v>#REF!</v>
      </c>
      <c r="G53" s="87" t="e">
        <f t="shared" si="43"/>
        <v>#REF!</v>
      </c>
      <c r="H53" s="87" t="e">
        <f t="shared" si="43"/>
        <v>#REF!</v>
      </c>
      <c r="I53" s="87" t="e">
        <f t="shared" si="43"/>
        <v>#REF!</v>
      </c>
      <c r="J53" s="87" t="e">
        <f t="shared" si="43"/>
        <v>#REF!</v>
      </c>
      <c r="K53" s="87" t="e">
        <f t="shared" si="43"/>
        <v>#REF!</v>
      </c>
      <c r="L53" s="87" t="e">
        <f t="shared" si="43"/>
        <v>#REF!</v>
      </c>
      <c r="M53" s="87" t="e">
        <f t="shared" si="43"/>
        <v>#REF!</v>
      </c>
      <c r="N53" s="87" t="e">
        <f t="shared" si="43"/>
        <v>#REF!</v>
      </c>
      <c r="O53" s="87" t="e">
        <f t="shared" si="43"/>
        <v>#REF!</v>
      </c>
      <c r="P53" s="87" t="e">
        <f t="shared" si="43"/>
        <v>#REF!</v>
      </c>
      <c r="Q53" s="87" t="e">
        <f t="shared" si="43"/>
        <v>#REF!</v>
      </c>
      <c r="R53" s="74" t="e">
        <f t="shared" si="42"/>
        <v>#REF!</v>
      </c>
      <c r="S53" s="60"/>
      <c r="T53" s="12">
        <v>0.38</v>
      </c>
      <c r="U53" s="12">
        <v>0.38090988938047371</v>
      </c>
      <c r="V53" s="12">
        <v>0.38182195744169661</v>
      </c>
      <c r="W53" s="12">
        <v>0.38273620940040159</v>
      </c>
      <c r="X53" s="12">
        <v>0.38365265048581265</v>
      </c>
      <c r="Y53" s="12">
        <v>0.38457128593967477</v>
      </c>
      <c r="Z53" s="12">
        <v>0.38549212101628438</v>
      </c>
      <c r="AA53" s="12">
        <v>0.38641516098251855</v>
      </c>
      <c r="AB53" s="12">
        <v>0.38734041111786593</v>
      </c>
      <c r="AC53" s="12">
        <v>0.38826787671445667</v>
      </c>
      <c r="AD53" s="12">
        <v>0.38919756307709236</v>
      </c>
      <c r="AE53" s="12">
        <v>0.39012947552327681</v>
      </c>
      <c r="AF53" s="12">
        <v>0.3910636193832463</v>
      </c>
      <c r="AG53" s="12">
        <v>0.39200000000000002</v>
      </c>
    </row>
    <row r="54" spans="1:33" ht="14.5" hidden="1" customHeight="1" x14ac:dyDescent="0.35">
      <c r="A54" s="154"/>
      <c r="B54" s="61" t="s">
        <v>23</v>
      </c>
      <c r="C54" s="41"/>
      <c r="D54" s="88" t="e">
        <f t="shared" ref="D54:Q54" si="44">D53*T54</f>
        <v>#REF!</v>
      </c>
      <c r="E54" s="88" t="e">
        <f t="shared" si="44"/>
        <v>#REF!</v>
      </c>
      <c r="F54" s="88" t="e">
        <f t="shared" si="44"/>
        <v>#REF!</v>
      </c>
      <c r="G54" s="88" t="e">
        <f t="shared" si="44"/>
        <v>#REF!</v>
      </c>
      <c r="H54" s="88" t="e">
        <f t="shared" si="44"/>
        <v>#REF!</v>
      </c>
      <c r="I54" s="88" t="e">
        <f t="shared" si="44"/>
        <v>#REF!</v>
      </c>
      <c r="J54" s="88" t="e">
        <f t="shared" si="44"/>
        <v>#REF!</v>
      </c>
      <c r="K54" s="88" t="e">
        <f t="shared" si="44"/>
        <v>#REF!</v>
      </c>
      <c r="L54" s="88" t="e">
        <f t="shared" si="44"/>
        <v>#REF!</v>
      </c>
      <c r="M54" s="88" t="e">
        <f t="shared" si="44"/>
        <v>#REF!</v>
      </c>
      <c r="N54" s="88" t="e">
        <f t="shared" si="44"/>
        <v>#REF!</v>
      </c>
      <c r="O54" s="88" t="e">
        <f t="shared" si="44"/>
        <v>#REF!</v>
      </c>
      <c r="P54" s="88" t="e">
        <f t="shared" si="44"/>
        <v>#REF!</v>
      </c>
      <c r="Q54" s="88" t="e">
        <f t="shared" si="44"/>
        <v>#REF!</v>
      </c>
      <c r="R54" s="74" t="e">
        <f t="shared" si="42"/>
        <v>#REF!</v>
      </c>
      <c r="S54" s="61"/>
      <c r="T54" s="67">
        <v>0.34999999999999987</v>
      </c>
      <c r="U54" s="67">
        <v>0.34938588387166564</v>
      </c>
      <c r="V54" s="67">
        <v>0.34877284528224306</v>
      </c>
      <c r="W54" s="67">
        <v>0.34816088234106346</v>
      </c>
      <c r="X54" s="67">
        <v>0.34754999316077562</v>
      </c>
      <c r="Y54" s="67">
        <v>0.34694017585733994</v>
      </c>
      <c r="Z54" s="67">
        <v>0.34633142855002247</v>
      </c>
      <c r="AA54" s="67">
        <v>0.34572374936138933</v>
      </c>
      <c r="AB54" s="67">
        <v>0.34511713641730069</v>
      </c>
      <c r="AC54" s="67">
        <v>0.34451158784690528</v>
      </c>
      <c r="AD54" s="67">
        <v>0.34390710178263434</v>
      </c>
      <c r="AE54" s="67">
        <v>0.34330367636019604</v>
      </c>
      <c r="AF54" s="67">
        <v>0.34270130971856966</v>
      </c>
      <c r="AG54" s="67">
        <v>0.34209999999999979</v>
      </c>
    </row>
    <row r="55" spans="1:33" ht="14.5" hidden="1" customHeight="1" x14ac:dyDescent="0.35">
      <c r="A55" s="154"/>
      <c r="B55" s="61" t="s">
        <v>24</v>
      </c>
      <c r="C55" s="41"/>
      <c r="D55" s="88" t="e">
        <f t="shared" ref="D55:Q55" si="45">D53*T55</f>
        <v>#REF!</v>
      </c>
      <c r="E55" s="88" t="e">
        <f t="shared" si="45"/>
        <v>#REF!</v>
      </c>
      <c r="F55" s="88" t="e">
        <f t="shared" si="45"/>
        <v>#REF!</v>
      </c>
      <c r="G55" s="88" t="e">
        <f t="shared" si="45"/>
        <v>#REF!</v>
      </c>
      <c r="H55" s="88" t="e">
        <f t="shared" si="45"/>
        <v>#REF!</v>
      </c>
      <c r="I55" s="88" t="e">
        <f t="shared" si="45"/>
        <v>#REF!</v>
      </c>
      <c r="J55" s="88" t="e">
        <f t="shared" si="45"/>
        <v>#REF!</v>
      </c>
      <c r="K55" s="88" t="e">
        <f t="shared" si="45"/>
        <v>#REF!</v>
      </c>
      <c r="L55" s="88" t="e">
        <f t="shared" si="45"/>
        <v>#REF!</v>
      </c>
      <c r="M55" s="88" t="e">
        <f t="shared" si="45"/>
        <v>#REF!</v>
      </c>
      <c r="N55" s="88" t="e">
        <f t="shared" si="45"/>
        <v>#REF!</v>
      </c>
      <c r="O55" s="88" t="e">
        <f t="shared" si="45"/>
        <v>#REF!</v>
      </c>
      <c r="P55" s="88" t="e">
        <f t="shared" si="45"/>
        <v>#REF!</v>
      </c>
      <c r="Q55" s="88" t="e">
        <f t="shared" si="45"/>
        <v>#REF!</v>
      </c>
      <c r="R55" s="74" t="e">
        <f t="shared" si="42"/>
        <v>#REF!</v>
      </c>
      <c r="S55" s="61"/>
      <c r="T55" s="67">
        <v>0.28000000000000003</v>
      </c>
      <c r="U55" s="67">
        <v>0.28097918830490543</v>
      </c>
      <c r="V55" s="67">
        <v>0.28196180093029821</v>
      </c>
      <c r="W55" s="67">
        <v>0.28294784985137333</v>
      </c>
      <c r="X55" s="67">
        <v>0.28393734708520407</v>
      </c>
      <c r="Y55" s="67">
        <v>0.28493030469088876</v>
      </c>
      <c r="Z55" s="67">
        <v>0.28592673476969749</v>
      </c>
      <c r="AA55" s="67">
        <v>0.28692664946521995</v>
      </c>
      <c r="AB55" s="67">
        <v>0.28793006096351298</v>
      </c>
      <c r="AC55" s="67">
        <v>0.28893698149324931</v>
      </c>
      <c r="AD55" s="67">
        <v>0.28994742332586665</v>
      </c>
      <c r="AE55" s="67">
        <v>0.29096139877571725</v>
      </c>
      <c r="AF55" s="67">
        <v>0.29197892020021765</v>
      </c>
      <c r="AG55" s="67">
        <v>0.29299999999999965</v>
      </c>
    </row>
    <row r="56" spans="1:33" ht="14.5" hidden="1" customHeight="1" x14ac:dyDescent="0.35">
      <c r="A56" s="154"/>
      <c r="B56" s="61" t="s">
        <v>25</v>
      </c>
      <c r="C56" s="41"/>
      <c r="D56" s="88" t="e">
        <f t="shared" ref="D56:Q56" si="46">D53*T56</f>
        <v>#REF!</v>
      </c>
      <c r="E56" s="88" t="e">
        <f t="shared" si="46"/>
        <v>#REF!</v>
      </c>
      <c r="F56" s="88" t="e">
        <f t="shared" si="46"/>
        <v>#REF!</v>
      </c>
      <c r="G56" s="88" t="e">
        <f t="shared" si="46"/>
        <v>#REF!</v>
      </c>
      <c r="H56" s="88" t="e">
        <f t="shared" si="46"/>
        <v>#REF!</v>
      </c>
      <c r="I56" s="88" t="e">
        <f t="shared" si="46"/>
        <v>#REF!</v>
      </c>
      <c r="J56" s="88" t="e">
        <f t="shared" si="46"/>
        <v>#REF!</v>
      </c>
      <c r="K56" s="88" t="e">
        <f t="shared" si="46"/>
        <v>#REF!</v>
      </c>
      <c r="L56" s="88" t="e">
        <f t="shared" si="46"/>
        <v>#REF!</v>
      </c>
      <c r="M56" s="88" t="e">
        <f t="shared" si="46"/>
        <v>#REF!</v>
      </c>
      <c r="N56" s="88" t="e">
        <f t="shared" si="46"/>
        <v>#REF!</v>
      </c>
      <c r="O56" s="88" t="e">
        <f t="shared" si="46"/>
        <v>#REF!</v>
      </c>
      <c r="P56" s="88" t="e">
        <f t="shared" si="46"/>
        <v>#REF!</v>
      </c>
      <c r="Q56" s="88" t="e">
        <f t="shared" si="46"/>
        <v>#REF!</v>
      </c>
      <c r="R56" s="74" t="e">
        <f t="shared" si="42"/>
        <v>#REF!</v>
      </c>
      <c r="S56" s="61"/>
      <c r="T56" s="67">
        <f>1-SUM(T54:T55)</f>
        <v>0.37000000000000011</v>
      </c>
      <c r="U56" s="67">
        <f t="shared" ref="U56:AG56" si="47">1-SUM(U54:U55)</f>
        <v>0.36963492782342899</v>
      </c>
      <c r="V56" s="67">
        <f t="shared" si="47"/>
        <v>0.36926535378745873</v>
      </c>
      <c r="W56" s="67">
        <f t="shared" si="47"/>
        <v>0.36889126780756321</v>
      </c>
      <c r="X56" s="67">
        <f t="shared" si="47"/>
        <v>0.36851265975402026</v>
      </c>
      <c r="Y56" s="67">
        <f t="shared" si="47"/>
        <v>0.3681295194517713</v>
      </c>
      <c r="Z56" s="67">
        <f t="shared" si="47"/>
        <v>0.36774183668028004</v>
      </c>
      <c r="AA56" s="67">
        <f t="shared" si="47"/>
        <v>0.36734960117339077</v>
      </c>
      <c r="AB56" s="67">
        <f t="shared" si="47"/>
        <v>0.36695280261918639</v>
      </c>
      <c r="AC56" s="67">
        <f t="shared" si="47"/>
        <v>0.36655143065984541</v>
      </c>
      <c r="AD56" s="67">
        <f t="shared" si="47"/>
        <v>0.36614547489149896</v>
      </c>
      <c r="AE56" s="67">
        <f t="shared" si="47"/>
        <v>0.36573492486408665</v>
      </c>
      <c r="AF56" s="67">
        <f t="shared" si="47"/>
        <v>0.36531977008121275</v>
      </c>
      <c r="AG56" s="67">
        <f t="shared" si="47"/>
        <v>0.36490000000000056</v>
      </c>
    </row>
    <row r="57" spans="1:33" ht="15" hidden="1" customHeight="1" thickBot="1" x14ac:dyDescent="0.4">
      <c r="A57" s="153"/>
      <c r="B57" s="62" t="s">
        <v>26</v>
      </c>
      <c r="C57" s="51"/>
      <c r="D57" s="89" t="e">
        <f t="shared" ref="D57:Q57" si="48">D42*T57</f>
        <v>#REF!</v>
      </c>
      <c r="E57" s="89" t="e">
        <f t="shared" si="48"/>
        <v>#REF!</v>
      </c>
      <c r="F57" s="89" t="e">
        <f t="shared" si="48"/>
        <v>#REF!</v>
      </c>
      <c r="G57" s="89" t="e">
        <f t="shared" si="48"/>
        <v>#REF!</v>
      </c>
      <c r="H57" s="89" t="e">
        <f t="shared" si="48"/>
        <v>#REF!</v>
      </c>
      <c r="I57" s="89" t="e">
        <f t="shared" si="48"/>
        <v>#REF!</v>
      </c>
      <c r="J57" s="89" t="e">
        <f t="shared" si="48"/>
        <v>#REF!</v>
      </c>
      <c r="K57" s="89" t="e">
        <f t="shared" si="48"/>
        <v>#REF!</v>
      </c>
      <c r="L57" s="89" t="e">
        <f t="shared" si="48"/>
        <v>#REF!</v>
      </c>
      <c r="M57" s="89" t="e">
        <f t="shared" si="48"/>
        <v>#REF!</v>
      </c>
      <c r="N57" s="89" t="e">
        <f t="shared" si="48"/>
        <v>#REF!</v>
      </c>
      <c r="O57" s="89" t="e">
        <f t="shared" si="48"/>
        <v>#REF!</v>
      </c>
      <c r="P57" s="89" t="e">
        <f t="shared" si="48"/>
        <v>#REF!</v>
      </c>
      <c r="Q57" s="89" t="e">
        <f t="shared" si="48"/>
        <v>#REF!</v>
      </c>
      <c r="R57" s="75" t="e">
        <f t="shared" si="42"/>
        <v>#REF!</v>
      </c>
      <c r="S57" s="62"/>
      <c r="T57" s="12">
        <f>1-SUM(T52+T53)</f>
        <v>0.37</v>
      </c>
      <c r="U57" s="12">
        <f t="shared" ref="U57:AG57" si="49">1-SUM(U52+U53)</f>
        <v>0.36753417522645271</v>
      </c>
      <c r="V57" s="12">
        <f t="shared" si="49"/>
        <v>0.36505648803236646</v>
      </c>
      <c r="W57" s="12">
        <f t="shared" si="49"/>
        <v>0.36256687293191459</v>
      </c>
      <c r="X57" s="12">
        <f t="shared" si="49"/>
        <v>0.36006526405167993</v>
      </c>
      <c r="Y57" s="12">
        <f t="shared" si="49"/>
        <v>0.35755159512829038</v>
      </c>
      <c r="Z57" s="12">
        <f t="shared" si="49"/>
        <v>0.35502579950603996</v>
      </c>
      <c r="AA57" s="12">
        <f t="shared" si="49"/>
        <v>0.35248781013449515</v>
      </c>
      <c r="AB57" s="12">
        <f t="shared" si="49"/>
        <v>0.34993755956608608</v>
      </c>
      <c r="AC57" s="12">
        <f t="shared" si="49"/>
        <v>0.3473749799536836</v>
      </c>
      <c r="AD57" s="12">
        <f t="shared" si="49"/>
        <v>0.34480000304816039</v>
      </c>
      <c r="AE57" s="12">
        <f t="shared" si="49"/>
        <v>0.34221256019593804</v>
      </c>
      <c r="AF57" s="12">
        <f t="shared" si="49"/>
        <v>0.33961258233651859</v>
      </c>
      <c r="AG57" s="12">
        <f t="shared" si="49"/>
        <v>0.33699999999999986</v>
      </c>
    </row>
    <row r="58" spans="1:33" ht="15" hidden="1" customHeight="1" thickBot="1" x14ac:dyDescent="0.4">
      <c r="A58" s="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21"/>
    </row>
    <row r="59" spans="1:33" ht="14.5" hidden="1" customHeight="1" x14ac:dyDescent="0.35">
      <c r="A59" s="152" t="s">
        <v>27</v>
      </c>
      <c r="B59" s="54" t="s">
        <v>28</v>
      </c>
      <c r="C59" s="49"/>
      <c r="D59" s="84" t="e">
        <f t="shared" ref="D59:Q59" si="50">D42*T59</f>
        <v>#REF!</v>
      </c>
      <c r="E59" s="84" t="e">
        <f t="shared" si="50"/>
        <v>#REF!</v>
      </c>
      <c r="F59" s="84" t="e">
        <f t="shared" si="50"/>
        <v>#REF!</v>
      </c>
      <c r="G59" s="84" t="e">
        <f t="shared" si="50"/>
        <v>#REF!</v>
      </c>
      <c r="H59" s="84" t="e">
        <f t="shared" si="50"/>
        <v>#REF!</v>
      </c>
      <c r="I59" s="84" t="e">
        <f t="shared" si="50"/>
        <v>#REF!</v>
      </c>
      <c r="J59" s="84" t="e">
        <f t="shared" si="50"/>
        <v>#REF!</v>
      </c>
      <c r="K59" s="84" t="e">
        <f t="shared" si="50"/>
        <v>#REF!</v>
      </c>
      <c r="L59" s="84" t="e">
        <f t="shared" si="50"/>
        <v>#REF!</v>
      </c>
      <c r="M59" s="84" t="e">
        <f t="shared" si="50"/>
        <v>#REF!</v>
      </c>
      <c r="N59" s="84" t="e">
        <f t="shared" si="50"/>
        <v>#REF!</v>
      </c>
      <c r="O59" s="84" t="e">
        <f t="shared" si="50"/>
        <v>#REF!</v>
      </c>
      <c r="P59" s="84" t="e">
        <f t="shared" si="50"/>
        <v>#REF!</v>
      </c>
      <c r="Q59" s="84" t="e">
        <f t="shared" si="50"/>
        <v>#REF!</v>
      </c>
      <c r="R59" s="71" t="e">
        <f>RATE(12,,-E59,Q59)</f>
        <v>#REF!</v>
      </c>
      <c r="S59" s="54"/>
      <c r="T59" s="12">
        <v>0.40099999999999997</v>
      </c>
      <c r="U59" s="12">
        <v>0.40265090533119946</v>
      </c>
      <c r="V59" s="12">
        <v>0.40430860739160734</v>
      </c>
      <c r="W59" s="12">
        <v>0.40597313416316017</v>
      </c>
      <c r="X59" s="12">
        <v>0.40764451374299493</v>
      </c>
      <c r="Y59" s="12">
        <v>0.40932277434392395</v>
      </c>
      <c r="Z59" s="12">
        <v>0.41100794429491083</v>
      </c>
      <c r="AA59" s="12">
        <v>0.4127000520415488</v>
      </c>
      <c r="AB59" s="12">
        <v>0.41439912614654062</v>
      </c>
      <c r="AC59" s="12">
        <v>0.41610519529018092</v>
      </c>
      <c r="AD59" s="12">
        <v>0.41781828827084017</v>
      </c>
      <c r="AE59" s="12">
        <v>0.4195384340054511</v>
      </c>
      <c r="AF59" s="12">
        <v>0.4212656615299965</v>
      </c>
      <c r="AG59" s="12">
        <v>0.42299999999999938</v>
      </c>
    </row>
    <row r="60" spans="1:33" ht="14.5" hidden="1" customHeight="1" x14ac:dyDescent="0.35">
      <c r="A60" s="154"/>
      <c r="B60" s="55" t="s">
        <v>29</v>
      </c>
      <c r="C60" s="40"/>
      <c r="D60" s="90" t="e">
        <f t="shared" ref="D60:Q60" si="51">D42*T60</f>
        <v>#REF!</v>
      </c>
      <c r="E60" s="90" t="e">
        <f t="shared" si="51"/>
        <v>#REF!</v>
      </c>
      <c r="F60" s="90" t="e">
        <f t="shared" si="51"/>
        <v>#REF!</v>
      </c>
      <c r="G60" s="90" t="e">
        <f t="shared" si="51"/>
        <v>#REF!</v>
      </c>
      <c r="H60" s="90" t="e">
        <f t="shared" si="51"/>
        <v>#REF!</v>
      </c>
      <c r="I60" s="90" t="e">
        <f t="shared" si="51"/>
        <v>#REF!</v>
      </c>
      <c r="J60" s="90" t="e">
        <f t="shared" si="51"/>
        <v>#REF!</v>
      </c>
      <c r="K60" s="90" t="e">
        <f t="shared" si="51"/>
        <v>#REF!</v>
      </c>
      <c r="L60" s="90" t="e">
        <f t="shared" si="51"/>
        <v>#REF!</v>
      </c>
      <c r="M60" s="90" t="e">
        <f t="shared" si="51"/>
        <v>#REF!</v>
      </c>
      <c r="N60" s="90" t="e">
        <f t="shared" si="51"/>
        <v>#REF!</v>
      </c>
      <c r="O60" s="90" t="e">
        <f t="shared" si="51"/>
        <v>#REF!</v>
      </c>
      <c r="P60" s="90" t="e">
        <f t="shared" si="51"/>
        <v>#REF!</v>
      </c>
      <c r="Q60" s="90" t="e">
        <f t="shared" si="51"/>
        <v>#REF!</v>
      </c>
      <c r="R60" s="76" t="e">
        <f>RATE(12,,-E60,Q60)</f>
        <v>#REF!</v>
      </c>
      <c r="S60" s="55"/>
      <c r="T60" s="12">
        <v>0.43099999999999999</v>
      </c>
      <c r="U60" s="12">
        <v>0.43183634674261745</v>
      </c>
      <c r="V60" s="12">
        <v>0.43267431639909548</v>
      </c>
      <c r="W60" s="12">
        <v>0.43351391211866536</v>
      </c>
      <c r="X60" s="12">
        <v>0.43435513705666956</v>
      </c>
      <c r="Y60" s="12">
        <v>0.43519799437457324</v>
      </c>
      <c r="Z60" s="12">
        <v>0.43604248723997657</v>
      </c>
      <c r="AA60" s="12">
        <v>0.43688861882662616</v>
      </c>
      <c r="AB60" s="12">
        <v>0.43773639231442729</v>
      </c>
      <c r="AC60" s="12">
        <v>0.43858581088945586</v>
      </c>
      <c r="AD60" s="12">
        <v>0.43943687774397006</v>
      </c>
      <c r="AE60" s="12">
        <v>0.44028959607642287</v>
      </c>
      <c r="AF60" s="12">
        <v>0.44114396909147369</v>
      </c>
      <c r="AG60" s="12">
        <v>0.44200000000000028</v>
      </c>
    </row>
    <row r="61" spans="1:33" ht="15" hidden="1" customHeight="1" thickBot="1" x14ac:dyDescent="0.4">
      <c r="A61" s="153"/>
      <c r="B61" s="56" t="s">
        <v>30</v>
      </c>
      <c r="C61" s="44"/>
      <c r="D61" s="85" t="e">
        <f t="shared" ref="D61:Q61" si="52">D42*T61</f>
        <v>#REF!</v>
      </c>
      <c r="E61" s="85" t="e">
        <f t="shared" si="52"/>
        <v>#REF!</v>
      </c>
      <c r="F61" s="85" t="e">
        <f t="shared" si="52"/>
        <v>#REF!</v>
      </c>
      <c r="G61" s="85" t="e">
        <f t="shared" si="52"/>
        <v>#REF!</v>
      </c>
      <c r="H61" s="85" t="e">
        <f t="shared" si="52"/>
        <v>#REF!</v>
      </c>
      <c r="I61" s="85" t="e">
        <f t="shared" si="52"/>
        <v>#REF!</v>
      </c>
      <c r="J61" s="85" t="e">
        <f t="shared" si="52"/>
        <v>#REF!</v>
      </c>
      <c r="K61" s="85" t="e">
        <f t="shared" si="52"/>
        <v>#REF!</v>
      </c>
      <c r="L61" s="85" t="e">
        <f t="shared" si="52"/>
        <v>#REF!</v>
      </c>
      <c r="M61" s="85" t="e">
        <f t="shared" si="52"/>
        <v>#REF!</v>
      </c>
      <c r="N61" s="85" t="e">
        <f t="shared" si="52"/>
        <v>#REF!</v>
      </c>
      <c r="O61" s="85" t="e">
        <f t="shared" si="52"/>
        <v>#REF!</v>
      </c>
      <c r="P61" s="85" t="e">
        <f t="shared" si="52"/>
        <v>#REF!</v>
      </c>
      <c r="Q61" s="85" t="e">
        <f t="shared" si="52"/>
        <v>#REF!</v>
      </c>
      <c r="R61" s="72" t="e">
        <f>RATE(12,,-E61,Q61)</f>
        <v>#REF!</v>
      </c>
      <c r="S61" s="56"/>
      <c r="T61" s="12">
        <f>1-SUM(T59:T60)</f>
        <v>0.16800000000000004</v>
      </c>
      <c r="U61" s="12">
        <f t="shared" ref="U61:AG61" si="53">1-SUM(U59:U60)</f>
        <v>0.16551274792618309</v>
      </c>
      <c r="V61" s="12">
        <f t="shared" si="53"/>
        <v>0.16301707620929717</v>
      </c>
      <c r="W61" s="12">
        <f t="shared" si="53"/>
        <v>0.16051295371817442</v>
      </c>
      <c r="X61" s="12">
        <f t="shared" si="53"/>
        <v>0.15800034920033545</v>
      </c>
      <c r="Y61" s="12">
        <f t="shared" si="53"/>
        <v>0.15547923128150276</v>
      </c>
      <c r="Z61" s="12">
        <f t="shared" si="53"/>
        <v>0.15294956846511254</v>
      </c>
      <c r="AA61" s="12">
        <f t="shared" si="53"/>
        <v>0.15041132913182498</v>
      </c>
      <c r="AB61" s="12">
        <f t="shared" si="53"/>
        <v>0.14786448153903209</v>
      </c>
      <c r="AC61" s="12">
        <f t="shared" si="53"/>
        <v>0.14530899382036322</v>
      </c>
      <c r="AD61" s="12">
        <f t="shared" si="53"/>
        <v>0.14274483398518978</v>
      </c>
      <c r="AE61" s="12">
        <f t="shared" si="53"/>
        <v>0.14017196991812608</v>
      </c>
      <c r="AF61" s="12">
        <f t="shared" si="53"/>
        <v>0.13759036937852986</v>
      </c>
      <c r="AG61" s="12">
        <f t="shared" si="53"/>
        <v>0.13500000000000034</v>
      </c>
    </row>
    <row r="62" spans="1:33" ht="15.5" x14ac:dyDescent="0.35">
      <c r="A62" s="42"/>
      <c r="B62" s="43"/>
      <c r="C62" s="93"/>
      <c r="D62" s="91">
        <v>2023</v>
      </c>
      <c r="E62" s="65">
        <v>2024</v>
      </c>
      <c r="F62" s="65">
        <v>2025</v>
      </c>
      <c r="G62" s="65">
        <v>2026</v>
      </c>
      <c r="H62" s="65">
        <v>2027</v>
      </c>
      <c r="I62" s="65">
        <v>2028</v>
      </c>
      <c r="J62" s="65">
        <v>2029</v>
      </c>
      <c r="K62" s="65">
        <v>2030</v>
      </c>
      <c r="L62" s="65">
        <v>2031</v>
      </c>
      <c r="M62" s="65">
        <v>2032</v>
      </c>
      <c r="N62" s="65">
        <v>2033</v>
      </c>
      <c r="O62" s="65">
        <v>2034</v>
      </c>
      <c r="P62" s="65">
        <v>2035</v>
      </c>
      <c r="Q62" s="65">
        <v>2036</v>
      </c>
      <c r="R62" s="66" t="s">
        <v>84</v>
      </c>
    </row>
    <row r="63" spans="1:33" ht="16" thickBot="1" x14ac:dyDescent="0.4">
      <c r="A63" s="1"/>
      <c r="C63" s="21"/>
      <c r="D63" s="92">
        <f>'Market Analysis '!C37</f>
        <v>158.32050000000001</v>
      </c>
      <c r="E63" s="92">
        <f>'Market Analysis '!D37</f>
        <v>176.21071650000002</v>
      </c>
      <c r="F63" s="92">
        <f>'Market Analysis '!E37</f>
        <v>196.15166033725586</v>
      </c>
      <c r="G63" s="92">
        <f>'Market Analysis '!F37</f>
        <v>218.38170481092146</v>
      </c>
      <c r="H63" s="92">
        <f>'Market Analysis '!G37</f>
        <v>243.16731098139957</v>
      </c>
      <c r="I63" s="92">
        <f>'Market Analysis '!H37</f>
        <v>270.80638154736971</v>
      </c>
      <c r="J63" s="92">
        <f>'Market Analysis '!I37</f>
        <v>301.63202043288749</v>
      </c>
      <c r="K63" s="92">
        <f>'Market Analysis '!J37</f>
        <v>336.01674778932852</v>
      </c>
      <c r="L63" s="92">
        <f>'Market Analysis '!K37</f>
        <v>374.37722628255347</v>
      </c>
      <c r="M63" s="92">
        <f>'Market Analysis '!L37</f>
        <v>417.17956147543669</v>
      </c>
      <c r="N63" s="92">
        <f>'Market Analysis '!M37</f>
        <v>464.94524692821039</v>
      </c>
      <c r="O63" s="92">
        <f>'Market Analysis '!N37</f>
        <v>518.2578334349397</v>
      </c>
      <c r="P63" s="92">
        <f>'Market Analysis '!O37</f>
        <v>577.77041171917392</v>
      </c>
      <c r="Q63" s="92">
        <f>'Market Analysis '!P37</f>
        <v>644.21400906687893</v>
      </c>
      <c r="R63" s="68">
        <f t="shared" ref="R63:R68" si="54">RATE(9,,-H63,Q63)</f>
        <v>0.1143301618477406</v>
      </c>
      <c r="T63" s="65">
        <v>2023</v>
      </c>
      <c r="U63" s="65">
        <v>2024</v>
      </c>
      <c r="V63" s="65">
        <v>2025</v>
      </c>
      <c r="W63" s="65">
        <v>2026</v>
      </c>
      <c r="X63" s="65">
        <v>2027</v>
      </c>
      <c r="Y63" s="65">
        <v>2028</v>
      </c>
      <c r="Z63" s="65">
        <v>2029</v>
      </c>
      <c r="AA63" s="65">
        <v>2030</v>
      </c>
      <c r="AB63" s="65">
        <v>2031</v>
      </c>
      <c r="AC63" s="65">
        <v>2032</v>
      </c>
      <c r="AD63" s="65">
        <v>2033</v>
      </c>
      <c r="AE63" s="65">
        <v>2034</v>
      </c>
      <c r="AF63" s="65">
        <v>2035</v>
      </c>
      <c r="AG63" s="65">
        <v>2036</v>
      </c>
    </row>
    <row r="64" spans="1:33" s="121" customFormat="1" x14ac:dyDescent="0.35">
      <c r="A64" s="147" t="s">
        <v>59</v>
      </c>
      <c r="B64" s="118" t="s">
        <v>60</v>
      </c>
      <c r="C64" s="119"/>
      <c r="D64" s="120">
        <f>D63*T64</f>
        <v>90.242685000000009</v>
      </c>
      <c r="E64" s="120">
        <f>E63*U64</f>
        <v>100.57456975278495</v>
      </c>
      <c r="F64" s="120">
        <f>F63*V64</f>
        <v>112.10600219011749</v>
      </c>
      <c r="G64" s="120">
        <f t="shared" ref="G64:Q64" si="55">G63*W64</f>
        <v>124.9781637590911</v>
      </c>
      <c r="H64" s="120">
        <f t="shared" si="55"/>
        <v>139.34907504558709</v>
      </c>
      <c r="I64" s="120">
        <f t="shared" si="55"/>
        <v>155.39563052771823</v>
      </c>
      <c r="J64" s="120">
        <f t="shared" si="55"/>
        <v>173.31588234560252</v>
      </c>
      <c r="K64" s="120">
        <f t="shared" si="55"/>
        <v>193.33160394411865</v>
      </c>
      <c r="L64" s="120">
        <f t="shared" si="55"/>
        <v>215.69116831574482</v>
      </c>
      <c r="M64" s="120">
        <f t="shared" si="55"/>
        <v>240.67277993234319</v>
      </c>
      <c r="N64" s="120">
        <f t="shared" si="55"/>
        <v>268.58810437092694</v>
      </c>
      <c r="O64" s="120">
        <f t="shared" si="55"/>
        <v>299.78634518033527</v>
      </c>
      <c r="P64" s="120">
        <f t="shared" si="55"/>
        <v>334.65882378390921</v>
      </c>
      <c r="Q64" s="120">
        <f t="shared" si="55"/>
        <v>373.64412525879033</v>
      </c>
      <c r="R64" s="68">
        <f t="shared" si="54"/>
        <v>0.1158219397621497</v>
      </c>
      <c r="S64" s="118" t="s">
        <v>60</v>
      </c>
      <c r="T64" s="136">
        <v>0.57000000000000006</v>
      </c>
      <c r="U64" s="136">
        <v>0.57076307134126514</v>
      </c>
      <c r="V64" s="136">
        <v>0.57152716422265615</v>
      </c>
      <c r="W64" s="136">
        <v>0.57229228001173127</v>
      </c>
      <c r="X64" s="136">
        <v>0.57305842007787888</v>
      </c>
      <c r="Y64" s="136">
        <v>0.57382558579232101</v>
      </c>
      <c r="Z64" s="136">
        <v>0.57459377852811533</v>
      </c>
      <c r="AA64" s="136">
        <v>0.57536299966015747</v>
      </c>
      <c r="AB64" s="136">
        <v>0.57613325056518361</v>
      </c>
      <c r="AC64" s="136">
        <v>0.57690453262177344</v>
      </c>
      <c r="AD64" s="136">
        <v>0.57767684721035151</v>
      </c>
      <c r="AE64" s="136">
        <v>0.57845019571319112</v>
      </c>
      <c r="AF64" s="136">
        <v>0.57922457951441542</v>
      </c>
      <c r="AG64" s="136">
        <v>0.58000000000000085</v>
      </c>
    </row>
    <row r="65" spans="1:33" s="117" customFormat="1" x14ac:dyDescent="0.35">
      <c r="A65" s="148"/>
      <c r="B65" s="113" t="s">
        <v>61</v>
      </c>
      <c r="C65" s="114"/>
      <c r="D65" s="115">
        <f>D63*T65</f>
        <v>22.164870000000011</v>
      </c>
      <c r="E65" s="115">
        <f t="shared" ref="E65:Q65" si="56">E63*U65</f>
        <v>24.696432528033561</v>
      </c>
      <c r="F65" s="115">
        <f t="shared" si="56"/>
        <v>27.521225199767851</v>
      </c>
      <c r="G65" s="115">
        <f t="shared" si="56"/>
        <v>30.673681049896192</v>
      </c>
      <c r="H65" s="115">
        <f t="shared" si="56"/>
        <v>34.192330880992607</v>
      </c>
      <c r="I65" s="115">
        <f t="shared" si="56"/>
        <v>38.120297336454357</v>
      </c>
      <c r="J65" s="115">
        <f t="shared" si="56"/>
        <v>42.505849309896661</v>
      </c>
      <c r="K65" s="115">
        <f t="shared" si="56"/>
        <v>47.403024151933245</v>
      </c>
      <c r="L65" s="115">
        <f t="shared" si="56"/>
        <v>52.872326069213507</v>
      </c>
      <c r="M65" s="115">
        <f t="shared" si="56"/>
        <v>58.981510162837978</v>
      </c>
      <c r="N65" s="115">
        <f t="shared" si="56"/>
        <v>65.806462739007685</v>
      </c>
      <c r="O65" s="115">
        <f t="shared" si="56"/>
        <v>73.432189861110217</v>
      </c>
      <c r="P65" s="115">
        <f t="shared" si="56"/>
        <v>81.953927618763132</v>
      </c>
      <c r="Q65" s="115">
        <f t="shared" si="56"/>
        <v>91.478389287496839</v>
      </c>
      <c r="R65" s="68">
        <f t="shared" si="54"/>
        <v>0.11554669977932086</v>
      </c>
      <c r="S65" s="113" t="s">
        <v>61</v>
      </c>
      <c r="T65" s="135">
        <v>0.14000000000000007</v>
      </c>
      <c r="U65" s="135">
        <v>0.14015284097680608</v>
      </c>
      <c r="V65" s="135">
        <v>0.14030584881335637</v>
      </c>
      <c r="W65" s="135">
        <v>0.14045902369181512</v>
      </c>
      <c r="X65" s="135">
        <v>0.1406123657945457</v>
      </c>
      <c r="Y65" s="135">
        <v>0.14076587530411028</v>
      </c>
      <c r="Z65" s="135">
        <v>0.14091955240327056</v>
      </c>
      <c r="AA65" s="135">
        <v>0.14107339727498758</v>
      </c>
      <c r="AB65" s="135">
        <v>0.14122741010242224</v>
      </c>
      <c r="AC65" s="135">
        <v>0.14138159106893539</v>
      </c>
      <c r="AD65" s="135">
        <v>0.141535940358088</v>
      </c>
      <c r="AE65" s="135">
        <v>0.14169045815364148</v>
      </c>
      <c r="AF65" s="135">
        <v>0.14184514463955789</v>
      </c>
      <c r="AG65" s="135">
        <v>0.14200000000000004</v>
      </c>
    </row>
    <row r="66" spans="1:33" s="117" customFormat="1" x14ac:dyDescent="0.35">
      <c r="A66" s="148"/>
      <c r="B66" s="113" t="s">
        <v>62</v>
      </c>
      <c r="C66" s="114"/>
      <c r="D66" s="115">
        <f>D63*T66</f>
        <v>22.164870000000004</v>
      </c>
      <c r="E66" s="115">
        <f t="shared" ref="E66:Q66" si="57">E63*U66</f>
        <v>24.683010498316023</v>
      </c>
      <c r="F66" s="115">
        <f t="shared" si="57"/>
        <v>27.491318829788963</v>
      </c>
      <c r="G66" s="115">
        <f t="shared" si="57"/>
        <v>30.623696581968112</v>
      </c>
      <c r="H66" s="115">
        <f t="shared" si="57"/>
        <v>34.118059994044827</v>
      </c>
      <c r="I66" s="115">
        <f t="shared" si="57"/>
        <v>38.016821678631842</v>
      </c>
      <c r="J66" s="115">
        <f t="shared" si="57"/>
        <v>42.367430894776462</v>
      </c>
      <c r="K66" s="115">
        <f t="shared" si="57"/>
        <v>47.222979579043624</v>
      </c>
      <c r="L66" s="115">
        <f t="shared" si="57"/>
        <v>52.642882239564116</v>
      </c>
      <c r="M66" s="115">
        <f t="shared" si="57"/>
        <v>58.693638829272935</v>
      </c>
      <c r="N66" s="115">
        <f t="shared" si="57"/>
        <v>65.449690853614186</v>
      </c>
      <c r="O66" s="115">
        <f t="shared" si="57"/>
        <v>72.994382251089078</v>
      </c>
      <c r="P66" s="115">
        <f t="shared" si="57"/>
        <v>81.42103803060121</v>
      </c>
      <c r="Q66" s="115">
        <f t="shared" si="57"/>
        <v>90.834175278430095</v>
      </c>
      <c r="R66" s="68">
        <f t="shared" si="54"/>
        <v>0.11494042189125997</v>
      </c>
      <c r="S66" s="113" t="s">
        <v>62</v>
      </c>
      <c r="T66" s="135">
        <v>0.14000000000000001</v>
      </c>
      <c r="U66" s="135">
        <v>0.14007667063947282</v>
      </c>
      <c r="V66" s="135">
        <v>0.14015338326742385</v>
      </c>
      <c r="W66" s="135">
        <v>0.1402301379068481</v>
      </c>
      <c r="X66" s="135">
        <v>0.14030693458075291</v>
      </c>
      <c r="Y66" s="135">
        <v>0.14038377331215846</v>
      </c>
      <c r="Z66" s="135">
        <v>0.14046065412409731</v>
      </c>
      <c r="AA66" s="135">
        <v>0.14053757703961495</v>
      </c>
      <c r="AB66" s="135">
        <v>0.14061454208176913</v>
      </c>
      <c r="AC66" s="135">
        <v>0.14069154927363042</v>
      </c>
      <c r="AD66" s="135">
        <v>0.14076859863828203</v>
      </c>
      <c r="AE66" s="135">
        <v>0.14084569019881982</v>
      </c>
      <c r="AF66" s="135">
        <v>0.14092282397835218</v>
      </c>
      <c r="AG66" s="135">
        <v>0.14100000000000026</v>
      </c>
    </row>
    <row r="67" spans="1:33" s="117" customFormat="1" x14ac:dyDescent="0.35">
      <c r="A67" s="148"/>
      <c r="B67" s="113" t="s">
        <v>63</v>
      </c>
      <c r="C67" s="114"/>
      <c r="D67" s="115">
        <f>D63*T67</f>
        <v>15.832050000000011</v>
      </c>
      <c r="E67" s="115">
        <f t="shared" ref="E67:Q67" si="58">E63*U67</f>
        <v>17.687329367696027</v>
      </c>
      <c r="F67" s="115">
        <f t="shared" si="58"/>
        <v>19.762954954261222</v>
      </c>
      <c r="G67" s="115">
        <f t="shared" si="58"/>
        <v>22.085441744018503</v>
      </c>
      <c r="H67" s="115">
        <f t="shared" si="58"/>
        <v>24.684536481170589</v>
      </c>
      <c r="I67" s="115">
        <f t="shared" si="58"/>
        <v>27.593616536430936</v>
      </c>
      <c r="J67" s="115">
        <f t="shared" si="58"/>
        <v>30.850138609543507</v>
      </c>
      <c r="K67" s="115">
        <f t="shared" si="58"/>
        <v>34.496143569614638</v>
      </c>
      <c r="L67" s="115">
        <f t="shared" si="58"/>
        <v>38.578824541516326</v>
      </c>
      <c r="M67" s="115">
        <f t="shared" si="58"/>
        <v>43.151166257325407</v>
      </c>
      <c r="N67" s="115">
        <f t="shared" si="58"/>
        <v>48.272664720499755</v>
      </c>
      <c r="O67" s="115">
        <f t="shared" si="58"/>
        <v>54.010137392733512</v>
      </c>
      <c r="P67" s="115">
        <f t="shared" si="58"/>
        <v>60.438635426698958</v>
      </c>
      <c r="Q67" s="115">
        <f t="shared" si="58"/>
        <v>67.64247095202235</v>
      </c>
      <c r="R67" s="68">
        <f t="shared" si="54"/>
        <v>0.11852020061214548</v>
      </c>
      <c r="S67" s="113" t="s">
        <v>63</v>
      </c>
      <c r="T67" s="135">
        <v>0.10000000000000006</v>
      </c>
      <c r="U67" s="135">
        <v>0.10037601412111632</v>
      </c>
      <c r="V67" s="135">
        <v>0.10075344210842535</v>
      </c>
      <c r="W67" s="135">
        <v>0.10113228927826372</v>
      </c>
      <c r="X67" s="135">
        <v>0.10151256096695813</v>
      </c>
      <c r="Y67" s="135">
        <v>0.10189426253090064</v>
      </c>
      <c r="Z67" s="135">
        <v>0.10227739934662408</v>
      </c>
      <c r="AA67" s="135">
        <v>0.10266197681087785</v>
      </c>
      <c r="AB67" s="135">
        <v>0.10304800034070384</v>
      </c>
      <c r="AC67" s="135">
        <v>0.10343547537351282</v>
      </c>
      <c r="AD67" s="135">
        <v>0.10382440736716095</v>
      </c>
      <c r="AE67" s="135">
        <v>0.10421480180002674</v>
      </c>
      <c r="AF67" s="135">
        <v>0.10460666417108815</v>
      </c>
      <c r="AG67" s="135">
        <v>0.10500000000000011</v>
      </c>
    </row>
    <row r="68" spans="1:33" s="117" customFormat="1" x14ac:dyDescent="0.35">
      <c r="A68" s="148"/>
      <c r="B68" s="113" t="s">
        <v>64</v>
      </c>
      <c r="C68" s="114"/>
      <c r="D68" s="115">
        <f>D63*T68</f>
        <v>7.916024999999955</v>
      </c>
      <c r="E68" s="115">
        <f t="shared" ref="E68:Q68" si="59">E63*U68</f>
        <v>8.5693743531694455</v>
      </c>
      <c r="F68" s="115">
        <f t="shared" si="59"/>
        <v>9.2701591633203275</v>
      </c>
      <c r="G68" s="115">
        <f t="shared" si="59"/>
        <v>10.020721675947538</v>
      </c>
      <c r="H68" s="115">
        <f>H63*X68</f>
        <v>10.82330857960444</v>
      </c>
      <c r="I68" s="115">
        <f t="shared" si="59"/>
        <v>11.680015468134386</v>
      </c>
      <c r="J68" s="115">
        <f t="shared" si="59"/>
        <v>12.592719273068326</v>
      </c>
      <c r="K68" s="115">
        <f t="shared" si="59"/>
        <v>13.56299654461839</v>
      </c>
      <c r="L68" s="115">
        <f t="shared" si="59"/>
        <v>14.592025116514691</v>
      </c>
      <c r="M68" s="115">
        <f t="shared" si="59"/>
        <v>15.68046629365716</v>
      </c>
      <c r="N68" s="115">
        <f t="shared" si="59"/>
        <v>16.828324244161813</v>
      </c>
      <c r="O68" s="115">
        <f t="shared" si="59"/>
        <v>18.034778749671602</v>
      </c>
      <c r="P68" s="115">
        <f t="shared" si="59"/>
        <v>19.297986859201437</v>
      </c>
      <c r="Q68" s="115">
        <f t="shared" si="59"/>
        <v>20.614848290139356</v>
      </c>
      <c r="R68" s="68">
        <f t="shared" si="54"/>
        <v>7.4214777531823317E-2</v>
      </c>
      <c r="S68" s="113" t="s">
        <v>64</v>
      </c>
      <c r="T68" s="135">
        <f>1-SUM(T64:T67)</f>
        <v>4.9999999999999711E-2</v>
      </c>
      <c r="U68" s="135">
        <f t="shared" ref="U68:AG68" si="60">1-SUM(U64:U67)</f>
        <v>4.8631402921339606E-2</v>
      </c>
      <c r="V68" s="135">
        <f t="shared" si="60"/>
        <v>4.7260161588138283E-2</v>
      </c>
      <c r="W68" s="135">
        <f t="shared" si="60"/>
        <v>4.5886269111341749E-2</v>
      </c>
      <c r="X68" s="135">
        <f t="shared" si="60"/>
        <v>4.4509718579864299E-2</v>
      </c>
      <c r="Y68" s="135">
        <f t="shared" si="60"/>
        <v>4.3130503060509695E-2</v>
      </c>
      <c r="Z68" s="135">
        <f t="shared" si="60"/>
        <v>4.1748615597892669E-2</v>
      </c>
      <c r="AA68" s="135">
        <f t="shared" si="60"/>
        <v>4.0364049214362208E-2</v>
      </c>
      <c r="AB68" s="135">
        <f t="shared" si="60"/>
        <v>3.8976796909921174E-2</v>
      </c>
      <c r="AC68" s="135">
        <f t="shared" si="60"/>
        <v>3.7586851662147924E-2</v>
      </c>
      <c r="AD68" s="135">
        <f t="shared" si="60"/>
        <v>3.6194206426117481E-2</v>
      </c>
      <c r="AE68" s="135">
        <f t="shared" si="60"/>
        <v>3.4798854134320822E-2</v>
      </c>
      <c r="AF68" s="135">
        <f t="shared" si="60"/>
        <v>3.3400787696586387E-2</v>
      </c>
      <c r="AG68" s="135">
        <f t="shared" si="60"/>
        <v>3.1999999999998807E-2</v>
      </c>
    </row>
    <row r="69" spans="1:33" x14ac:dyDescent="0.35">
      <c r="A69" s="1"/>
      <c r="D69" s="81" t="b">
        <f>D63=SUM(D64:D68)</f>
        <v>1</v>
      </c>
      <c r="E69" s="81" t="b">
        <f t="shared" ref="E69:Q69" si="61">E63=SUM(E64:E68)</f>
        <v>1</v>
      </c>
      <c r="F69" s="81" t="b">
        <f t="shared" si="61"/>
        <v>1</v>
      </c>
      <c r="G69" s="81" t="b">
        <f t="shared" si="61"/>
        <v>1</v>
      </c>
      <c r="H69" s="81" t="b">
        <f t="shared" si="61"/>
        <v>1</v>
      </c>
      <c r="I69" s="81" t="b">
        <f t="shared" si="61"/>
        <v>1</v>
      </c>
      <c r="J69" s="81" t="b">
        <f t="shared" si="61"/>
        <v>1</v>
      </c>
      <c r="K69" s="81" t="b">
        <f t="shared" si="61"/>
        <v>1</v>
      </c>
      <c r="L69" s="81" t="b">
        <f t="shared" si="61"/>
        <v>1</v>
      </c>
      <c r="M69" s="81" t="b">
        <f t="shared" si="61"/>
        <v>1</v>
      </c>
      <c r="N69" s="81" t="b">
        <f t="shared" si="61"/>
        <v>1</v>
      </c>
      <c r="O69" s="81" t="b">
        <f t="shared" si="61"/>
        <v>1</v>
      </c>
      <c r="P69" s="81" t="b">
        <f t="shared" si="61"/>
        <v>1</v>
      </c>
      <c r="Q69" s="81" t="b">
        <f t="shared" si="61"/>
        <v>1</v>
      </c>
      <c r="R69" s="21"/>
    </row>
    <row r="70" spans="1:33" s="117" customFormat="1" x14ac:dyDescent="0.35">
      <c r="A70" s="149" t="s">
        <v>65</v>
      </c>
      <c r="B70" s="122" t="s">
        <v>66</v>
      </c>
      <c r="C70" s="123"/>
      <c r="D70" s="124">
        <f>D63*T70</f>
        <v>74.568955499999987</v>
      </c>
      <c r="E70" s="124">
        <f t="shared" ref="E70:Q70" si="62">E63*U70</f>
        <v>82.774896521200773</v>
      </c>
      <c r="F70" s="124">
        <f t="shared" si="62"/>
        <v>91.897509175203908</v>
      </c>
      <c r="G70" s="124">
        <f t="shared" si="62"/>
        <v>102.04069923579165</v>
      </c>
      <c r="H70" s="124">
        <f t="shared" si="62"/>
        <v>113.32031901670378</v>
      </c>
      <c r="I70" s="124">
        <f t="shared" si="62"/>
        <v>125.86556010157092</v>
      </c>
      <c r="J70" s="124">
        <f t="shared" si="62"/>
        <v>139.82051065060966</v>
      </c>
      <c r="K70" s="124">
        <f t="shared" si="62"/>
        <v>155.34589699057739</v>
      </c>
      <c r="L70" s="124">
        <f t="shared" si="62"/>
        <v>172.62103158482677</v>
      </c>
      <c r="M70" s="124">
        <f t="shared" si="62"/>
        <v>191.84599216426457</v>
      </c>
      <c r="N70" s="124">
        <f t="shared" si="62"/>
        <v>213.2440598141321</v>
      </c>
      <c r="O70" s="124">
        <f t="shared" si="62"/>
        <v>237.06444719689244</v>
      </c>
      <c r="P70" s="124">
        <f t="shared" si="62"/>
        <v>263.58535189443529</v>
      </c>
      <c r="Q70" s="124">
        <f t="shared" si="62"/>
        <v>293.11737412542965</v>
      </c>
      <c r="R70" s="68">
        <f>RATE(9,,-H70,Q70)</f>
        <v>0.11137163449501034</v>
      </c>
      <c r="S70" s="122" t="s">
        <v>66</v>
      </c>
      <c r="T70" s="135">
        <v>0.47099999999999986</v>
      </c>
      <c r="U70" s="135">
        <v>0.46974950312514485</v>
      </c>
      <c r="V70" s="135">
        <v>0.46850232629792044</v>
      </c>
      <c r="W70" s="135">
        <v>0.4672584607036574</v>
      </c>
      <c r="X70" s="135">
        <v>0.46601789755108947</v>
      </c>
      <c r="Y70" s="135">
        <v>0.46478062807229081</v>
      </c>
      <c r="Z70" s="135">
        <v>0.46354664352261449</v>
      </c>
      <c r="AA70" s="135">
        <v>0.46231593518063024</v>
      </c>
      <c r="AB70" s="135">
        <v>0.46108849434806326</v>
      </c>
      <c r="AC70" s="135">
        <v>0.45986431234973235</v>
      </c>
      <c r="AD70" s="135">
        <v>0.4586433805334888</v>
      </c>
      <c r="AE70" s="135">
        <v>0.45742569027015528</v>
      </c>
      <c r="AF70" s="135">
        <v>0.45621123295346477</v>
      </c>
      <c r="AG70" s="135">
        <v>0.45499999999999963</v>
      </c>
    </row>
    <row r="71" spans="1:33" s="117" customFormat="1" x14ac:dyDescent="0.35">
      <c r="A71" s="149"/>
      <c r="B71" s="122" t="s">
        <v>67</v>
      </c>
      <c r="C71" s="123"/>
      <c r="D71" s="124">
        <f>D63*T71</f>
        <v>79.160249999999991</v>
      </c>
      <c r="E71" s="124">
        <f t="shared" ref="E71:Q71" si="63">E63*U71</f>
        <v>88.239669564850118</v>
      </c>
      <c r="F71" s="124">
        <f t="shared" si="63"/>
        <v>98.375079486855512</v>
      </c>
      <c r="G71" s="124">
        <f t="shared" si="63"/>
        <v>109.69097868775806</v>
      </c>
      <c r="H71" s="124">
        <f t="shared" si="63"/>
        <v>122.32674037062498</v>
      </c>
      <c r="I71" s="124">
        <f t="shared" si="63"/>
        <v>136.43841229799858</v>
      </c>
      <c r="J71" s="124">
        <f t="shared" si="63"/>
        <v>152.2007377443409</v>
      </c>
      <c r="K71" s="124">
        <f t="shared" si="63"/>
        <v>169.80942451037251</v>
      </c>
      <c r="L71" s="124">
        <f t="shared" si="63"/>
        <v>189.48369282750423</v>
      </c>
      <c r="M71" s="124">
        <f t="shared" si="63"/>
        <v>211.46913685855992</v>
      </c>
      <c r="N71" s="124">
        <f t="shared" si="63"/>
        <v>236.04093887265594</v>
      </c>
      <c r="O71" s="124">
        <f t="shared" si="63"/>
        <v>263.50748010101483</v>
      </c>
      <c r="P71" s="124">
        <f t="shared" si="63"/>
        <v>294.21439783851082</v>
      </c>
      <c r="Q71" s="124">
        <f t="shared" si="63"/>
        <v>328.54914462410778</v>
      </c>
      <c r="R71" s="68">
        <f>RATE(9,,-H71,Q71)</f>
        <v>0.11602889109857953</v>
      </c>
      <c r="S71" s="122" t="s">
        <v>67</v>
      </c>
      <c r="T71" s="135">
        <v>0.49999999999999994</v>
      </c>
      <c r="U71" s="135">
        <v>0.50076221990079761</v>
      </c>
      <c r="V71" s="135">
        <v>0.50152560175994976</v>
      </c>
      <c r="W71" s="135">
        <v>0.50229014734879163</v>
      </c>
      <c r="X71" s="135">
        <v>0.50305585844135947</v>
      </c>
      <c r="Y71" s="135">
        <v>0.50382273681439316</v>
      </c>
      <c r="Z71" s="135">
        <v>0.50459078424734172</v>
      </c>
      <c r="AA71" s="135">
        <v>0.50536000252236668</v>
      </c>
      <c r="AB71" s="135">
        <v>0.50613039342434607</v>
      </c>
      <c r="AC71" s="135">
        <v>0.50690195874087929</v>
      </c>
      <c r="AD71" s="135">
        <v>0.50767470026229067</v>
      </c>
      <c r="AE71" s="135">
        <v>0.50844861978163358</v>
      </c>
      <c r="AF71" s="135">
        <v>0.50922371909469488</v>
      </c>
      <c r="AG71" s="135">
        <v>0.50999999999999923</v>
      </c>
    </row>
    <row r="72" spans="1:33" s="117" customFormat="1" x14ac:dyDescent="0.35">
      <c r="A72" s="149"/>
      <c r="B72" s="122" t="s">
        <v>68</v>
      </c>
      <c r="C72" s="123"/>
      <c r="D72" s="124">
        <f>D63*T72</f>
        <v>4.5912945000000223</v>
      </c>
      <c r="E72" s="124">
        <f t="shared" ref="E72:Q72" si="64">E63*U72</f>
        <v>5.1961504139491312</v>
      </c>
      <c r="F72" s="124">
        <f t="shared" si="64"/>
        <v>5.8790716751964425</v>
      </c>
      <c r="G72" s="124">
        <f t="shared" si="64"/>
        <v>6.6500268873717481</v>
      </c>
      <c r="H72" s="124">
        <f t="shared" si="64"/>
        <v>7.5202515940708139</v>
      </c>
      <c r="I72" s="124">
        <f t="shared" si="64"/>
        <v>8.502409147800206</v>
      </c>
      <c r="J72" s="124">
        <f t="shared" si="64"/>
        <v>9.6107720379369397</v>
      </c>
      <c r="K72" s="124">
        <f t="shared" si="64"/>
        <v>10.861426288378643</v>
      </c>
      <c r="L72" s="124">
        <f t="shared" si="64"/>
        <v>12.272501870222513</v>
      </c>
      <c r="M72" s="124">
        <f>M63*AC72</f>
        <v>13.86443245261218</v>
      </c>
      <c r="N72" s="124">
        <f t="shared" si="64"/>
        <v>15.660248241422373</v>
      </c>
      <c r="O72" s="124">
        <f t="shared" si="64"/>
        <v>17.685906137032433</v>
      </c>
      <c r="P72" s="124">
        <f t="shared" si="64"/>
        <v>19.970661986227785</v>
      </c>
      <c r="Q72" s="124">
        <f t="shared" si="64"/>
        <v>22.547490317341499</v>
      </c>
      <c r="R72" s="68">
        <f>RATE(9,,-H72,Q72)</f>
        <v>0.12975713599792024</v>
      </c>
      <c r="S72" s="122" t="s">
        <v>68</v>
      </c>
      <c r="T72" s="135">
        <f>1-SUM(T70:T71)</f>
        <v>2.9000000000000137E-2</v>
      </c>
      <c r="U72" s="135">
        <f t="shared" ref="U72:AG72" si="65">1-SUM(U70:U71)</f>
        <v>2.9488276974057537E-2</v>
      </c>
      <c r="V72" s="135">
        <f t="shared" si="65"/>
        <v>2.9972071942129808E-2</v>
      </c>
      <c r="W72" s="135">
        <f t="shared" si="65"/>
        <v>3.0451391947550976E-2</v>
      </c>
      <c r="X72" s="135">
        <f t="shared" si="65"/>
        <v>3.0926244007551063E-2</v>
      </c>
      <c r="Y72" s="135">
        <f t="shared" si="65"/>
        <v>3.1396635113316029E-2</v>
      </c>
      <c r="Z72" s="135">
        <f t="shared" si="65"/>
        <v>3.1862572230043851E-2</v>
      </c>
      <c r="AA72" s="135">
        <f t="shared" si="65"/>
        <v>3.2324062297003131E-2</v>
      </c>
      <c r="AB72" s="135">
        <f t="shared" si="65"/>
        <v>3.2781112227590725E-2</v>
      </c>
      <c r="AC72" s="135">
        <f t="shared" si="65"/>
        <v>3.323372890938836E-2</v>
      </c>
      <c r="AD72" s="135">
        <f t="shared" si="65"/>
        <v>3.3681919204220589E-2</v>
      </c>
      <c r="AE72" s="135">
        <f t="shared" si="65"/>
        <v>3.4125689948211191E-2</v>
      </c>
      <c r="AF72" s="135">
        <f t="shared" si="65"/>
        <v>3.4565047951840344E-2</v>
      </c>
      <c r="AG72" s="135">
        <f t="shared" si="65"/>
        <v>3.5000000000001141E-2</v>
      </c>
    </row>
    <row r="73" spans="1:33" x14ac:dyDescent="0.35">
      <c r="A73" s="1"/>
      <c r="D73" s="81" t="b">
        <f>D63=SUM(D70:D72)</f>
        <v>1</v>
      </c>
      <c r="E73" s="81" t="b">
        <f t="shared" ref="E73:Q73" si="66">E63=SUM(E70:E72)</f>
        <v>1</v>
      </c>
      <c r="F73" s="81" t="b">
        <f t="shared" si="66"/>
        <v>1</v>
      </c>
      <c r="G73" s="81" t="b">
        <f t="shared" si="66"/>
        <v>1</v>
      </c>
      <c r="H73" s="81" t="b">
        <f t="shared" si="66"/>
        <v>1</v>
      </c>
      <c r="I73" s="81" t="b">
        <f t="shared" si="66"/>
        <v>1</v>
      </c>
      <c r="J73" s="81" t="b">
        <f t="shared" si="66"/>
        <v>0</v>
      </c>
      <c r="K73" s="81" t="b">
        <f t="shared" si="66"/>
        <v>1</v>
      </c>
      <c r="L73" s="81" t="b">
        <f t="shared" si="66"/>
        <v>0</v>
      </c>
      <c r="M73" s="81" t="b">
        <f t="shared" si="66"/>
        <v>1</v>
      </c>
      <c r="N73" s="81" t="b">
        <f t="shared" si="66"/>
        <v>1</v>
      </c>
      <c r="O73" s="81" t="b">
        <f t="shared" si="66"/>
        <v>1</v>
      </c>
      <c r="P73" s="81" t="b">
        <f t="shared" si="66"/>
        <v>1</v>
      </c>
      <c r="Q73" s="81" t="b">
        <f t="shared" si="66"/>
        <v>1</v>
      </c>
      <c r="R73" s="21"/>
    </row>
    <row r="74" spans="1:33" s="117" customFormat="1" x14ac:dyDescent="0.35">
      <c r="A74" s="149" t="s">
        <v>69</v>
      </c>
      <c r="B74" s="125" t="s">
        <v>70</v>
      </c>
      <c r="C74" s="126"/>
      <c r="D74" s="127">
        <f>D63*T74</f>
        <v>88.659480000000016</v>
      </c>
      <c r="E74" s="127">
        <f t="shared" ref="E74:Q74" si="67">E63*U74</f>
        <v>98.691555910500014</v>
      </c>
      <c r="F74" s="127">
        <f t="shared" si="67"/>
        <v>109.87510696737672</v>
      </c>
      <c r="G74" s="127">
        <f t="shared" si="67"/>
        <v>122.34415047214932</v>
      </c>
      <c r="H74" s="127">
        <f t="shared" si="67"/>
        <v>136.24851486065498</v>
      </c>
      <c r="I74" s="127">
        <f t="shared" si="67"/>
        <v>151.75572996712219</v>
      </c>
      <c r="J74" s="127">
        <f t="shared" si="67"/>
        <v>169.05314622107832</v>
      </c>
      <c r="K74" s="127">
        <f t="shared" si="67"/>
        <v>188.35031085698745</v>
      </c>
      <c r="L74" s="127">
        <f t="shared" si="67"/>
        <v>209.88163270363458</v>
      </c>
      <c r="M74" s="127">
        <f t="shared" si="67"/>
        <v>233.90937104572754</v>
      </c>
      <c r="N74" s="127">
        <f t="shared" si="67"/>
        <v>260.72698846974259</v>
      </c>
      <c r="O74" s="127">
        <f t="shared" si="67"/>
        <v>290.66291258262657</v>
      </c>
      <c r="P74" s="127">
        <f t="shared" si="67"/>
        <v>324.08475709663202</v>
      </c>
      <c r="Q74" s="127">
        <f t="shared" si="67"/>
        <v>361.40405908651911</v>
      </c>
      <c r="R74" s="68">
        <f>RATE(9,,-H74,Q74)</f>
        <v>0.1144830611756361</v>
      </c>
      <c r="S74" s="125" t="s">
        <v>70</v>
      </c>
      <c r="T74" s="135">
        <v>0.56000000000000005</v>
      </c>
      <c r="U74" s="135">
        <v>0.56007692307692314</v>
      </c>
      <c r="V74" s="135">
        <v>0.56015384615384622</v>
      </c>
      <c r="W74" s="135">
        <v>0.56023076923076931</v>
      </c>
      <c r="X74" s="135">
        <v>0.5603076923076924</v>
      </c>
      <c r="Y74" s="135">
        <v>0.56038461538461548</v>
      </c>
      <c r="Z74" s="135">
        <v>0.56046153846153846</v>
      </c>
      <c r="AA74" s="135">
        <v>0.56053846153846154</v>
      </c>
      <c r="AB74" s="135">
        <v>0.56061538461538463</v>
      </c>
      <c r="AC74" s="135">
        <v>0.56069230769230771</v>
      </c>
      <c r="AD74" s="135">
        <v>0.5607692307692308</v>
      </c>
      <c r="AE74" s="135">
        <v>0.56084615384615388</v>
      </c>
      <c r="AF74" s="135">
        <v>0.56092307692307697</v>
      </c>
      <c r="AG74" s="135">
        <v>0.56100000000000005</v>
      </c>
    </row>
    <row r="75" spans="1:33" s="117" customFormat="1" x14ac:dyDescent="0.35">
      <c r="A75" s="149"/>
      <c r="B75" s="125" t="s">
        <v>71</v>
      </c>
      <c r="C75" s="126"/>
      <c r="D75" s="127">
        <f>D63*T75</f>
        <v>39.580125000000002</v>
      </c>
      <c r="E75" s="127">
        <f t="shared" ref="E75:Q75" si="68">E63*U75</f>
        <v>44.09334313650001</v>
      </c>
      <c r="F75" s="127">
        <f t="shared" si="68"/>
        <v>49.128446619854238</v>
      </c>
      <c r="G75" s="127">
        <f t="shared" si="68"/>
        <v>54.746613536830239</v>
      </c>
      <c r="H75" s="127">
        <f t="shared" si="68"/>
        <v>61.016289878563491</v>
      </c>
      <c r="I75" s="127">
        <f t="shared" si="68"/>
        <v>68.014064288627864</v>
      </c>
      <c r="J75" s="127">
        <f t="shared" si="68"/>
        <v>75.825649444205865</v>
      </c>
      <c r="K75" s="127">
        <f t="shared" si="68"/>
        <v>84.546983232222587</v>
      </c>
      <c r="L75" s="127">
        <f t="shared" si="68"/>
        <v>94.285464526852309</v>
      </c>
      <c r="M75" s="127">
        <f t="shared" si="68"/>
        <v>105.16134022730816</v>
      </c>
      <c r="N75" s="127">
        <f t="shared" si="68"/>
        <v>117.30926230188692</v>
      </c>
      <c r="O75" s="127">
        <f t="shared" si="68"/>
        <v>130.88003593591594</v>
      </c>
      <c r="P75" s="127">
        <f t="shared" si="68"/>
        <v>146.04258253147736</v>
      </c>
      <c r="Q75" s="127">
        <f t="shared" si="68"/>
        <v>162.98614429392038</v>
      </c>
      <c r="R75" s="68">
        <f>RATE(9,,-H75,Q75)</f>
        <v>0.11535123979201165</v>
      </c>
      <c r="S75" s="125" t="s">
        <v>71</v>
      </c>
      <c r="T75" s="135">
        <v>0.25</v>
      </c>
      <c r="U75" s="135">
        <v>0.25023076923076926</v>
      </c>
      <c r="V75" s="135">
        <v>0.25046153846153846</v>
      </c>
      <c r="W75" s="135">
        <v>0.25069230769230771</v>
      </c>
      <c r="X75" s="135">
        <v>0.25092307692307692</v>
      </c>
      <c r="Y75" s="135">
        <v>0.25115384615384617</v>
      </c>
      <c r="Z75" s="135">
        <v>0.25138461538461537</v>
      </c>
      <c r="AA75" s="135">
        <v>0.25161538461538463</v>
      </c>
      <c r="AB75" s="135">
        <v>0.25184615384615383</v>
      </c>
      <c r="AC75" s="135">
        <v>0.25207692307692309</v>
      </c>
      <c r="AD75" s="135">
        <v>0.25230769230769229</v>
      </c>
      <c r="AE75" s="135">
        <v>0.25253846153846154</v>
      </c>
      <c r="AF75" s="135">
        <v>0.2527692307692308</v>
      </c>
      <c r="AG75" s="135">
        <v>0.253</v>
      </c>
    </row>
    <row r="76" spans="1:33" s="117" customFormat="1" x14ac:dyDescent="0.35">
      <c r="A76" s="149"/>
      <c r="B76" s="125" t="s">
        <v>72</v>
      </c>
      <c r="C76" s="126"/>
      <c r="D76" s="127">
        <f>D63*T76</f>
        <v>20.581665000000001</v>
      </c>
      <c r="E76" s="127">
        <f t="shared" ref="E76:Q76" si="69">E63*U76</f>
        <v>22.934502486000007</v>
      </c>
      <c r="F76" s="127">
        <f t="shared" si="69"/>
        <v>25.560070200870111</v>
      </c>
      <c r="G76" s="127">
        <f t="shared" si="69"/>
        <v>28.490413181486375</v>
      </c>
      <c r="H76" s="127">
        <f t="shared" si="69"/>
        <v>31.761391849724347</v>
      </c>
      <c r="I76" s="127">
        <f t="shared" si="69"/>
        <v>35.413142202348347</v>
      </c>
      <c r="J76" s="127">
        <f t="shared" si="69"/>
        <v>39.490592213598049</v>
      </c>
      <c r="K76" s="127">
        <f t="shared" si="69"/>
        <v>44.044041402539683</v>
      </c>
      <c r="L76" s="127">
        <f t="shared" si="69"/>
        <v>49.129811387541245</v>
      </c>
      <c r="M76" s="127">
        <f t="shared" si="69"/>
        <v>54.810976230772766</v>
      </c>
      <c r="N76" s="127">
        <f t="shared" si="69"/>
        <v>61.15818248055691</v>
      </c>
      <c r="O76" s="127">
        <f t="shared" si="69"/>
        <v>68.250570064662838</v>
      </c>
      <c r="P76" s="127">
        <f t="shared" si="69"/>
        <v>76.17680659128186</v>
      </c>
      <c r="Q76" s="127">
        <f t="shared" si="69"/>
        <v>85.036249196828024</v>
      </c>
      <c r="R76" s="68">
        <f>RATE(9,,-H76,Q76)</f>
        <v>0.11563653976803091</v>
      </c>
      <c r="S76" s="125" t="s">
        <v>72</v>
      </c>
      <c r="T76" s="135">
        <v>0.13</v>
      </c>
      <c r="U76" s="135">
        <v>0.13015384615384618</v>
      </c>
      <c r="V76" s="135">
        <v>0.13030769230769232</v>
      </c>
      <c r="W76" s="135">
        <v>0.13046153846153849</v>
      </c>
      <c r="X76" s="135">
        <v>0.13061538461538463</v>
      </c>
      <c r="Y76" s="135">
        <v>0.13076923076923078</v>
      </c>
      <c r="Z76" s="135">
        <v>0.13092307692307695</v>
      </c>
      <c r="AA76" s="135">
        <v>0.13107692307692309</v>
      </c>
      <c r="AB76" s="135">
        <v>0.13123076923076923</v>
      </c>
      <c r="AC76" s="135">
        <v>0.13138461538461541</v>
      </c>
      <c r="AD76" s="135">
        <v>0.13153846153846155</v>
      </c>
      <c r="AE76" s="135">
        <v>0.13169230769230772</v>
      </c>
      <c r="AF76" s="135">
        <v>0.13184615384615386</v>
      </c>
      <c r="AG76" s="135">
        <v>0.13200000000000001</v>
      </c>
    </row>
    <row r="77" spans="1:33" s="117" customFormat="1" x14ac:dyDescent="0.35">
      <c r="A77" s="149"/>
      <c r="B77" s="125" t="s">
        <v>73</v>
      </c>
      <c r="C77" s="126"/>
      <c r="D77" s="127">
        <f>D63*T77</f>
        <v>3.1664100000000004</v>
      </c>
      <c r="E77" s="127">
        <f t="shared" ref="E77:Q77" si="70">E63*U77</f>
        <v>3.5377690005</v>
      </c>
      <c r="F77" s="127">
        <f t="shared" si="70"/>
        <v>3.9532103852585414</v>
      </c>
      <c r="G77" s="127">
        <f t="shared" si="70"/>
        <v>4.4180298742517188</v>
      </c>
      <c r="H77" s="127">
        <f t="shared" si="70"/>
        <v>4.9381669306991913</v>
      </c>
      <c r="I77" s="127">
        <f t="shared" si="70"/>
        <v>5.5202839315425356</v>
      </c>
      <c r="J77" s="127">
        <f t="shared" si="70"/>
        <v>6.1718551873190828</v>
      </c>
      <c r="K77" s="127">
        <f t="shared" si="70"/>
        <v>6.9012670507500546</v>
      </c>
      <c r="L77" s="127">
        <f t="shared" si="70"/>
        <v>7.7179305110557177</v>
      </c>
      <c r="M77" s="127">
        <f t="shared" si="70"/>
        <v>8.6324078489917273</v>
      </c>
      <c r="N77" s="127">
        <f t="shared" si="70"/>
        <v>9.6565551285089857</v>
      </c>
      <c r="O77" s="127">
        <f t="shared" si="70"/>
        <v>10.803682527759127</v>
      </c>
      <c r="P77" s="127">
        <f t="shared" si="70"/>
        <v>12.088734768278099</v>
      </c>
      <c r="Q77" s="127">
        <f t="shared" si="70"/>
        <v>13.528494190404459</v>
      </c>
      <c r="R77" s="68">
        <f>RATE(9,,-H77,Q77)</f>
        <v>0.11848849549724227</v>
      </c>
      <c r="S77" s="125" t="s">
        <v>73</v>
      </c>
      <c r="T77" s="135">
        <v>0.02</v>
      </c>
      <c r="U77" s="135">
        <v>2.0076923076923076E-2</v>
      </c>
      <c r="V77" s="135">
        <v>2.0153846153846154E-2</v>
      </c>
      <c r="W77" s="135">
        <v>2.0230769230769229E-2</v>
      </c>
      <c r="X77" s="135">
        <v>2.0307692307692308E-2</v>
      </c>
      <c r="Y77" s="135">
        <v>2.0384615384615383E-2</v>
      </c>
      <c r="Z77" s="135">
        <v>2.0461538461538462E-2</v>
      </c>
      <c r="AA77" s="135">
        <v>2.0538461538461537E-2</v>
      </c>
      <c r="AB77" s="135">
        <v>2.0615384615384615E-2</v>
      </c>
      <c r="AC77" s="135">
        <v>2.069230769230769E-2</v>
      </c>
      <c r="AD77" s="135">
        <v>2.0769230769230769E-2</v>
      </c>
      <c r="AE77" s="135">
        <v>2.0846153846153844E-2</v>
      </c>
      <c r="AF77" s="135">
        <v>2.0923076923076923E-2</v>
      </c>
      <c r="AG77" s="135">
        <v>2.1000000000000001E-2</v>
      </c>
    </row>
    <row r="78" spans="1:33" s="117" customFormat="1" x14ac:dyDescent="0.35">
      <c r="A78" s="149"/>
      <c r="B78" s="125" t="s">
        <v>74</v>
      </c>
      <c r="C78" s="126"/>
      <c r="D78" s="127">
        <f>D63*T78</f>
        <v>6.3328199999999883</v>
      </c>
      <c r="E78" s="127">
        <f t="shared" ref="E78:Q78" si="71">E63*U78</f>
        <v>6.953545966499977</v>
      </c>
      <c r="F78" s="127">
        <f t="shared" si="71"/>
        <v>7.6348261638962285</v>
      </c>
      <c r="G78" s="127">
        <f t="shared" si="71"/>
        <v>8.3824977462037751</v>
      </c>
      <c r="H78" s="127">
        <f t="shared" si="71"/>
        <v>9.2029474617575335</v>
      </c>
      <c r="I78" s="127">
        <f t="shared" si="71"/>
        <v>10.103161157728781</v>
      </c>
      <c r="J78" s="127">
        <f t="shared" si="71"/>
        <v>11.090777366686172</v>
      </c>
      <c r="K78" s="127">
        <f t="shared" si="71"/>
        <v>12.174145246828731</v>
      </c>
      <c r="L78" s="127">
        <f t="shared" si="71"/>
        <v>13.3623871534696</v>
      </c>
      <c r="M78" s="127">
        <f t="shared" si="71"/>
        <v>14.665466122636479</v>
      </c>
      <c r="N78" s="127">
        <f t="shared" si="71"/>
        <v>16.094258547514968</v>
      </c>
      <c r="O78" s="127">
        <f t="shared" si="71"/>
        <v>17.660632323975214</v>
      </c>
      <c r="P78" s="127">
        <f t="shared" si="71"/>
        <v>19.377530731504589</v>
      </c>
      <c r="Q78" s="127">
        <f t="shared" si="71"/>
        <v>21.259062299206953</v>
      </c>
      <c r="R78" s="68">
        <f>RATE(9,,-H78,Q78)</f>
        <v>9.7493373909201111E-2</v>
      </c>
      <c r="S78" s="125" t="s">
        <v>74</v>
      </c>
      <c r="T78" s="135">
        <f>1-SUM(T74:T77)</f>
        <v>3.9999999999999925E-2</v>
      </c>
      <c r="U78" s="135">
        <f t="shared" ref="U78:AG78" si="72">1-SUM(U74:U77)</f>
        <v>3.9461538461538326E-2</v>
      </c>
      <c r="V78" s="135">
        <f t="shared" si="72"/>
        <v>3.8923076923076727E-2</v>
      </c>
      <c r="W78" s="135">
        <f t="shared" si="72"/>
        <v>3.8384615384615128E-2</v>
      </c>
      <c r="X78" s="135">
        <f t="shared" si="72"/>
        <v>3.7846153846153641E-2</v>
      </c>
      <c r="Y78" s="135">
        <f t="shared" si="72"/>
        <v>3.7307692307692264E-2</v>
      </c>
      <c r="Z78" s="135">
        <f t="shared" si="72"/>
        <v>3.6769230769230776E-2</v>
      </c>
      <c r="AA78" s="135">
        <f t="shared" si="72"/>
        <v>3.6230769230769178E-2</v>
      </c>
      <c r="AB78" s="135">
        <f t="shared" si="72"/>
        <v>3.569230769230769E-2</v>
      </c>
      <c r="AC78" s="135">
        <f t="shared" si="72"/>
        <v>3.5153846153846091E-2</v>
      </c>
      <c r="AD78" s="135">
        <f t="shared" si="72"/>
        <v>3.4615384615384603E-2</v>
      </c>
      <c r="AE78" s="135">
        <f t="shared" si="72"/>
        <v>3.4076923076923005E-2</v>
      </c>
      <c r="AF78" s="135">
        <f t="shared" si="72"/>
        <v>3.3538461538461517E-2</v>
      </c>
      <c r="AG78" s="135">
        <f t="shared" si="72"/>
        <v>3.2999999999999918E-2</v>
      </c>
    </row>
    <row r="79" spans="1:33" x14ac:dyDescent="0.35">
      <c r="A79" s="2"/>
      <c r="D79" s="81" t="b">
        <f>D63=SUM(D74:D78)</f>
        <v>1</v>
      </c>
      <c r="E79" s="81" t="b">
        <f t="shared" ref="E79:Q79" si="73">E63=SUM(E74:E78)</f>
        <v>1</v>
      </c>
      <c r="F79" s="81" t="b">
        <f t="shared" si="73"/>
        <v>1</v>
      </c>
      <c r="G79" s="81" t="b">
        <f t="shared" si="73"/>
        <v>1</v>
      </c>
      <c r="H79" s="81" t="b">
        <f t="shared" si="73"/>
        <v>1</v>
      </c>
      <c r="I79" s="81" t="b">
        <f t="shared" si="73"/>
        <v>1</v>
      </c>
      <c r="J79" s="81" t="b">
        <f t="shared" si="73"/>
        <v>1</v>
      </c>
      <c r="K79" s="81" t="b">
        <f t="shared" si="73"/>
        <v>1</v>
      </c>
      <c r="L79" s="81" t="b">
        <f t="shared" si="73"/>
        <v>1</v>
      </c>
      <c r="M79" s="81" t="b">
        <f t="shared" si="73"/>
        <v>1</v>
      </c>
      <c r="N79" s="81" t="b">
        <f t="shared" si="73"/>
        <v>1</v>
      </c>
      <c r="O79" s="81" t="b">
        <f t="shared" si="73"/>
        <v>1</v>
      </c>
      <c r="P79" s="81" t="b">
        <f t="shared" si="73"/>
        <v>1</v>
      </c>
      <c r="Q79" s="81" t="b">
        <f t="shared" si="73"/>
        <v>1</v>
      </c>
      <c r="R79" s="21"/>
    </row>
    <row r="80" spans="1:33" s="117" customFormat="1" x14ac:dyDescent="0.35">
      <c r="A80" s="149" t="s">
        <v>75</v>
      </c>
      <c r="B80" s="128" t="s">
        <v>76</v>
      </c>
      <c r="C80" s="129"/>
      <c r="D80" s="130">
        <f>D63*T80</f>
        <v>39.580125000000002</v>
      </c>
      <c r="E80" s="130">
        <f t="shared" ref="E80:Q80" si="74">E63*U80</f>
        <v>44.079688880302463</v>
      </c>
      <c r="F80" s="130">
        <f t="shared" si="74"/>
        <v>49.098066165033778</v>
      </c>
      <c r="G80" s="130">
        <f t="shared" si="74"/>
        <v>54.695909086044345</v>
      </c>
      <c r="H80" s="130">
        <f t="shared" si="74"/>
        <v>60.941056635926266</v>
      </c>
      <c r="I80" s="130">
        <f t="shared" si="74"/>
        <v>67.909397415918406</v>
      </c>
      <c r="J80" s="130">
        <f t="shared" si="74"/>
        <v>75.685837418977798</v>
      </c>
      <c r="K80" s="130">
        <f t="shared" si="74"/>
        <v>84.365385671254543</v>
      </c>
      <c r="L80" s="130">
        <f t="shared" si="74"/>
        <v>94.054372266479618</v>
      </c>
      <c r="M80" s="130">
        <f t="shared" si="74"/>
        <v>104.87181514237759</v>
      </c>
      <c r="N80" s="130">
        <f t="shared" si="74"/>
        <v>116.95095399211344</v>
      </c>
      <c r="O80" s="130">
        <f t="shared" si="74"/>
        <v>130.44097200629304</v>
      </c>
      <c r="P80" s="130">
        <f t="shared" si="74"/>
        <v>145.50892873526848</v>
      </c>
      <c r="Q80" s="130">
        <f t="shared" si="74"/>
        <v>162.34193028485328</v>
      </c>
      <c r="R80" s="68">
        <f t="shared" ref="R80:R86" si="75">RATE(9,,-H80,Q80)</f>
        <v>0.11501338442569677</v>
      </c>
      <c r="S80" s="128" t="s">
        <v>76</v>
      </c>
      <c r="T80" s="135">
        <v>0.25</v>
      </c>
      <c r="U80" s="135">
        <v>0.25015328100264811</v>
      </c>
      <c r="V80" s="135">
        <v>0.25030665598555929</v>
      </c>
      <c r="W80" s="135">
        <v>0.25046012500635517</v>
      </c>
      <c r="X80" s="135">
        <v>0.25061368812269258</v>
      </c>
      <c r="Y80" s="135">
        <v>0.2507673453922637</v>
      </c>
      <c r="Z80" s="135">
        <v>0.25092109687279618</v>
      </c>
      <c r="AA80" s="135">
        <v>0.2510749426220531</v>
      </c>
      <c r="AB80" s="135">
        <v>0.25122888269783278</v>
      </c>
      <c r="AC80" s="135">
        <v>0.25138291715796912</v>
      </c>
      <c r="AD80" s="135">
        <v>0.25153704606033145</v>
      </c>
      <c r="AE80" s="135">
        <v>0.25169126946282455</v>
      </c>
      <c r="AF80" s="135">
        <v>0.25184558742338869</v>
      </c>
      <c r="AG80" s="135">
        <v>0.25199999999999967</v>
      </c>
    </row>
    <row r="81" spans="1:33" s="117" customFormat="1" x14ac:dyDescent="0.35">
      <c r="A81" s="149"/>
      <c r="B81" s="128" t="s">
        <v>77</v>
      </c>
      <c r="C81" s="129"/>
      <c r="D81" s="130">
        <f>D63*T81</f>
        <v>31.664100000000008</v>
      </c>
      <c r="E81" s="130">
        <f t="shared" ref="E81:Q81" si="76">E63*U81</f>
        <v>35.501472397314608</v>
      </c>
      <c r="F81" s="130">
        <f t="shared" si="76"/>
        <v>39.809808609470387</v>
      </c>
      <c r="G81" s="130">
        <f t="shared" si="76"/>
        <v>44.647629518632129</v>
      </c>
      <c r="H81" s="130">
        <f t="shared" si="76"/>
        <v>50.08081625653837</v>
      </c>
      <c r="I81" s="130">
        <f t="shared" si="76"/>
        <v>56.18354696043766</v>
      </c>
      <c r="J81" s="130">
        <f t="shared" si="76"/>
        <v>63.039354146814226</v>
      </c>
      <c r="K81" s="130">
        <f t="shared" si="76"/>
        <v>70.742318411976143</v>
      </c>
      <c r="L81" s="130">
        <f t="shared" si="76"/>
        <v>79.398416237537148</v>
      </c>
      <c r="M81" s="130">
        <f t="shared" si="76"/>
        <v>89.12704202328247</v>
      </c>
      <c r="N81" s="130">
        <f t="shared" si="76"/>
        <v>100.06272712695728</v>
      </c>
      <c r="O81" s="130">
        <f t="shared" si="76"/>
        <v>112.35708170227784</v>
      </c>
      <c r="P81" s="130">
        <f t="shared" si="76"/>
        <v>126.18098854081374</v>
      </c>
      <c r="Q81" s="130">
        <f t="shared" si="76"/>
        <v>141.72708199471339</v>
      </c>
      <c r="R81" s="68">
        <f t="shared" si="75"/>
        <v>0.12252995357216392</v>
      </c>
      <c r="S81" s="128" t="s">
        <v>77</v>
      </c>
      <c r="T81" s="135">
        <v>0.20000000000000004</v>
      </c>
      <c r="U81" s="135">
        <v>0.20147169878464574</v>
      </c>
      <c r="V81" s="135">
        <v>0.20295422705585509</v>
      </c>
      <c r="W81" s="135">
        <v>0.20444766450233912</v>
      </c>
      <c r="X81" s="135">
        <v>0.20595209139919785</v>
      </c>
      <c r="Y81" s="135">
        <v>0.20746758861223505</v>
      </c>
      <c r="Z81" s="135">
        <v>0.20899423760230507</v>
      </c>
      <c r="AA81" s="135">
        <v>0.21053212042969136</v>
      </c>
      <c r="AB81" s="135">
        <v>0.21208131975851768</v>
      </c>
      <c r="AC81" s="135">
        <v>0.21364191886119097</v>
      </c>
      <c r="AD81" s="135">
        <v>0.21521400162287799</v>
      </c>
      <c r="AE81" s="135">
        <v>0.21679765254601358</v>
      </c>
      <c r="AF81" s="135">
        <v>0.21839295675484363</v>
      </c>
      <c r="AG81" s="135">
        <v>0.22000000000000006</v>
      </c>
    </row>
    <row r="82" spans="1:33" s="117" customFormat="1" x14ac:dyDescent="0.35">
      <c r="A82" s="149"/>
      <c r="B82" s="128" t="s">
        <v>78</v>
      </c>
      <c r="C82" s="129"/>
      <c r="D82" s="132">
        <f>D63*T82</f>
        <v>28.497690000000006</v>
      </c>
      <c r="E82" s="132">
        <f t="shared" ref="E82:Q82" si="77">E63*U82</f>
        <v>31.744900270954989</v>
      </c>
      <c r="F82" s="132">
        <f t="shared" si="77"/>
        <v>35.367371425408429</v>
      </c>
      <c r="G82" s="132">
        <f t="shared" si="77"/>
        <v>39.409070489823726</v>
      </c>
      <c r="H82" s="132">
        <f t="shared" si="77"/>
        <v>43.919185435501902</v>
      </c>
      <c r="I82" s="132">
        <f t="shared" si="77"/>
        <v>48.952753330079972</v>
      </c>
      <c r="J82" s="132">
        <f t="shared" si="77"/>
        <v>54.571365039026212</v>
      </c>
      <c r="K82" s="132">
        <f t="shared" si="77"/>
        <v>60.843955923615532</v>
      </c>
      <c r="L82" s="132">
        <f t="shared" si="77"/>
        <v>67.847693161983486</v>
      </c>
      <c r="M82" s="132">
        <f t="shared" si="77"/>
        <v>75.668971649180435</v>
      </c>
      <c r="N82" s="132">
        <f t="shared" si="77"/>
        <v>84.404531929772233</v>
      </c>
      <c r="O82" s="132">
        <f t="shared" si="77"/>
        <v>94.162715304014569</v>
      </c>
      <c r="P82" s="132">
        <f t="shared" si="77"/>
        <v>105.06487315032183</v>
      </c>
      <c r="Q82" s="132">
        <f t="shared" si="77"/>
        <v>117.2469496501718</v>
      </c>
      <c r="R82" s="68">
        <f t="shared" si="75"/>
        <v>0.11527773109751237</v>
      </c>
      <c r="S82" s="128" t="s">
        <v>78</v>
      </c>
      <c r="T82" s="133">
        <v>0.18000000000000002</v>
      </c>
      <c r="U82" s="133">
        <v>0.18015306277331314</v>
      </c>
      <c r="V82" s="133">
        <v>0.18030625570336284</v>
      </c>
      <c r="W82" s="133">
        <v>0.18045957890082762</v>
      </c>
      <c r="X82" s="133">
        <v>0.18061303247648028</v>
      </c>
      <c r="Y82" s="133">
        <v>0.18076661654118778</v>
      </c>
      <c r="Z82" s="133">
        <v>0.18092033120591131</v>
      </c>
      <c r="AA82" s="133">
        <v>0.18107417658170627</v>
      </c>
      <c r="AB82" s="133">
        <v>0.1812281527797229</v>
      </c>
      <c r="AC82" s="133">
        <v>0.1813822599112056</v>
      </c>
      <c r="AD82" s="133">
        <v>0.18153649808749345</v>
      </c>
      <c r="AE82" s="133">
        <v>0.18169086742002025</v>
      </c>
      <c r="AF82" s="133">
        <v>0.18184536802031454</v>
      </c>
      <c r="AG82" s="133">
        <v>0.18199999999999975</v>
      </c>
    </row>
    <row r="83" spans="1:33" s="117" customFormat="1" x14ac:dyDescent="0.35">
      <c r="A83" s="149"/>
      <c r="B83" s="128" t="s">
        <v>79</v>
      </c>
      <c r="C83" s="129"/>
      <c r="D83" s="132">
        <f>D63*T83</f>
        <v>15.832049999999999</v>
      </c>
      <c r="E83" s="132">
        <f t="shared" ref="E83:Q83" si="78">E63*U83</f>
        <v>17.647933912970025</v>
      </c>
      <c r="F83" s="132">
        <f t="shared" si="78"/>
        <v>19.6750158973711</v>
      </c>
      <c r="G83" s="132">
        <f t="shared" si="78"/>
        <v>21.938195737551613</v>
      </c>
      <c r="H83" s="132">
        <f t="shared" si="78"/>
        <v>24.465348074124993</v>
      </c>
      <c r="I83" s="132">
        <f t="shared" si="78"/>
        <v>27.287682459599718</v>
      </c>
      <c r="J83" s="132">
        <f t="shared" si="78"/>
        <v>30.440147548868179</v>
      </c>
      <c r="K83" s="132">
        <f t="shared" si="78"/>
        <v>33.961884902074502</v>
      </c>
      <c r="L83" s="132">
        <f t="shared" si="78"/>
        <v>37.896738565500847</v>
      </c>
      <c r="M83" s="132">
        <f t="shared" si="78"/>
        <v>42.293827371711991</v>
      </c>
      <c r="N83" s="132">
        <f t="shared" si="78"/>
        <v>47.208187774531183</v>
      </c>
      <c r="O83" s="132">
        <f t="shared" si="78"/>
        <v>52.701496020202967</v>
      </c>
      <c r="P83" s="132">
        <f t="shared" si="78"/>
        <v>58.842879567702163</v>
      </c>
      <c r="Q83" s="132">
        <f t="shared" si="78"/>
        <v>65.709828924821551</v>
      </c>
      <c r="R83" s="68">
        <f t="shared" si="75"/>
        <v>0.1160288910985796</v>
      </c>
      <c r="S83" s="128" t="s">
        <v>79</v>
      </c>
      <c r="T83" s="133">
        <v>9.9999999999999992E-2</v>
      </c>
      <c r="U83" s="133">
        <v>0.10015244398015953</v>
      </c>
      <c r="V83" s="133">
        <v>0.10030512035198993</v>
      </c>
      <c r="W83" s="133">
        <v>0.10045802946975833</v>
      </c>
      <c r="X83" s="133">
        <v>0.10061117168827188</v>
      </c>
      <c r="Y83" s="133">
        <v>0.10076454736287864</v>
      </c>
      <c r="Z83" s="133">
        <v>0.10091815684946834</v>
      </c>
      <c r="AA83" s="133">
        <v>0.10107200050447333</v>
      </c>
      <c r="AB83" s="133">
        <v>0.10122607868486923</v>
      </c>
      <c r="AC83" s="133">
        <v>0.10138039174817587</v>
      </c>
      <c r="AD83" s="133">
        <v>0.10153494005245813</v>
      </c>
      <c r="AE83" s="133">
        <v>0.10168972395632671</v>
      </c>
      <c r="AF83" s="133">
        <v>0.10184474381893897</v>
      </c>
      <c r="AG83" s="133">
        <v>0.10199999999999985</v>
      </c>
    </row>
    <row r="84" spans="1:33" s="117" customFormat="1" x14ac:dyDescent="0.35">
      <c r="A84" s="149"/>
      <c r="B84" s="128" t="s">
        <v>80</v>
      </c>
      <c r="C84" s="129"/>
      <c r="D84" s="132">
        <f>D63*T84</f>
        <v>20.581665000000008</v>
      </c>
      <c r="E84" s="132">
        <f t="shared" ref="E84:Q84" si="79">E63*U84</f>
        <v>22.973992272608598</v>
      </c>
      <c r="F84" s="132">
        <f t="shared" si="79"/>
        <v>25.648203060160789</v>
      </c>
      <c r="G84" s="132">
        <f t="shared" si="79"/>
        <v>28.637955378031894</v>
      </c>
      <c r="H84" s="132">
        <f t="shared" si="79"/>
        <v>31.980978655823723</v>
      </c>
      <c r="I84" s="132">
        <f t="shared" si="79"/>
        <v>35.71957252435282</v>
      </c>
      <c r="J84" s="132">
        <f t="shared" si="79"/>
        <v>39.901167472532833</v>
      </c>
      <c r="K84" s="132">
        <f t="shared" si="79"/>
        <v>44.578955142438176</v>
      </c>
      <c r="L84" s="132">
        <f t="shared" si="79"/>
        <v>49.812597017900316</v>
      </c>
      <c r="M84" s="132">
        <f t="shared" si="79"/>
        <v>55.669021375945071</v>
      </c>
      <c r="N84" s="132">
        <f t="shared" si="79"/>
        <v>62.223319627730127</v>
      </c>
      <c r="O84" s="132">
        <f t="shared" si="79"/>
        <v>69.559754595056845</v>
      </c>
      <c r="P84" s="132">
        <f t="shared" si="79"/>
        <v>77.772894871139115</v>
      </c>
      <c r="Q84" s="132">
        <f t="shared" si="79"/>
        <v>86.968891224028624</v>
      </c>
      <c r="R84" s="68">
        <f t="shared" si="75"/>
        <v>0.11756987647512043</v>
      </c>
      <c r="S84" s="128" t="s">
        <v>80</v>
      </c>
      <c r="T84" s="133">
        <v>0.13000000000000003</v>
      </c>
      <c r="U84" s="133">
        <v>0.13037795163047644</v>
      </c>
      <c r="V84" s="133">
        <v>0.13075700208737578</v>
      </c>
      <c r="W84" s="133">
        <v>0.13113715456533831</v>
      </c>
      <c r="X84" s="133">
        <v>0.1315184122682922</v>
      </c>
      <c r="Y84" s="133">
        <v>0.13190077840948042</v>
      </c>
      <c r="Z84" s="133">
        <v>0.13228425621148787</v>
      </c>
      <c r="AA84" s="133">
        <v>0.13266884890626857</v>
      </c>
      <c r="AB84" s="133">
        <v>0.1330545597351728</v>
      </c>
      <c r="AC84" s="133">
        <v>0.13344139194897456</v>
      </c>
      <c r="AD84" s="133">
        <v>0.13382934880789885</v>
      </c>
      <c r="AE84" s="133">
        <v>0.13421843358164914</v>
      </c>
      <c r="AF84" s="133">
        <v>0.13460864954943511</v>
      </c>
      <c r="AG84" s="133">
        <v>0.13499999999999995</v>
      </c>
    </row>
    <row r="85" spans="1:33" s="117" customFormat="1" x14ac:dyDescent="0.35">
      <c r="A85" s="149"/>
      <c r="B85" s="128" t="s">
        <v>81</v>
      </c>
      <c r="C85" s="129"/>
      <c r="D85" s="132">
        <f>D63*T85</f>
        <v>3.1664099999999995</v>
      </c>
      <c r="E85" s="132">
        <f t="shared" ref="E85:Q85" si="80">E63*U85</f>
        <v>3.5623072717003166</v>
      </c>
      <c r="F85" s="132">
        <f t="shared" si="80"/>
        <v>4.0082990293087839</v>
      </c>
      <c r="G85" s="132">
        <f t="shared" si="80"/>
        <v>4.5107986481573796</v>
      </c>
      <c r="H85" s="132">
        <f t="shared" si="80"/>
        <v>5.0770500704251242</v>
      </c>
      <c r="I85" s="132">
        <f t="shared" si="80"/>
        <v>5.7152365878579454</v>
      </c>
      <c r="J85" s="132">
        <f t="shared" si="80"/>
        <v>6.4346040308005499</v>
      </c>
      <c r="K85" s="132">
        <f t="shared" si="80"/>
        <v>7.245600292251658</v>
      </c>
      <c r="L85" s="132">
        <f t="shared" si="80"/>
        <v>8.1600333766420601</v>
      </c>
      <c r="M85" s="132">
        <f t="shared" si="80"/>
        <v>9.1912504597119185</v>
      </c>
      <c r="N85" s="132">
        <f t="shared" si="80"/>
        <v>10.354340783160659</v>
      </c>
      <c r="O85" s="132">
        <f t="shared" si="80"/>
        <v>11.666365591278751</v>
      </c>
      <c r="P85" s="132">
        <f t="shared" si="80"/>
        <v>13.146618752950218</v>
      </c>
      <c r="Q85" s="132">
        <f t="shared" si="80"/>
        <v>14.816922208538191</v>
      </c>
      <c r="R85" s="68">
        <f t="shared" si="75"/>
        <v>0.1263748645574298</v>
      </c>
      <c r="S85" s="128" t="s">
        <v>81</v>
      </c>
      <c r="T85" s="133">
        <v>1.9999999999999997E-2</v>
      </c>
      <c r="U85" s="133">
        <v>2.0216178348609781E-2</v>
      </c>
      <c r="V85" s="133">
        <v>2.0434693351139947E-2</v>
      </c>
      <c r="W85" s="133">
        <v>2.065557026428979E-2</v>
      </c>
      <c r="X85" s="133">
        <v>2.0878834617756165E-2</v>
      </c>
      <c r="Y85" s="133">
        <v>2.1104512217184332E-2</v>
      </c>
      <c r="Z85" s="133">
        <v>2.1332629147150631E-2</v>
      </c>
      <c r="AA85" s="133">
        <v>2.1563211774177433E-2</v>
      </c>
      <c r="AB85" s="133">
        <v>2.179628674978067E-2</v>
      </c>
      <c r="AC85" s="133">
        <v>2.2031881013550313E-2</v>
      </c>
      <c r="AD85" s="133">
        <v>2.2270021796264142E-2</v>
      </c>
      <c r="AE85" s="133">
        <v>2.2510736623035158E-2</v>
      </c>
      <c r="AF85" s="133">
        <v>2.275405331649304E-2</v>
      </c>
      <c r="AG85" s="133">
        <v>2.2999999999999961E-2</v>
      </c>
    </row>
    <row r="86" spans="1:33" s="117" customFormat="1" x14ac:dyDescent="0.35">
      <c r="A86" s="149"/>
      <c r="B86" s="128" t="s">
        <v>82</v>
      </c>
      <c r="C86" s="129"/>
      <c r="D86" s="132">
        <f>D63*T86</f>
        <v>18.998459999999984</v>
      </c>
      <c r="E86" s="132">
        <f t="shared" ref="E86:Q86" si="81">E63*U86</f>
        <v>20.700421494149023</v>
      </c>
      <c r="F86" s="132">
        <f t="shared" si="81"/>
        <v>22.544896150502616</v>
      </c>
      <c r="G86" s="132">
        <f t="shared" si="81"/>
        <v>24.542145952680393</v>
      </c>
      <c r="H86" s="132">
        <f t="shared" si="81"/>
        <v>26.702875853059172</v>
      </c>
      <c r="I86" s="132">
        <f t="shared" si="81"/>
        <v>29.038192269123176</v>
      </c>
      <c r="J86" s="132">
        <f t="shared" si="81"/>
        <v>31.559544775867682</v>
      </c>
      <c r="K86" s="132">
        <f t="shared" si="81"/>
        <v>34.278647445718015</v>
      </c>
      <c r="L86" s="132">
        <f t="shared" si="81"/>
        <v>37.207375656509996</v>
      </c>
      <c r="M86" s="132">
        <f t="shared" si="81"/>
        <v>40.357633453227216</v>
      </c>
      <c r="N86" s="132">
        <f t="shared" si="81"/>
        <v>43.741185693945454</v>
      </c>
      <c r="O86" s="132">
        <f t="shared" si="81"/>
        <v>47.369448215815744</v>
      </c>
      <c r="P86" s="132">
        <f t="shared" si="81"/>
        <v>51.253228100978362</v>
      </c>
      <c r="Q86" s="132">
        <f t="shared" si="81"/>
        <v>55.402404779752068</v>
      </c>
      <c r="R86" s="68">
        <f t="shared" si="75"/>
        <v>8.4473522781874213E-2</v>
      </c>
      <c r="S86" s="128" t="s">
        <v>82</v>
      </c>
      <c r="T86" s="133">
        <f>1-SUM(T80:T85)</f>
        <v>0.11999999999999988</v>
      </c>
      <c r="U86" s="133">
        <f t="shared" ref="U86:AG86" si="82">1-SUM(U80:U85)</f>
        <v>0.1174753834801473</v>
      </c>
      <c r="V86" s="133">
        <f t="shared" si="82"/>
        <v>0.11493604546471725</v>
      </c>
      <c r="W86" s="133">
        <f t="shared" si="82"/>
        <v>0.11238187729109173</v>
      </c>
      <c r="X86" s="133">
        <f t="shared" si="82"/>
        <v>0.109812769427309</v>
      </c>
      <c r="Y86" s="133">
        <f t="shared" si="82"/>
        <v>0.10722861146477003</v>
      </c>
      <c r="Z86" s="133">
        <f t="shared" si="82"/>
        <v>0.10462929211088057</v>
      </c>
      <c r="AA86" s="133">
        <f t="shared" si="82"/>
        <v>0.10201469918163009</v>
      </c>
      <c r="AB86" s="133">
        <f t="shared" si="82"/>
        <v>9.9384719594103998E-2</v>
      </c>
      <c r="AC86" s="133">
        <f t="shared" si="82"/>
        <v>9.6739239358933582E-2</v>
      </c>
      <c r="AD86" s="133">
        <f t="shared" si="82"/>
        <v>9.4078143572675965E-2</v>
      </c>
      <c r="AE86" s="133">
        <f t="shared" si="82"/>
        <v>9.1401316410130717E-2</v>
      </c>
      <c r="AF86" s="133">
        <f t="shared" si="82"/>
        <v>8.8708641116586051E-2</v>
      </c>
      <c r="AG86" s="133">
        <f t="shared" si="82"/>
        <v>8.6000000000000743E-2</v>
      </c>
    </row>
    <row r="87" spans="1:33" x14ac:dyDescent="0.35">
      <c r="D87" t="b">
        <f>D63=SUM(D80:D86)</f>
        <v>1</v>
      </c>
      <c r="E87" t="b">
        <f t="shared" ref="E87:Q87" si="83">E63=SUM(E80:E86)</f>
        <v>1</v>
      </c>
      <c r="F87" t="b">
        <f t="shared" si="83"/>
        <v>1</v>
      </c>
      <c r="G87" t="b">
        <f t="shared" si="83"/>
        <v>1</v>
      </c>
      <c r="H87" t="b">
        <f t="shared" si="83"/>
        <v>1</v>
      </c>
      <c r="I87" t="b">
        <f t="shared" si="83"/>
        <v>1</v>
      </c>
      <c r="J87" t="b">
        <f t="shared" si="83"/>
        <v>1</v>
      </c>
      <c r="K87" t="b">
        <f t="shared" si="83"/>
        <v>1</v>
      </c>
      <c r="L87" t="b">
        <f t="shared" si="83"/>
        <v>0</v>
      </c>
      <c r="M87" t="b">
        <f t="shared" si="83"/>
        <v>1</v>
      </c>
      <c r="N87" t="b">
        <f t="shared" si="83"/>
        <v>1</v>
      </c>
      <c r="O87" t="b">
        <f t="shared" si="83"/>
        <v>1</v>
      </c>
      <c r="P87" t="b">
        <f t="shared" si="83"/>
        <v>1</v>
      </c>
      <c r="Q87" t="b">
        <f t="shared" si="83"/>
        <v>1</v>
      </c>
    </row>
    <row r="89" spans="1:33" ht="25" x14ac:dyDescent="0.5">
      <c r="A89" s="146" t="s">
        <v>103</v>
      </c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63"/>
    </row>
    <row r="90" spans="1:33" ht="23.5" thickBot="1" x14ac:dyDescent="0.55000000000000004">
      <c r="A90" s="63"/>
      <c r="B90" s="63"/>
      <c r="C90" s="63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</row>
    <row r="91" spans="1:33" ht="16" hidden="1" thickBot="1" x14ac:dyDescent="0.4">
      <c r="A91" s="42"/>
      <c r="B91" s="43"/>
      <c r="C91" s="93"/>
      <c r="D91" s="91">
        <v>2023</v>
      </c>
      <c r="E91" s="65">
        <v>2024</v>
      </c>
      <c r="F91" s="65">
        <v>2025</v>
      </c>
      <c r="G91" s="65">
        <v>2026</v>
      </c>
      <c r="H91" s="65">
        <v>2027</v>
      </c>
      <c r="I91" s="65">
        <v>2028</v>
      </c>
      <c r="J91" s="65">
        <v>2029</v>
      </c>
      <c r="K91" s="65">
        <v>2030</v>
      </c>
      <c r="L91" s="65">
        <v>2031</v>
      </c>
      <c r="M91" s="65">
        <v>2032</v>
      </c>
      <c r="N91" s="65">
        <v>2033</v>
      </c>
      <c r="O91" s="65">
        <v>2034</v>
      </c>
      <c r="P91" s="65">
        <v>2035</v>
      </c>
      <c r="Q91" s="65">
        <v>2036</v>
      </c>
      <c r="R91" s="66" t="s">
        <v>13</v>
      </c>
    </row>
    <row r="92" spans="1:33" ht="16" hidden="1" thickBot="1" x14ac:dyDescent="0.4">
      <c r="A92" s="25"/>
      <c r="B92" s="94"/>
      <c r="C92" s="95"/>
      <c r="D92" s="92" t="e">
        <f>#REF!</f>
        <v>#REF!</v>
      </c>
      <c r="E92" s="92" t="e">
        <f>#REF!</f>
        <v>#REF!</v>
      </c>
      <c r="F92" s="92" t="e">
        <f>#REF!</f>
        <v>#REF!</v>
      </c>
      <c r="G92" s="92" t="e">
        <f>#REF!</f>
        <v>#REF!</v>
      </c>
      <c r="H92" s="92" t="e">
        <f>#REF!</f>
        <v>#REF!</v>
      </c>
      <c r="I92" s="92" t="e">
        <f>#REF!</f>
        <v>#REF!</v>
      </c>
      <c r="J92" s="92" t="e">
        <f>#REF!</f>
        <v>#REF!</v>
      </c>
      <c r="K92" s="92" t="e">
        <f>#REF!</f>
        <v>#REF!</v>
      </c>
      <c r="L92" s="92" t="e">
        <f>#REF!</f>
        <v>#REF!</v>
      </c>
      <c r="M92" s="92" t="e">
        <f>#REF!</f>
        <v>#REF!</v>
      </c>
      <c r="N92" s="92" t="e">
        <f>#REF!</f>
        <v>#REF!</v>
      </c>
      <c r="O92" s="92" t="e">
        <f>#REF!</f>
        <v>#REF!</v>
      </c>
      <c r="P92" s="92" t="e">
        <f>#REF!</f>
        <v>#REF!</v>
      </c>
      <c r="Q92" s="92" t="e">
        <f>#REF!</f>
        <v>#REF!</v>
      </c>
      <c r="R92" s="68" t="e">
        <f>RATE(12,,-E92,Q92)</f>
        <v>#REF!</v>
      </c>
      <c r="T92" s="65">
        <v>2023</v>
      </c>
      <c r="U92" s="65">
        <v>2024</v>
      </c>
      <c r="V92" s="65">
        <v>2025</v>
      </c>
      <c r="W92" s="65">
        <v>2026</v>
      </c>
      <c r="X92" s="65">
        <v>2027</v>
      </c>
      <c r="Y92" s="65">
        <v>2028</v>
      </c>
      <c r="Z92" s="65">
        <v>2029</v>
      </c>
      <c r="AA92" s="65">
        <v>2030</v>
      </c>
      <c r="AB92" s="65">
        <v>2031</v>
      </c>
      <c r="AC92" s="65">
        <v>2032</v>
      </c>
      <c r="AD92" s="65">
        <v>2033</v>
      </c>
      <c r="AE92" s="65">
        <v>2034</v>
      </c>
      <c r="AF92" s="65">
        <v>2035</v>
      </c>
      <c r="AG92" s="65">
        <v>2036</v>
      </c>
    </row>
    <row r="93" spans="1:33" ht="15" hidden="1" thickBot="1" x14ac:dyDescent="0.4">
      <c r="A93" s="150" t="s">
        <v>49</v>
      </c>
      <c r="B93" s="52" t="s">
        <v>34</v>
      </c>
      <c r="C93" s="45"/>
      <c r="D93" s="79" t="e">
        <f t="shared" ref="D93:Q93" si="84">D92*T93</f>
        <v>#REF!</v>
      </c>
      <c r="E93" s="79" t="e">
        <f t="shared" si="84"/>
        <v>#REF!</v>
      </c>
      <c r="F93" s="79" t="e">
        <f t="shared" si="84"/>
        <v>#REF!</v>
      </c>
      <c r="G93" s="79" t="e">
        <f t="shared" si="84"/>
        <v>#REF!</v>
      </c>
      <c r="H93" s="79" t="e">
        <f t="shared" si="84"/>
        <v>#REF!</v>
      </c>
      <c r="I93" s="79" t="e">
        <f t="shared" si="84"/>
        <v>#REF!</v>
      </c>
      <c r="J93" s="79" t="e">
        <f t="shared" si="84"/>
        <v>#REF!</v>
      </c>
      <c r="K93" s="79" t="e">
        <f t="shared" si="84"/>
        <v>#REF!</v>
      </c>
      <c r="L93" s="79" t="e">
        <f t="shared" si="84"/>
        <v>#REF!</v>
      </c>
      <c r="M93" s="79" t="e">
        <f t="shared" si="84"/>
        <v>#REF!</v>
      </c>
      <c r="N93" s="79" t="e">
        <f t="shared" si="84"/>
        <v>#REF!</v>
      </c>
      <c r="O93" s="79" t="e">
        <f t="shared" si="84"/>
        <v>#REF!</v>
      </c>
      <c r="P93" s="79" t="e">
        <f t="shared" si="84"/>
        <v>#REF!</v>
      </c>
      <c r="Q93" s="79" t="e">
        <f t="shared" si="84"/>
        <v>#REF!</v>
      </c>
      <c r="R93" s="77" t="e">
        <f>RATE(12,,-E93,Q93)</f>
        <v>#REF!</v>
      </c>
      <c r="S93" s="52"/>
      <c r="T93" s="12">
        <v>0.56000000000000005</v>
      </c>
      <c r="U93" s="12">
        <v>0.56092161367703952</v>
      </c>
      <c r="V93" s="12">
        <v>0.56184474408938223</v>
      </c>
      <c r="W93" s="12">
        <v>0.56276939373317769</v>
      </c>
      <c r="X93" s="12">
        <v>0.56369556510868446</v>
      </c>
      <c r="Y93" s="12">
        <v>0.56462326072027491</v>
      </c>
      <c r="Z93" s="12">
        <v>0.56555248307644368</v>
      </c>
      <c r="AA93" s="12">
        <v>0.56648323468981299</v>
      </c>
      <c r="AB93" s="12">
        <v>0.56741551807714108</v>
      </c>
      <c r="AC93" s="12">
        <v>0.56834933575932756</v>
      </c>
      <c r="AD93" s="12">
        <v>0.56928469026142059</v>
      </c>
      <c r="AE93" s="12">
        <v>0.57022158411262425</v>
      </c>
      <c r="AF93" s="12">
        <v>0.57116001984630527</v>
      </c>
      <c r="AG93" s="12">
        <v>0.57209999999999905</v>
      </c>
    </row>
    <row r="94" spans="1:33" ht="15" hidden="1" thickBot="1" x14ac:dyDescent="0.4">
      <c r="A94" s="151"/>
      <c r="B94" s="53" t="s">
        <v>35</v>
      </c>
      <c r="C94" s="46"/>
      <c r="D94" s="80" t="e">
        <f t="shared" ref="D94:Q94" si="85">D92*T94</f>
        <v>#REF!</v>
      </c>
      <c r="E94" s="80" t="e">
        <f t="shared" si="85"/>
        <v>#REF!</v>
      </c>
      <c r="F94" s="80" t="e">
        <f t="shared" si="85"/>
        <v>#REF!</v>
      </c>
      <c r="G94" s="80" t="e">
        <f t="shared" si="85"/>
        <v>#REF!</v>
      </c>
      <c r="H94" s="80" t="e">
        <f t="shared" si="85"/>
        <v>#REF!</v>
      </c>
      <c r="I94" s="80" t="e">
        <f t="shared" si="85"/>
        <v>#REF!</v>
      </c>
      <c r="J94" s="80" t="e">
        <f t="shared" si="85"/>
        <v>#REF!</v>
      </c>
      <c r="K94" s="80" t="e">
        <f t="shared" si="85"/>
        <v>#REF!</v>
      </c>
      <c r="L94" s="80" t="e">
        <f t="shared" si="85"/>
        <v>#REF!</v>
      </c>
      <c r="M94" s="80" t="e">
        <f t="shared" si="85"/>
        <v>#REF!</v>
      </c>
      <c r="N94" s="80" t="e">
        <f t="shared" si="85"/>
        <v>#REF!</v>
      </c>
      <c r="O94" s="80" t="e">
        <f t="shared" si="85"/>
        <v>#REF!</v>
      </c>
      <c r="P94" s="80" t="e">
        <f t="shared" si="85"/>
        <v>#REF!</v>
      </c>
      <c r="Q94" s="80" t="e">
        <f t="shared" si="85"/>
        <v>#REF!</v>
      </c>
      <c r="R94" s="78" t="e">
        <f>RATE(12,,-E94,Q94)</f>
        <v>#REF!</v>
      </c>
      <c r="S94" s="53"/>
      <c r="T94" s="12">
        <f>1-T93</f>
        <v>0.43999999999999995</v>
      </c>
      <c r="U94" s="12">
        <f t="shared" ref="U94:AG94" si="86">1-U93</f>
        <v>0.43907838632296048</v>
      </c>
      <c r="V94" s="12">
        <f t="shared" si="86"/>
        <v>0.43815525591061777</v>
      </c>
      <c r="W94" s="12">
        <f t="shared" si="86"/>
        <v>0.43723060626682231</v>
      </c>
      <c r="X94" s="12">
        <f t="shared" si="86"/>
        <v>0.43630443489131554</v>
      </c>
      <c r="Y94" s="12">
        <f t="shared" si="86"/>
        <v>0.43537673927972509</v>
      </c>
      <c r="Z94" s="12">
        <f t="shared" si="86"/>
        <v>0.43444751692355632</v>
      </c>
      <c r="AA94" s="12">
        <f t="shared" si="86"/>
        <v>0.43351676531018701</v>
      </c>
      <c r="AB94" s="12">
        <f t="shared" si="86"/>
        <v>0.43258448192285892</v>
      </c>
      <c r="AC94" s="12">
        <f t="shared" si="86"/>
        <v>0.43165066424067244</v>
      </c>
      <c r="AD94" s="12">
        <f t="shared" si="86"/>
        <v>0.43071530973857941</v>
      </c>
      <c r="AE94" s="12">
        <f t="shared" si="86"/>
        <v>0.42977841588737575</v>
      </c>
      <c r="AF94" s="12">
        <f t="shared" si="86"/>
        <v>0.42883998015369473</v>
      </c>
      <c r="AG94" s="12">
        <f t="shared" si="86"/>
        <v>0.42790000000000095</v>
      </c>
    </row>
    <row r="95" spans="1:33" ht="15" hidden="1" thickBot="1" x14ac:dyDescent="0.4">
      <c r="A95" s="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21"/>
    </row>
    <row r="96" spans="1:33" ht="15" hidden="1" thickBot="1" x14ac:dyDescent="0.4">
      <c r="A96" s="150" t="s">
        <v>15</v>
      </c>
      <c r="B96" s="57" t="s">
        <v>16</v>
      </c>
      <c r="C96" s="47"/>
      <c r="D96" s="82" t="e">
        <f t="shared" ref="D96:Q96" si="87">D92*T96</f>
        <v>#REF!</v>
      </c>
      <c r="E96" s="82" t="e">
        <f t="shared" si="87"/>
        <v>#REF!</v>
      </c>
      <c r="F96" s="82" t="e">
        <f t="shared" si="87"/>
        <v>#REF!</v>
      </c>
      <c r="G96" s="82" t="e">
        <f t="shared" si="87"/>
        <v>#REF!</v>
      </c>
      <c r="H96" s="82" t="e">
        <f t="shared" si="87"/>
        <v>#REF!</v>
      </c>
      <c r="I96" s="82" t="e">
        <f t="shared" si="87"/>
        <v>#REF!</v>
      </c>
      <c r="J96" s="82" t="e">
        <f t="shared" si="87"/>
        <v>#REF!</v>
      </c>
      <c r="K96" s="82" t="e">
        <f t="shared" si="87"/>
        <v>#REF!</v>
      </c>
      <c r="L96" s="82" t="e">
        <f t="shared" si="87"/>
        <v>#REF!</v>
      </c>
      <c r="M96" s="82" t="e">
        <f t="shared" si="87"/>
        <v>#REF!</v>
      </c>
      <c r="N96" s="82" t="e">
        <f t="shared" si="87"/>
        <v>#REF!</v>
      </c>
      <c r="O96" s="82" t="e">
        <f t="shared" si="87"/>
        <v>#REF!</v>
      </c>
      <c r="P96" s="82" t="e">
        <f t="shared" si="87"/>
        <v>#REF!</v>
      </c>
      <c r="Q96" s="82" t="e">
        <f t="shared" si="87"/>
        <v>#REF!</v>
      </c>
      <c r="R96" s="69" t="e">
        <f>RATE(12,,-E96,Q96)</f>
        <v>#REF!</v>
      </c>
      <c r="S96" s="57"/>
      <c r="T96" s="12">
        <v>0.47099999999999992</v>
      </c>
      <c r="U96" s="12">
        <v>0.47038461538461535</v>
      </c>
      <c r="V96" s="12">
        <v>0.46976923076923072</v>
      </c>
      <c r="W96" s="12">
        <v>0.46915384615384609</v>
      </c>
      <c r="X96" s="12">
        <v>0.46853846153846151</v>
      </c>
      <c r="Y96" s="12">
        <v>0.46792307692307689</v>
      </c>
      <c r="Z96" s="12">
        <v>0.46730769230769226</v>
      </c>
      <c r="AA96" s="12">
        <v>0.46669230769230763</v>
      </c>
      <c r="AB96" s="12">
        <v>0.46607692307692306</v>
      </c>
      <c r="AC96" s="12">
        <v>0.46546153846153843</v>
      </c>
      <c r="AD96" s="12">
        <v>0.4648461538461538</v>
      </c>
      <c r="AE96" s="12">
        <v>0.46423076923076922</v>
      </c>
      <c r="AF96" s="12">
        <v>0.4636153846153846</v>
      </c>
      <c r="AG96" s="12">
        <v>0.46299999999999997</v>
      </c>
    </row>
    <row r="97" spans="1:33" ht="15" hidden="1" thickBot="1" x14ac:dyDescent="0.4">
      <c r="A97" s="151"/>
      <c r="B97" s="58" t="s">
        <v>17</v>
      </c>
      <c r="C97" s="48"/>
      <c r="D97" s="83" t="e">
        <f t="shared" ref="D97:Q97" si="88">D92*T97</f>
        <v>#REF!</v>
      </c>
      <c r="E97" s="83" t="e">
        <f t="shared" si="88"/>
        <v>#REF!</v>
      </c>
      <c r="F97" s="83" t="e">
        <f t="shared" si="88"/>
        <v>#REF!</v>
      </c>
      <c r="G97" s="83" t="e">
        <f t="shared" si="88"/>
        <v>#REF!</v>
      </c>
      <c r="H97" s="83" t="e">
        <f t="shared" si="88"/>
        <v>#REF!</v>
      </c>
      <c r="I97" s="83" t="e">
        <f t="shared" si="88"/>
        <v>#REF!</v>
      </c>
      <c r="J97" s="83" t="e">
        <f t="shared" si="88"/>
        <v>#REF!</v>
      </c>
      <c r="K97" s="83" t="e">
        <f t="shared" si="88"/>
        <v>#REF!</v>
      </c>
      <c r="L97" s="83" t="e">
        <f t="shared" si="88"/>
        <v>#REF!</v>
      </c>
      <c r="M97" s="83" t="e">
        <f t="shared" si="88"/>
        <v>#REF!</v>
      </c>
      <c r="N97" s="83" t="e">
        <f t="shared" si="88"/>
        <v>#REF!</v>
      </c>
      <c r="O97" s="83" t="e">
        <f t="shared" si="88"/>
        <v>#REF!</v>
      </c>
      <c r="P97" s="83" t="e">
        <f t="shared" si="88"/>
        <v>#REF!</v>
      </c>
      <c r="Q97" s="83" t="e">
        <f t="shared" si="88"/>
        <v>#REF!</v>
      </c>
      <c r="R97" s="70" t="e">
        <f>RATE(12,,-E97,Q97)</f>
        <v>#REF!</v>
      </c>
      <c r="S97" s="58"/>
      <c r="T97" s="12">
        <f>1-T96</f>
        <v>0.52900000000000014</v>
      </c>
      <c r="U97" s="12">
        <f t="shared" ref="U97:AG97" si="89">1-U96</f>
        <v>0.5296153846153846</v>
      </c>
      <c r="V97" s="12">
        <f t="shared" si="89"/>
        <v>0.53023076923076928</v>
      </c>
      <c r="W97" s="12">
        <f t="shared" si="89"/>
        <v>0.53084615384615397</v>
      </c>
      <c r="X97" s="12">
        <f t="shared" si="89"/>
        <v>0.53146153846153843</v>
      </c>
      <c r="Y97" s="12">
        <f t="shared" si="89"/>
        <v>0.53207692307692311</v>
      </c>
      <c r="Z97" s="12">
        <f t="shared" si="89"/>
        <v>0.5326923076923078</v>
      </c>
      <c r="AA97" s="12">
        <f t="shared" si="89"/>
        <v>0.53330769230769237</v>
      </c>
      <c r="AB97" s="12">
        <f t="shared" si="89"/>
        <v>0.53392307692307694</v>
      </c>
      <c r="AC97" s="12">
        <f t="shared" si="89"/>
        <v>0.53453846153846163</v>
      </c>
      <c r="AD97" s="12">
        <f t="shared" si="89"/>
        <v>0.5351538461538462</v>
      </c>
      <c r="AE97" s="12">
        <f t="shared" si="89"/>
        <v>0.53576923076923078</v>
      </c>
      <c r="AF97" s="12">
        <f t="shared" si="89"/>
        <v>0.53638461538461546</v>
      </c>
      <c r="AG97" s="12">
        <f t="shared" si="89"/>
        <v>0.53700000000000003</v>
      </c>
    </row>
    <row r="98" spans="1:33" ht="15" hidden="1" thickBot="1" x14ac:dyDescent="0.4">
      <c r="A98" s="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21"/>
    </row>
    <row r="99" spans="1:33" ht="15" hidden="1" thickBot="1" x14ac:dyDescent="0.4">
      <c r="A99" s="150" t="s">
        <v>18</v>
      </c>
      <c r="B99" s="54" t="s">
        <v>19</v>
      </c>
      <c r="C99" s="49"/>
      <c r="D99" s="84" t="e">
        <f t="shared" ref="D99:Q99" si="90">D92*T99</f>
        <v>#REF!</v>
      </c>
      <c r="E99" s="84" t="e">
        <f t="shared" si="90"/>
        <v>#REF!</v>
      </c>
      <c r="F99" s="84" t="e">
        <f t="shared" si="90"/>
        <v>#REF!</v>
      </c>
      <c r="G99" s="84" t="e">
        <f t="shared" si="90"/>
        <v>#REF!</v>
      </c>
      <c r="H99" s="84" t="e">
        <f t="shared" si="90"/>
        <v>#REF!</v>
      </c>
      <c r="I99" s="84" t="e">
        <f t="shared" si="90"/>
        <v>#REF!</v>
      </c>
      <c r="J99" s="84" t="e">
        <f t="shared" si="90"/>
        <v>#REF!</v>
      </c>
      <c r="K99" s="84" t="e">
        <f t="shared" si="90"/>
        <v>#REF!</v>
      </c>
      <c r="L99" s="84" t="e">
        <f t="shared" si="90"/>
        <v>#REF!</v>
      </c>
      <c r="M99" s="84" t="e">
        <f t="shared" si="90"/>
        <v>#REF!</v>
      </c>
      <c r="N99" s="84" t="e">
        <f t="shared" si="90"/>
        <v>#REF!</v>
      </c>
      <c r="O99" s="84" t="e">
        <f t="shared" si="90"/>
        <v>#REF!</v>
      </c>
      <c r="P99" s="84" t="e">
        <f t="shared" si="90"/>
        <v>#REF!</v>
      </c>
      <c r="Q99" s="84" t="e">
        <f t="shared" si="90"/>
        <v>#REF!</v>
      </c>
      <c r="R99" s="71" t="e">
        <f>RATE(12,,-E99,Q99)</f>
        <v>#REF!</v>
      </c>
      <c r="S99" s="54"/>
      <c r="T99" s="12">
        <v>0.40099999999999997</v>
      </c>
      <c r="U99" s="12">
        <v>0.40265090533119946</v>
      </c>
      <c r="V99" s="12">
        <v>0.40430860739160734</v>
      </c>
      <c r="W99" s="12">
        <v>0.40597313416316017</v>
      </c>
      <c r="X99" s="12">
        <v>0.40764451374299493</v>
      </c>
      <c r="Y99" s="12">
        <v>0.40932277434392395</v>
      </c>
      <c r="Z99" s="12">
        <v>0.41100794429491083</v>
      </c>
      <c r="AA99" s="12">
        <v>0.4127000520415488</v>
      </c>
      <c r="AB99" s="12">
        <v>0.41439912614654062</v>
      </c>
      <c r="AC99" s="12">
        <v>0.41610519529018092</v>
      </c>
      <c r="AD99" s="12">
        <v>0.41781828827084017</v>
      </c>
      <c r="AE99" s="12">
        <v>0.4195384340054511</v>
      </c>
      <c r="AF99" s="12">
        <v>0.4212656615299965</v>
      </c>
      <c r="AG99" s="12">
        <v>0.42299999999999938</v>
      </c>
    </row>
    <row r="100" spans="1:33" ht="15" hidden="1" thickBot="1" x14ac:dyDescent="0.4">
      <c r="A100" s="151"/>
      <c r="B100" s="56" t="s">
        <v>20</v>
      </c>
      <c r="C100" s="44"/>
      <c r="D100" s="85" t="e">
        <f t="shared" ref="D100:Q100" si="91">D92*T100</f>
        <v>#REF!</v>
      </c>
      <c r="E100" s="85" t="e">
        <f t="shared" si="91"/>
        <v>#REF!</v>
      </c>
      <c r="F100" s="85" t="e">
        <f t="shared" si="91"/>
        <v>#REF!</v>
      </c>
      <c r="G100" s="85" t="e">
        <f t="shared" si="91"/>
        <v>#REF!</v>
      </c>
      <c r="H100" s="85" t="e">
        <f t="shared" si="91"/>
        <v>#REF!</v>
      </c>
      <c r="I100" s="85" t="e">
        <f t="shared" si="91"/>
        <v>#REF!</v>
      </c>
      <c r="J100" s="85" t="e">
        <f t="shared" si="91"/>
        <v>#REF!</v>
      </c>
      <c r="K100" s="85" t="e">
        <f t="shared" si="91"/>
        <v>#REF!</v>
      </c>
      <c r="L100" s="85" t="e">
        <f t="shared" si="91"/>
        <v>#REF!</v>
      </c>
      <c r="M100" s="85" t="e">
        <f t="shared" si="91"/>
        <v>#REF!</v>
      </c>
      <c r="N100" s="85" t="e">
        <f t="shared" si="91"/>
        <v>#REF!</v>
      </c>
      <c r="O100" s="85" t="e">
        <f t="shared" si="91"/>
        <v>#REF!</v>
      </c>
      <c r="P100" s="85" t="e">
        <f t="shared" si="91"/>
        <v>#REF!</v>
      </c>
      <c r="Q100" s="85" t="e">
        <f t="shared" si="91"/>
        <v>#REF!</v>
      </c>
      <c r="R100" s="72" t="e">
        <f>RATE(12,,-E100,Q100)</f>
        <v>#REF!</v>
      </c>
      <c r="S100" s="56"/>
      <c r="T100" s="12">
        <f>1-T99</f>
        <v>0.59899999999999998</v>
      </c>
      <c r="U100" s="12">
        <f t="shared" ref="U100:AG100" si="92">1-U99</f>
        <v>0.59734909466880048</v>
      </c>
      <c r="V100" s="12">
        <f t="shared" si="92"/>
        <v>0.59569139260839266</v>
      </c>
      <c r="W100" s="12">
        <f t="shared" si="92"/>
        <v>0.59402686583683983</v>
      </c>
      <c r="X100" s="12">
        <f t="shared" si="92"/>
        <v>0.59235548625700507</v>
      </c>
      <c r="Y100" s="12">
        <f t="shared" si="92"/>
        <v>0.59067722565607605</v>
      </c>
      <c r="Z100" s="12">
        <f t="shared" si="92"/>
        <v>0.58899205570508917</v>
      </c>
      <c r="AA100" s="12">
        <f t="shared" si="92"/>
        <v>0.5872999479584512</v>
      </c>
      <c r="AB100" s="12">
        <f t="shared" si="92"/>
        <v>0.58560087385345938</v>
      </c>
      <c r="AC100" s="12">
        <f t="shared" si="92"/>
        <v>0.58389480470981914</v>
      </c>
      <c r="AD100" s="12">
        <f t="shared" si="92"/>
        <v>0.58218171172915989</v>
      </c>
      <c r="AE100" s="12">
        <f t="shared" si="92"/>
        <v>0.5804615659945489</v>
      </c>
      <c r="AF100" s="12">
        <f t="shared" si="92"/>
        <v>0.57873433847000344</v>
      </c>
      <c r="AG100" s="12">
        <f t="shared" si="92"/>
        <v>0.57700000000000062</v>
      </c>
    </row>
    <row r="101" spans="1:33" ht="15" hidden="1" thickBot="1" x14ac:dyDescent="0.4">
      <c r="A101" s="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21"/>
    </row>
    <row r="102" spans="1:33" ht="15" hidden="1" thickBot="1" x14ac:dyDescent="0.4">
      <c r="A102" s="150" t="s">
        <v>14</v>
      </c>
      <c r="B102" s="59" t="s">
        <v>21</v>
      </c>
      <c r="C102" s="50"/>
      <c r="D102" s="86" t="e">
        <f t="shared" ref="D102:Q102" si="93">D92*T102</f>
        <v>#REF!</v>
      </c>
      <c r="E102" s="86" t="e">
        <f t="shared" si="93"/>
        <v>#REF!</v>
      </c>
      <c r="F102" s="86" t="e">
        <f t="shared" si="93"/>
        <v>#REF!</v>
      </c>
      <c r="G102" s="86" t="e">
        <f t="shared" si="93"/>
        <v>#REF!</v>
      </c>
      <c r="H102" s="86" t="e">
        <f t="shared" si="93"/>
        <v>#REF!</v>
      </c>
      <c r="I102" s="86" t="e">
        <f t="shared" si="93"/>
        <v>#REF!</v>
      </c>
      <c r="J102" s="86" t="e">
        <f t="shared" si="93"/>
        <v>#REF!</v>
      </c>
      <c r="K102" s="86" t="e">
        <f t="shared" si="93"/>
        <v>#REF!</v>
      </c>
      <c r="L102" s="86" t="e">
        <f t="shared" si="93"/>
        <v>#REF!</v>
      </c>
      <c r="M102" s="86" t="e">
        <f t="shared" si="93"/>
        <v>#REF!</v>
      </c>
      <c r="N102" s="86" t="e">
        <f t="shared" si="93"/>
        <v>#REF!</v>
      </c>
      <c r="O102" s="86" t="e">
        <f t="shared" si="93"/>
        <v>#REF!</v>
      </c>
      <c r="P102" s="86" t="e">
        <f t="shared" si="93"/>
        <v>#REF!</v>
      </c>
      <c r="Q102" s="86" t="e">
        <f t="shared" si="93"/>
        <v>#REF!</v>
      </c>
      <c r="R102" s="73" t="e">
        <f t="shared" ref="R102:R107" si="94">RATE(12,,-E102,Q102)</f>
        <v>#REF!</v>
      </c>
      <c r="S102" s="59"/>
      <c r="T102" s="12">
        <v>0.25</v>
      </c>
      <c r="U102" s="12">
        <v>0.25155593539307364</v>
      </c>
      <c r="V102" s="12">
        <v>0.25312155452593693</v>
      </c>
      <c r="W102" s="12">
        <v>0.25469691766768382</v>
      </c>
      <c r="X102" s="12">
        <v>0.25628208546250747</v>
      </c>
      <c r="Y102" s="12">
        <v>0.2578771189320348</v>
      </c>
      <c r="Z102" s="12">
        <v>0.25948207947767565</v>
      </c>
      <c r="AA102" s="12">
        <v>0.2610970288829863</v>
      </c>
      <c r="AB102" s="12">
        <v>0.26272202931604799</v>
      </c>
      <c r="AC102" s="12">
        <v>0.26435714333185978</v>
      </c>
      <c r="AD102" s="12">
        <v>0.26600243387474731</v>
      </c>
      <c r="AE102" s="12">
        <v>0.26765796428078514</v>
      </c>
      <c r="AF102" s="12">
        <v>0.26932379828023517</v>
      </c>
      <c r="AG102" s="12">
        <v>0.27100000000000013</v>
      </c>
    </row>
    <row r="103" spans="1:33" ht="15" hidden="1" thickBot="1" x14ac:dyDescent="0.4">
      <c r="A103" s="155"/>
      <c r="B103" s="60" t="s">
        <v>22</v>
      </c>
      <c r="C103" s="41"/>
      <c r="D103" s="87" t="e">
        <f t="shared" ref="D103:Q103" si="95">D92*T103</f>
        <v>#REF!</v>
      </c>
      <c r="E103" s="87" t="e">
        <f t="shared" si="95"/>
        <v>#REF!</v>
      </c>
      <c r="F103" s="87" t="e">
        <f t="shared" si="95"/>
        <v>#REF!</v>
      </c>
      <c r="G103" s="87" t="e">
        <f t="shared" si="95"/>
        <v>#REF!</v>
      </c>
      <c r="H103" s="87" t="e">
        <f t="shared" si="95"/>
        <v>#REF!</v>
      </c>
      <c r="I103" s="87" t="e">
        <f t="shared" si="95"/>
        <v>#REF!</v>
      </c>
      <c r="J103" s="87" t="e">
        <f t="shared" si="95"/>
        <v>#REF!</v>
      </c>
      <c r="K103" s="87" t="e">
        <f t="shared" si="95"/>
        <v>#REF!</v>
      </c>
      <c r="L103" s="87" t="e">
        <f t="shared" si="95"/>
        <v>#REF!</v>
      </c>
      <c r="M103" s="87" t="e">
        <f t="shared" si="95"/>
        <v>#REF!</v>
      </c>
      <c r="N103" s="87" t="e">
        <f t="shared" si="95"/>
        <v>#REF!</v>
      </c>
      <c r="O103" s="87" t="e">
        <f t="shared" si="95"/>
        <v>#REF!</v>
      </c>
      <c r="P103" s="87" t="e">
        <f t="shared" si="95"/>
        <v>#REF!</v>
      </c>
      <c r="Q103" s="87" t="e">
        <f t="shared" si="95"/>
        <v>#REF!</v>
      </c>
      <c r="R103" s="74" t="e">
        <f t="shared" si="94"/>
        <v>#REF!</v>
      </c>
      <c r="S103" s="60"/>
      <c r="T103" s="12">
        <v>0.38</v>
      </c>
      <c r="U103" s="12">
        <v>0.38090988938047371</v>
      </c>
      <c r="V103" s="12">
        <v>0.38182195744169661</v>
      </c>
      <c r="W103" s="12">
        <v>0.38273620940040159</v>
      </c>
      <c r="X103" s="12">
        <v>0.38365265048581265</v>
      </c>
      <c r="Y103" s="12">
        <v>0.38457128593967477</v>
      </c>
      <c r="Z103" s="12">
        <v>0.38549212101628438</v>
      </c>
      <c r="AA103" s="12">
        <v>0.38641516098251855</v>
      </c>
      <c r="AB103" s="12">
        <v>0.38734041111786593</v>
      </c>
      <c r="AC103" s="12">
        <v>0.38826787671445667</v>
      </c>
      <c r="AD103" s="12">
        <v>0.38919756307709236</v>
      </c>
      <c r="AE103" s="12">
        <v>0.39012947552327681</v>
      </c>
      <c r="AF103" s="12">
        <v>0.3910636193832463</v>
      </c>
      <c r="AG103" s="12">
        <v>0.39200000000000002</v>
      </c>
    </row>
    <row r="104" spans="1:33" ht="15" hidden="1" thickBot="1" x14ac:dyDescent="0.4">
      <c r="A104" s="155"/>
      <c r="B104" s="61" t="s">
        <v>23</v>
      </c>
      <c r="C104" s="41"/>
      <c r="D104" s="88" t="e">
        <f t="shared" ref="D104:Q104" si="96">D103*T104</f>
        <v>#REF!</v>
      </c>
      <c r="E104" s="88" t="e">
        <f t="shared" si="96"/>
        <v>#REF!</v>
      </c>
      <c r="F104" s="88" t="e">
        <f t="shared" si="96"/>
        <v>#REF!</v>
      </c>
      <c r="G104" s="88" t="e">
        <f t="shared" si="96"/>
        <v>#REF!</v>
      </c>
      <c r="H104" s="88" t="e">
        <f t="shared" si="96"/>
        <v>#REF!</v>
      </c>
      <c r="I104" s="88" t="e">
        <f t="shared" si="96"/>
        <v>#REF!</v>
      </c>
      <c r="J104" s="88" t="e">
        <f t="shared" si="96"/>
        <v>#REF!</v>
      </c>
      <c r="K104" s="88" t="e">
        <f t="shared" si="96"/>
        <v>#REF!</v>
      </c>
      <c r="L104" s="88" t="e">
        <f t="shared" si="96"/>
        <v>#REF!</v>
      </c>
      <c r="M104" s="88" t="e">
        <f t="shared" si="96"/>
        <v>#REF!</v>
      </c>
      <c r="N104" s="88" t="e">
        <f t="shared" si="96"/>
        <v>#REF!</v>
      </c>
      <c r="O104" s="88" t="e">
        <f t="shared" si="96"/>
        <v>#REF!</v>
      </c>
      <c r="P104" s="88" t="e">
        <f t="shared" si="96"/>
        <v>#REF!</v>
      </c>
      <c r="Q104" s="88" t="e">
        <f t="shared" si="96"/>
        <v>#REF!</v>
      </c>
      <c r="R104" s="74" t="e">
        <f t="shared" si="94"/>
        <v>#REF!</v>
      </c>
      <c r="S104" s="61"/>
      <c r="T104" s="67">
        <v>0.34999999999999987</v>
      </c>
      <c r="U104" s="67">
        <v>0.34938588387166564</v>
      </c>
      <c r="V104" s="67">
        <v>0.34877284528224306</v>
      </c>
      <c r="W104" s="67">
        <v>0.34816088234106346</v>
      </c>
      <c r="X104" s="67">
        <v>0.34754999316077562</v>
      </c>
      <c r="Y104" s="67">
        <v>0.34694017585733994</v>
      </c>
      <c r="Z104" s="67">
        <v>0.34633142855002247</v>
      </c>
      <c r="AA104" s="67">
        <v>0.34572374936138933</v>
      </c>
      <c r="AB104" s="67">
        <v>0.34511713641730069</v>
      </c>
      <c r="AC104" s="67">
        <v>0.34451158784690528</v>
      </c>
      <c r="AD104" s="67">
        <v>0.34390710178263434</v>
      </c>
      <c r="AE104" s="67">
        <v>0.34330367636019604</v>
      </c>
      <c r="AF104" s="67">
        <v>0.34270130971856966</v>
      </c>
      <c r="AG104" s="67">
        <v>0.34209999999999979</v>
      </c>
    </row>
    <row r="105" spans="1:33" ht="15" hidden="1" thickBot="1" x14ac:dyDescent="0.4">
      <c r="A105" s="155"/>
      <c r="B105" s="61" t="s">
        <v>24</v>
      </c>
      <c r="C105" s="41"/>
      <c r="D105" s="88" t="e">
        <f t="shared" ref="D105:Q105" si="97">D103*T105</f>
        <v>#REF!</v>
      </c>
      <c r="E105" s="88" t="e">
        <f t="shared" si="97"/>
        <v>#REF!</v>
      </c>
      <c r="F105" s="88" t="e">
        <f t="shared" si="97"/>
        <v>#REF!</v>
      </c>
      <c r="G105" s="88" t="e">
        <f t="shared" si="97"/>
        <v>#REF!</v>
      </c>
      <c r="H105" s="88" t="e">
        <f t="shared" si="97"/>
        <v>#REF!</v>
      </c>
      <c r="I105" s="88" t="e">
        <f t="shared" si="97"/>
        <v>#REF!</v>
      </c>
      <c r="J105" s="88" t="e">
        <f t="shared" si="97"/>
        <v>#REF!</v>
      </c>
      <c r="K105" s="88" t="e">
        <f t="shared" si="97"/>
        <v>#REF!</v>
      </c>
      <c r="L105" s="88" t="e">
        <f t="shared" si="97"/>
        <v>#REF!</v>
      </c>
      <c r="M105" s="88" t="e">
        <f t="shared" si="97"/>
        <v>#REF!</v>
      </c>
      <c r="N105" s="88" t="e">
        <f t="shared" si="97"/>
        <v>#REF!</v>
      </c>
      <c r="O105" s="88" t="e">
        <f t="shared" si="97"/>
        <v>#REF!</v>
      </c>
      <c r="P105" s="88" t="e">
        <f t="shared" si="97"/>
        <v>#REF!</v>
      </c>
      <c r="Q105" s="88" t="e">
        <f t="shared" si="97"/>
        <v>#REF!</v>
      </c>
      <c r="R105" s="74" t="e">
        <f t="shared" si="94"/>
        <v>#REF!</v>
      </c>
      <c r="S105" s="61"/>
      <c r="T105" s="67">
        <v>0.28000000000000003</v>
      </c>
      <c r="U105" s="67">
        <v>0.28097918830490543</v>
      </c>
      <c r="V105" s="67">
        <v>0.28196180093029821</v>
      </c>
      <c r="W105" s="67">
        <v>0.28294784985137333</v>
      </c>
      <c r="X105" s="67">
        <v>0.28393734708520407</v>
      </c>
      <c r="Y105" s="67">
        <v>0.28493030469088876</v>
      </c>
      <c r="Z105" s="67">
        <v>0.28592673476969749</v>
      </c>
      <c r="AA105" s="67">
        <v>0.28692664946521995</v>
      </c>
      <c r="AB105" s="67">
        <v>0.28793006096351298</v>
      </c>
      <c r="AC105" s="67">
        <v>0.28893698149324931</v>
      </c>
      <c r="AD105" s="67">
        <v>0.28994742332586665</v>
      </c>
      <c r="AE105" s="67">
        <v>0.29096139877571725</v>
      </c>
      <c r="AF105" s="67">
        <v>0.29197892020021765</v>
      </c>
      <c r="AG105" s="67">
        <v>0.29299999999999965</v>
      </c>
    </row>
    <row r="106" spans="1:33" ht="15" hidden="1" thickBot="1" x14ac:dyDescent="0.4">
      <c r="A106" s="155"/>
      <c r="B106" s="61" t="s">
        <v>25</v>
      </c>
      <c r="C106" s="41"/>
      <c r="D106" s="88" t="e">
        <f t="shared" ref="D106:Q106" si="98">D103*T106</f>
        <v>#REF!</v>
      </c>
      <c r="E106" s="88" t="e">
        <f t="shared" si="98"/>
        <v>#REF!</v>
      </c>
      <c r="F106" s="88" t="e">
        <f t="shared" si="98"/>
        <v>#REF!</v>
      </c>
      <c r="G106" s="88" t="e">
        <f t="shared" si="98"/>
        <v>#REF!</v>
      </c>
      <c r="H106" s="88" t="e">
        <f t="shared" si="98"/>
        <v>#REF!</v>
      </c>
      <c r="I106" s="88" t="e">
        <f t="shared" si="98"/>
        <v>#REF!</v>
      </c>
      <c r="J106" s="88" t="e">
        <f t="shared" si="98"/>
        <v>#REF!</v>
      </c>
      <c r="K106" s="88" t="e">
        <f t="shared" si="98"/>
        <v>#REF!</v>
      </c>
      <c r="L106" s="88" t="e">
        <f t="shared" si="98"/>
        <v>#REF!</v>
      </c>
      <c r="M106" s="88" t="e">
        <f t="shared" si="98"/>
        <v>#REF!</v>
      </c>
      <c r="N106" s="88" t="e">
        <f t="shared" si="98"/>
        <v>#REF!</v>
      </c>
      <c r="O106" s="88" t="e">
        <f t="shared" si="98"/>
        <v>#REF!</v>
      </c>
      <c r="P106" s="88" t="e">
        <f t="shared" si="98"/>
        <v>#REF!</v>
      </c>
      <c r="Q106" s="88" t="e">
        <f t="shared" si="98"/>
        <v>#REF!</v>
      </c>
      <c r="R106" s="74" t="e">
        <f t="shared" si="94"/>
        <v>#REF!</v>
      </c>
      <c r="S106" s="61"/>
      <c r="T106" s="67">
        <f>1-SUM(T104:T105)</f>
        <v>0.37000000000000011</v>
      </c>
      <c r="U106" s="67">
        <f t="shared" ref="U106:AG106" si="99">1-SUM(U104:U105)</f>
        <v>0.36963492782342899</v>
      </c>
      <c r="V106" s="67">
        <f t="shared" si="99"/>
        <v>0.36926535378745873</v>
      </c>
      <c r="W106" s="67">
        <f t="shared" si="99"/>
        <v>0.36889126780756321</v>
      </c>
      <c r="X106" s="67">
        <f t="shared" si="99"/>
        <v>0.36851265975402026</v>
      </c>
      <c r="Y106" s="67">
        <f t="shared" si="99"/>
        <v>0.3681295194517713</v>
      </c>
      <c r="Z106" s="67">
        <f t="shared" si="99"/>
        <v>0.36774183668028004</v>
      </c>
      <c r="AA106" s="67">
        <f t="shared" si="99"/>
        <v>0.36734960117339077</v>
      </c>
      <c r="AB106" s="67">
        <f t="shared" si="99"/>
        <v>0.36695280261918639</v>
      </c>
      <c r="AC106" s="67">
        <f t="shared" si="99"/>
        <v>0.36655143065984541</v>
      </c>
      <c r="AD106" s="67">
        <f t="shared" si="99"/>
        <v>0.36614547489149896</v>
      </c>
      <c r="AE106" s="67">
        <f t="shared" si="99"/>
        <v>0.36573492486408665</v>
      </c>
      <c r="AF106" s="67">
        <f t="shared" si="99"/>
        <v>0.36531977008121275</v>
      </c>
      <c r="AG106" s="67">
        <f t="shared" si="99"/>
        <v>0.36490000000000056</v>
      </c>
    </row>
    <row r="107" spans="1:33" ht="15" hidden="1" thickBot="1" x14ac:dyDescent="0.4">
      <c r="A107" s="151"/>
      <c r="B107" s="62" t="s">
        <v>26</v>
      </c>
      <c r="C107" s="51"/>
      <c r="D107" s="89" t="e">
        <f t="shared" ref="D107:Q107" si="100">D92*T107</f>
        <v>#REF!</v>
      </c>
      <c r="E107" s="89" t="e">
        <f t="shared" si="100"/>
        <v>#REF!</v>
      </c>
      <c r="F107" s="89" t="e">
        <f t="shared" si="100"/>
        <v>#REF!</v>
      </c>
      <c r="G107" s="89" t="e">
        <f t="shared" si="100"/>
        <v>#REF!</v>
      </c>
      <c r="H107" s="89" t="e">
        <f t="shared" si="100"/>
        <v>#REF!</v>
      </c>
      <c r="I107" s="89" t="e">
        <f t="shared" si="100"/>
        <v>#REF!</v>
      </c>
      <c r="J107" s="89" t="e">
        <f t="shared" si="100"/>
        <v>#REF!</v>
      </c>
      <c r="K107" s="89" t="e">
        <f t="shared" si="100"/>
        <v>#REF!</v>
      </c>
      <c r="L107" s="89" t="e">
        <f t="shared" si="100"/>
        <v>#REF!</v>
      </c>
      <c r="M107" s="89" t="e">
        <f t="shared" si="100"/>
        <v>#REF!</v>
      </c>
      <c r="N107" s="89" t="e">
        <f t="shared" si="100"/>
        <v>#REF!</v>
      </c>
      <c r="O107" s="89" t="e">
        <f t="shared" si="100"/>
        <v>#REF!</v>
      </c>
      <c r="P107" s="89" t="e">
        <f t="shared" si="100"/>
        <v>#REF!</v>
      </c>
      <c r="Q107" s="89" t="e">
        <f t="shared" si="100"/>
        <v>#REF!</v>
      </c>
      <c r="R107" s="75" t="e">
        <f t="shared" si="94"/>
        <v>#REF!</v>
      </c>
      <c r="S107" s="62"/>
      <c r="T107" s="12">
        <f>1-SUM(T102+T103)</f>
        <v>0.37</v>
      </c>
      <c r="U107" s="12">
        <f t="shared" ref="U107:AG107" si="101">1-SUM(U102+U103)</f>
        <v>0.36753417522645271</v>
      </c>
      <c r="V107" s="12">
        <f t="shared" si="101"/>
        <v>0.36505648803236646</v>
      </c>
      <c r="W107" s="12">
        <f t="shared" si="101"/>
        <v>0.36256687293191459</v>
      </c>
      <c r="X107" s="12">
        <f t="shared" si="101"/>
        <v>0.36006526405167993</v>
      </c>
      <c r="Y107" s="12">
        <f t="shared" si="101"/>
        <v>0.35755159512829038</v>
      </c>
      <c r="Z107" s="12">
        <f t="shared" si="101"/>
        <v>0.35502579950603996</v>
      </c>
      <c r="AA107" s="12">
        <f t="shared" si="101"/>
        <v>0.35248781013449515</v>
      </c>
      <c r="AB107" s="12">
        <f t="shared" si="101"/>
        <v>0.34993755956608608</v>
      </c>
      <c r="AC107" s="12">
        <f t="shared" si="101"/>
        <v>0.3473749799536836</v>
      </c>
      <c r="AD107" s="12">
        <f t="shared" si="101"/>
        <v>0.34480000304816039</v>
      </c>
      <c r="AE107" s="12">
        <f t="shared" si="101"/>
        <v>0.34221256019593804</v>
      </c>
      <c r="AF107" s="12">
        <f t="shared" si="101"/>
        <v>0.33961258233651859</v>
      </c>
      <c r="AG107" s="12">
        <f t="shared" si="101"/>
        <v>0.33699999999999986</v>
      </c>
    </row>
    <row r="108" spans="1:33" ht="15" hidden="1" thickBot="1" x14ac:dyDescent="0.4">
      <c r="A108" s="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21"/>
    </row>
    <row r="109" spans="1:33" ht="15" hidden="1" thickBot="1" x14ac:dyDescent="0.4">
      <c r="A109" s="152" t="s">
        <v>27</v>
      </c>
      <c r="B109" s="54" t="s">
        <v>28</v>
      </c>
      <c r="C109" s="49"/>
      <c r="D109" s="84" t="e">
        <f t="shared" ref="D109:Q109" si="102">D92*T109</f>
        <v>#REF!</v>
      </c>
      <c r="E109" s="84" t="e">
        <f t="shared" si="102"/>
        <v>#REF!</v>
      </c>
      <c r="F109" s="84" t="e">
        <f t="shared" si="102"/>
        <v>#REF!</v>
      </c>
      <c r="G109" s="84" t="e">
        <f t="shared" si="102"/>
        <v>#REF!</v>
      </c>
      <c r="H109" s="84" t="e">
        <f t="shared" si="102"/>
        <v>#REF!</v>
      </c>
      <c r="I109" s="84" t="e">
        <f t="shared" si="102"/>
        <v>#REF!</v>
      </c>
      <c r="J109" s="84" t="e">
        <f t="shared" si="102"/>
        <v>#REF!</v>
      </c>
      <c r="K109" s="84" t="e">
        <f t="shared" si="102"/>
        <v>#REF!</v>
      </c>
      <c r="L109" s="84" t="e">
        <f t="shared" si="102"/>
        <v>#REF!</v>
      </c>
      <c r="M109" s="84" t="e">
        <f t="shared" si="102"/>
        <v>#REF!</v>
      </c>
      <c r="N109" s="84" t="e">
        <f t="shared" si="102"/>
        <v>#REF!</v>
      </c>
      <c r="O109" s="84" t="e">
        <f t="shared" si="102"/>
        <v>#REF!</v>
      </c>
      <c r="P109" s="84" t="e">
        <f t="shared" si="102"/>
        <v>#REF!</v>
      </c>
      <c r="Q109" s="84" t="e">
        <f t="shared" si="102"/>
        <v>#REF!</v>
      </c>
      <c r="R109" s="71" t="e">
        <f>RATE(12,,-E109,Q109)</f>
        <v>#REF!</v>
      </c>
      <c r="S109" s="54"/>
      <c r="T109" s="12">
        <v>0.40099999999999997</v>
      </c>
      <c r="U109" s="12">
        <v>0.40265090533119946</v>
      </c>
      <c r="V109" s="12">
        <v>0.40430860739160734</v>
      </c>
      <c r="W109" s="12">
        <v>0.40597313416316017</v>
      </c>
      <c r="X109" s="12">
        <v>0.40764451374299493</v>
      </c>
      <c r="Y109" s="12">
        <v>0.40932277434392395</v>
      </c>
      <c r="Z109" s="12">
        <v>0.41100794429491083</v>
      </c>
      <c r="AA109" s="12">
        <v>0.4127000520415488</v>
      </c>
      <c r="AB109" s="12">
        <v>0.41439912614654062</v>
      </c>
      <c r="AC109" s="12">
        <v>0.41610519529018092</v>
      </c>
      <c r="AD109" s="12">
        <v>0.41781828827084017</v>
      </c>
      <c r="AE109" s="12">
        <v>0.4195384340054511</v>
      </c>
      <c r="AF109" s="12">
        <v>0.4212656615299965</v>
      </c>
      <c r="AG109" s="12">
        <v>0.42299999999999938</v>
      </c>
    </row>
    <row r="110" spans="1:33" ht="15" hidden="1" thickBot="1" x14ac:dyDescent="0.4">
      <c r="A110" s="154"/>
      <c r="B110" s="55" t="s">
        <v>29</v>
      </c>
      <c r="C110" s="40"/>
      <c r="D110" s="90" t="e">
        <f t="shared" ref="D110:Q110" si="103">D92*T110</f>
        <v>#REF!</v>
      </c>
      <c r="E110" s="90" t="e">
        <f t="shared" si="103"/>
        <v>#REF!</v>
      </c>
      <c r="F110" s="90" t="e">
        <f t="shared" si="103"/>
        <v>#REF!</v>
      </c>
      <c r="G110" s="90" t="e">
        <f t="shared" si="103"/>
        <v>#REF!</v>
      </c>
      <c r="H110" s="90" t="e">
        <f t="shared" si="103"/>
        <v>#REF!</v>
      </c>
      <c r="I110" s="90" t="e">
        <f t="shared" si="103"/>
        <v>#REF!</v>
      </c>
      <c r="J110" s="90" t="e">
        <f t="shared" si="103"/>
        <v>#REF!</v>
      </c>
      <c r="K110" s="90" t="e">
        <f t="shared" si="103"/>
        <v>#REF!</v>
      </c>
      <c r="L110" s="90" t="e">
        <f t="shared" si="103"/>
        <v>#REF!</v>
      </c>
      <c r="M110" s="90" t="e">
        <f t="shared" si="103"/>
        <v>#REF!</v>
      </c>
      <c r="N110" s="90" t="e">
        <f t="shared" si="103"/>
        <v>#REF!</v>
      </c>
      <c r="O110" s="90" t="e">
        <f t="shared" si="103"/>
        <v>#REF!</v>
      </c>
      <c r="P110" s="90" t="e">
        <f t="shared" si="103"/>
        <v>#REF!</v>
      </c>
      <c r="Q110" s="90" t="e">
        <f t="shared" si="103"/>
        <v>#REF!</v>
      </c>
      <c r="R110" s="76" t="e">
        <f>RATE(12,,-E110,Q110)</f>
        <v>#REF!</v>
      </c>
      <c r="S110" s="55"/>
      <c r="T110" s="12">
        <v>0.43099999999999999</v>
      </c>
      <c r="U110" s="12">
        <v>0.43183634674261745</v>
      </c>
      <c r="V110" s="12">
        <v>0.43267431639909548</v>
      </c>
      <c r="W110" s="12">
        <v>0.43351391211866536</v>
      </c>
      <c r="X110" s="12">
        <v>0.43435513705666956</v>
      </c>
      <c r="Y110" s="12">
        <v>0.43519799437457324</v>
      </c>
      <c r="Z110" s="12">
        <v>0.43604248723997657</v>
      </c>
      <c r="AA110" s="12">
        <v>0.43688861882662616</v>
      </c>
      <c r="AB110" s="12">
        <v>0.43773639231442729</v>
      </c>
      <c r="AC110" s="12">
        <v>0.43858581088945586</v>
      </c>
      <c r="AD110" s="12">
        <v>0.43943687774397006</v>
      </c>
      <c r="AE110" s="12">
        <v>0.44028959607642287</v>
      </c>
      <c r="AF110" s="12">
        <v>0.44114396909147369</v>
      </c>
      <c r="AG110" s="12">
        <v>0.44200000000000028</v>
      </c>
    </row>
    <row r="111" spans="1:33" ht="15" hidden="1" thickBot="1" x14ac:dyDescent="0.4">
      <c r="A111" s="153"/>
      <c r="B111" s="56" t="s">
        <v>30</v>
      </c>
      <c r="C111" s="44"/>
      <c r="D111" s="85" t="e">
        <f t="shared" ref="D111:Q111" si="104">D92*T111</f>
        <v>#REF!</v>
      </c>
      <c r="E111" s="85" t="e">
        <f t="shared" si="104"/>
        <v>#REF!</v>
      </c>
      <c r="F111" s="85" t="e">
        <f t="shared" si="104"/>
        <v>#REF!</v>
      </c>
      <c r="G111" s="85" t="e">
        <f t="shared" si="104"/>
        <v>#REF!</v>
      </c>
      <c r="H111" s="85" t="e">
        <f t="shared" si="104"/>
        <v>#REF!</v>
      </c>
      <c r="I111" s="85" t="e">
        <f t="shared" si="104"/>
        <v>#REF!</v>
      </c>
      <c r="J111" s="85" t="e">
        <f t="shared" si="104"/>
        <v>#REF!</v>
      </c>
      <c r="K111" s="85" t="e">
        <f t="shared" si="104"/>
        <v>#REF!</v>
      </c>
      <c r="L111" s="85" t="e">
        <f t="shared" si="104"/>
        <v>#REF!</v>
      </c>
      <c r="M111" s="85" t="e">
        <f t="shared" si="104"/>
        <v>#REF!</v>
      </c>
      <c r="N111" s="85" t="e">
        <f t="shared" si="104"/>
        <v>#REF!</v>
      </c>
      <c r="O111" s="85" t="e">
        <f t="shared" si="104"/>
        <v>#REF!</v>
      </c>
      <c r="P111" s="85" t="e">
        <f t="shared" si="104"/>
        <v>#REF!</v>
      </c>
      <c r="Q111" s="85" t="e">
        <f t="shared" si="104"/>
        <v>#REF!</v>
      </c>
      <c r="R111" s="72" t="e">
        <f>RATE(12,,-E111,Q111)</f>
        <v>#REF!</v>
      </c>
      <c r="S111" s="56"/>
      <c r="T111" s="12">
        <f>1-SUM(T109:T110)</f>
        <v>0.16800000000000004</v>
      </c>
      <c r="U111" s="12">
        <f t="shared" ref="U111:AG111" si="105">1-SUM(U109:U110)</f>
        <v>0.16551274792618309</v>
      </c>
      <c r="V111" s="12">
        <f t="shared" si="105"/>
        <v>0.16301707620929717</v>
      </c>
      <c r="W111" s="12">
        <f t="shared" si="105"/>
        <v>0.16051295371817442</v>
      </c>
      <c r="X111" s="12">
        <f t="shared" si="105"/>
        <v>0.15800034920033545</v>
      </c>
      <c r="Y111" s="12">
        <f t="shared" si="105"/>
        <v>0.15547923128150276</v>
      </c>
      <c r="Z111" s="12">
        <f t="shared" si="105"/>
        <v>0.15294956846511254</v>
      </c>
      <c r="AA111" s="12">
        <f t="shared" si="105"/>
        <v>0.15041132913182498</v>
      </c>
      <c r="AB111" s="12">
        <f t="shared" si="105"/>
        <v>0.14786448153903209</v>
      </c>
      <c r="AC111" s="12">
        <f t="shared" si="105"/>
        <v>0.14530899382036322</v>
      </c>
      <c r="AD111" s="12">
        <f t="shared" si="105"/>
        <v>0.14274483398518978</v>
      </c>
      <c r="AE111" s="12">
        <f t="shared" si="105"/>
        <v>0.14017196991812608</v>
      </c>
      <c r="AF111" s="12">
        <f t="shared" si="105"/>
        <v>0.13759036937852986</v>
      </c>
      <c r="AG111" s="12">
        <f t="shared" si="105"/>
        <v>0.13500000000000034</v>
      </c>
    </row>
    <row r="112" spans="1:33" ht="15.5" x14ac:dyDescent="0.35">
      <c r="A112" s="42"/>
      <c r="B112" s="43"/>
      <c r="C112" s="93"/>
      <c r="D112" s="91">
        <v>2023</v>
      </c>
      <c r="E112" s="65">
        <v>2024</v>
      </c>
      <c r="F112" s="65">
        <v>2025</v>
      </c>
      <c r="G112" s="65">
        <v>2026</v>
      </c>
      <c r="H112" s="65">
        <v>2027</v>
      </c>
      <c r="I112" s="65">
        <v>2028</v>
      </c>
      <c r="J112" s="65">
        <v>2029</v>
      </c>
      <c r="K112" s="65">
        <v>2030</v>
      </c>
      <c r="L112" s="65">
        <v>2031</v>
      </c>
      <c r="M112" s="65">
        <v>2032</v>
      </c>
      <c r="N112" s="65">
        <v>2033</v>
      </c>
      <c r="O112" s="65">
        <v>2034</v>
      </c>
      <c r="P112" s="65">
        <v>2035</v>
      </c>
      <c r="Q112" s="65">
        <v>2036</v>
      </c>
      <c r="R112" s="66" t="s">
        <v>84</v>
      </c>
    </row>
    <row r="113" spans="1:33" ht="16" thickBot="1" x14ac:dyDescent="0.4">
      <c r="A113" s="1"/>
      <c r="C113" s="21"/>
      <c r="D113" s="92">
        <f>'Market Analysis '!C39</f>
        <v>110.13600000000001</v>
      </c>
      <c r="E113" s="92">
        <f>'Market Analysis '!D39</f>
        <v>119.60769600000002</v>
      </c>
      <c r="F113" s="92">
        <f>'Market Analysis '!E39</f>
        <v>129.97962826912081</v>
      </c>
      <c r="G113" s="92">
        <f>'Market Analysis '!F39</f>
        <v>141.34485055264537</v>
      </c>
      <c r="H113" s="92">
        <f>'Market Analysis '!G39</f>
        <v>153.80676400422033</v>
      </c>
      <c r="I113" s="92">
        <f>'Market Analysis '!H39</f>
        <v>167.48034510611259</v>
      </c>
      <c r="J113" s="92">
        <f>'Market Analysis '!I39</f>
        <v>182.49352813520008</v>
      </c>
      <c r="K113" s="92">
        <f>'Market Analysis '!J39</f>
        <v>198.98876270212196</v>
      </c>
      <c r="L113" s="92">
        <f>'Market Analysis '!K39</f>
        <v>217.12476975669642</v>
      </c>
      <c r="M113" s="92">
        <f>'Market Analysis '!L39</f>
        <v>237.07852273742785</v>
      </c>
      <c r="N113" s="92">
        <f>'Market Analysis '!M39</f>
        <v>259.04748431066486</v>
      </c>
      <c r="O113" s="92">
        <f>'Market Analysis '!N39</f>
        <v>283.25213346990733</v>
      </c>
      <c r="P113" s="92">
        <f>'Market Analysis '!O39</f>
        <v>309.93882273392865</v>
      </c>
      <c r="Q113" s="92">
        <f>'Market Analysis '!P39</f>
        <v>339.38301089365189</v>
      </c>
      <c r="R113" s="68">
        <f>RATE(12,,-E113,Q113)</f>
        <v>9.0797786057835284E-2</v>
      </c>
      <c r="T113" s="65">
        <v>2023</v>
      </c>
      <c r="U113" s="65">
        <v>2024</v>
      </c>
      <c r="V113" s="65">
        <v>2025</v>
      </c>
      <c r="W113" s="65">
        <v>2026</v>
      </c>
      <c r="X113" s="65">
        <v>2027</v>
      </c>
      <c r="Y113" s="65">
        <v>2028</v>
      </c>
      <c r="Z113" s="65">
        <v>2029</v>
      </c>
      <c r="AA113" s="65">
        <v>2030</v>
      </c>
      <c r="AB113" s="65">
        <v>2031</v>
      </c>
      <c r="AC113" s="65">
        <v>2032</v>
      </c>
      <c r="AD113" s="65">
        <v>2033</v>
      </c>
      <c r="AE113" s="65">
        <v>2034</v>
      </c>
      <c r="AF113" s="65">
        <v>2035</v>
      </c>
      <c r="AG113" s="65">
        <v>2036</v>
      </c>
    </row>
    <row r="114" spans="1:33" s="121" customFormat="1" x14ac:dyDescent="0.35">
      <c r="A114" s="147" t="s">
        <v>59</v>
      </c>
      <c r="B114" s="118" t="s">
        <v>60</v>
      </c>
      <c r="C114" s="119"/>
      <c r="D114" s="120">
        <f>D113*T114</f>
        <v>38.547599999999996</v>
      </c>
      <c r="E114" s="120">
        <f t="shared" ref="E114" si="106">E113*U114</f>
        <v>42.294908330095339</v>
      </c>
      <c r="F114" s="120">
        <f>F113*V114</f>
        <v>46.437108846983584</v>
      </c>
      <c r="G114" s="120">
        <f t="shared" ref="G114:Q114" si="107">G113*W114</f>
        <v>51.018864947736411</v>
      </c>
      <c r="H114" s="120">
        <f t="shared" si="107"/>
        <v>56.090221536461257</v>
      </c>
      <c r="I114" s="120">
        <f t="shared" si="107"/>
        <v>61.707291782211875</v>
      </c>
      <c r="J114" s="120">
        <f t="shared" si="107"/>
        <v>67.933036262921519</v>
      </c>
      <c r="K114" s="120">
        <f t="shared" si="107"/>
        <v>74.838147545636104</v>
      </c>
      <c r="L114" s="120">
        <f t="shared" si="107"/>
        <v>82.502055182702151</v>
      </c>
      <c r="M114" s="120">
        <f t="shared" si="107"/>
        <v>91.014068330640782</v>
      </c>
      <c r="N114" s="120">
        <f t="shared" si="107"/>
        <v>100.47467577103727</v>
      </c>
      <c r="O114" s="120">
        <f t="shared" si="107"/>
        <v>110.99702608669979</v>
      </c>
      <c r="P114" s="120">
        <f t="shared" si="107"/>
        <v>122.70861418676044</v>
      </c>
      <c r="Q114" s="120">
        <f t="shared" si="107"/>
        <v>135.75320435746079</v>
      </c>
      <c r="R114" s="68">
        <f>RATE(9,,-H114,Q114)</f>
        <v>0.10319284671908822</v>
      </c>
      <c r="S114" s="118" t="s">
        <v>60</v>
      </c>
      <c r="T114" s="116">
        <v>0.34999999999999992</v>
      </c>
      <c r="U114" s="116">
        <v>0.35361360300841621</v>
      </c>
      <c r="V114" s="116">
        <v>0.35726451495026795</v>
      </c>
      <c r="W114" s="116">
        <v>0.36095312102462412</v>
      </c>
      <c r="X114" s="116">
        <v>0.36467981040757214</v>
      </c>
      <c r="Y114" s="116">
        <v>0.36844497629327921</v>
      </c>
      <c r="Z114" s="116">
        <v>0.37224901593547705</v>
      </c>
      <c r="AA114" s="116">
        <v>0.37609233068937542</v>
      </c>
      <c r="AB114" s="116">
        <v>0.37997532605400802</v>
      </c>
      <c r="AC114" s="116">
        <v>0.38389841171501571</v>
      </c>
      <c r="AD114" s="116">
        <v>0.38786200158787171</v>
      </c>
      <c r="AE114" s="116">
        <v>0.39186651386155258</v>
      </c>
      <c r="AF114" s="116">
        <v>0.39591237104266019</v>
      </c>
      <c r="AG114" s="116">
        <v>0.40000000000000013</v>
      </c>
    </row>
    <row r="115" spans="1:33" s="117" customFormat="1" x14ac:dyDescent="0.35">
      <c r="A115" s="148"/>
      <c r="B115" s="113" t="s">
        <v>61</v>
      </c>
      <c r="C115" s="114"/>
      <c r="D115" s="115">
        <f>D113*T115</f>
        <v>33.040800000000004</v>
      </c>
      <c r="E115" s="115">
        <f t="shared" ref="E115:Q115" si="108">E113*U115</f>
        <v>35.900653605761327</v>
      </c>
      <c r="F115" s="115">
        <f t="shared" si="108"/>
        <v>39.033769870274966</v>
      </c>
      <c r="G115" s="115">
        <f t="shared" si="108"/>
        <v>42.468524633282101</v>
      </c>
      <c r="H115" s="115">
        <f t="shared" si="108"/>
        <v>46.236461911524572</v>
      </c>
      <c r="I115" s="115">
        <f t="shared" si="108"/>
        <v>50.372671242283538</v>
      </c>
      <c r="J115" s="115">
        <f t="shared" si="108"/>
        <v>54.916212678194675</v>
      </c>
      <c r="K115" s="115">
        <f t="shared" si="108"/>
        <v>59.910595782115657</v>
      </c>
      <c r="L115" s="115">
        <f t="shared" si="108"/>
        <v>65.404319859669215</v>
      </c>
      <c r="M115" s="115">
        <f t="shared" si="108"/>
        <v>71.451483686252161</v>
      </c>
      <c r="N115" s="115">
        <f t="shared" si="108"/>
        <v>78.112474154741065</v>
      </c>
      <c r="O115" s="115">
        <f t="shared" si="108"/>
        <v>85.454744612969506</v>
      </c>
      <c r="P115" s="115">
        <f t="shared" si="108"/>
        <v>93.553695203145026</v>
      </c>
      <c r="Q115" s="115">
        <f t="shared" si="108"/>
        <v>102.49366928988297</v>
      </c>
      <c r="R115" s="68">
        <f>RATE(9,,-H115,Q115)</f>
        <v>9.2477482116832238E-2</v>
      </c>
      <c r="S115" s="113" t="s">
        <v>61</v>
      </c>
      <c r="T115" s="116">
        <v>0.30000000000000004</v>
      </c>
      <c r="U115" s="116">
        <v>0.30015337479422161</v>
      </c>
      <c r="V115" s="116">
        <v>0.30030682800120145</v>
      </c>
      <c r="W115" s="116">
        <v>0.30046035966102813</v>
      </c>
      <c r="X115" s="116">
        <v>0.30061396981381056</v>
      </c>
      <c r="Y115" s="116">
        <v>0.30076765849967829</v>
      </c>
      <c r="Z115" s="116">
        <v>0.30092142575878128</v>
      </c>
      <c r="AA115" s="116">
        <v>0.30107527163128989</v>
      </c>
      <c r="AB115" s="116">
        <v>0.30122919615739541</v>
      </c>
      <c r="AC115" s="116">
        <v>0.30138319937730923</v>
      </c>
      <c r="AD115" s="116">
        <v>0.30153728133126367</v>
      </c>
      <c r="AE115" s="116">
        <v>0.30169144205951126</v>
      </c>
      <c r="AF115" s="116">
        <v>0.3018456816023255</v>
      </c>
      <c r="AG115" s="116">
        <v>0.30200000000000032</v>
      </c>
    </row>
    <row r="116" spans="1:33" s="117" customFormat="1" x14ac:dyDescent="0.35">
      <c r="A116" s="148"/>
      <c r="B116" s="113" t="s">
        <v>62</v>
      </c>
      <c r="C116" s="114"/>
      <c r="D116" s="115">
        <f>D113*T116</f>
        <v>16.520400000000002</v>
      </c>
      <c r="E116" s="115">
        <f t="shared" ref="E116:Q116" si="109">E113*U116</f>
        <v>17.96850460985393</v>
      </c>
      <c r="F116" s="115">
        <f t="shared" si="109"/>
        <v>19.556433385261617</v>
      </c>
      <c r="G116" s="115">
        <f t="shared" si="109"/>
        <v>21.298837743324352</v>
      </c>
      <c r="H116" s="115">
        <f t="shared" si="109"/>
        <v>23.212018110069192</v>
      </c>
      <c r="I116" s="115">
        <f t="shared" si="109"/>
        <v>25.314121750194211</v>
      </c>
      <c r="J116" s="115">
        <f t="shared" si="109"/>
        <v>27.62536574454148</v>
      </c>
      <c r="K116" s="115">
        <f t="shared" si="109"/>
        <v>30.16828848632009</v>
      </c>
      <c r="L116" s="115">
        <f t="shared" si="109"/>
        <v>32.968033541738194</v>
      </c>
      <c r="M116" s="115">
        <f t="shared" si="109"/>
        <v>36.052670265298886</v>
      </c>
      <c r="N116" s="115">
        <f t="shared" si="109"/>
        <v>39.453556185335167</v>
      </c>
      <c r="O116" s="115">
        <f t="shared" si="109"/>
        <v>43.205746893893235</v>
      </c>
      <c r="P116" s="115">
        <f t="shared" si="109"/>
        <v>47.348460001320753</v>
      </c>
      <c r="Q116" s="115">
        <f t="shared" si="109"/>
        <v>51.925600666728663</v>
      </c>
      <c r="R116" s="68">
        <f>RATE(9,,-H116,Q116)</f>
        <v>9.3583804302982465E-2</v>
      </c>
      <c r="S116" s="113" t="s">
        <v>62</v>
      </c>
      <c r="T116" s="116">
        <v>0.15</v>
      </c>
      <c r="U116" s="116">
        <v>0.15022866597023929</v>
      </c>
      <c r="V116" s="116">
        <v>0.15045768052798492</v>
      </c>
      <c r="W116" s="116">
        <v>0.15068704420463749</v>
      </c>
      <c r="X116" s="116">
        <v>0.15091675753240782</v>
      </c>
      <c r="Y116" s="116">
        <v>0.15114682104431795</v>
      </c>
      <c r="Z116" s="116">
        <v>0.15137723527420252</v>
      </c>
      <c r="AA116" s="116">
        <v>0.15160800075670999</v>
      </c>
      <c r="AB116" s="116">
        <v>0.15183911802730382</v>
      </c>
      <c r="AC116" s="116">
        <v>0.1520705876222638</v>
      </c>
      <c r="AD116" s="116">
        <v>0.15230241007868719</v>
      </c>
      <c r="AE116" s="116">
        <v>0.15253458593449007</v>
      </c>
      <c r="AF116" s="116">
        <v>0.15276711572840845</v>
      </c>
      <c r="AG116" s="116">
        <v>0.15299999999999978</v>
      </c>
    </row>
    <row r="117" spans="1:33" s="117" customFormat="1" x14ac:dyDescent="0.35">
      <c r="A117" s="148"/>
      <c r="B117" s="113" t="s">
        <v>63</v>
      </c>
      <c r="C117" s="114"/>
      <c r="D117" s="115">
        <f>D113*T117</f>
        <v>13.216320000000003</v>
      </c>
      <c r="E117" s="115">
        <f t="shared" ref="E117:Q117" si="110">E113*U117</f>
        <v>14.371184650510182</v>
      </c>
      <c r="F117" s="115">
        <f t="shared" si="110"/>
        <v>15.637269975500169</v>
      </c>
      <c r="G117" s="115">
        <f t="shared" si="110"/>
        <v>17.026204034634574</v>
      </c>
      <c r="H117" s="115">
        <f t="shared" si="110"/>
        <v>18.550921014300403</v>
      </c>
      <c r="I117" s="115">
        <f t="shared" si="110"/>
        <v>20.225817640721893</v>
      </c>
      <c r="J117" s="115">
        <f t="shared" si="110"/>
        <v>22.066929443367247</v>
      </c>
      <c r="K117" s="115">
        <f t="shared" si="110"/>
        <v>24.092129525524228</v>
      </c>
      <c r="L117" s="115">
        <f t="shared" si="110"/>
        <v>26.321352872480084</v>
      </c>
      <c r="M117" s="115">
        <f t="shared" si="110"/>
        <v>28.776849656288118</v>
      </c>
      <c r="N117" s="115">
        <f t="shared" si="110"/>
        <v>31.483471488089364</v>
      </c>
      <c r="O117" s="115">
        <f t="shared" si="110"/>
        <v>34.468995134185555</v>
      </c>
      <c r="P117" s="115">
        <f t="shared" si="110"/>
        <v>37.764488861908845</v>
      </c>
      <c r="Q117" s="115">
        <f t="shared" si="110"/>
        <v>41.404727329025476</v>
      </c>
      <c r="R117" s="68">
        <f>RATE(9,,-H117,Q117)</f>
        <v>9.3308480845081518E-2</v>
      </c>
      <c r="S117" s="113" t="s">
        <v>63</v>
      </c>
      <c r="T117" s="116">
        <v>0.12000000000000002</v>
      </c>
      <c r="U117" s="116">
        <v>0.12015267521339246</v>
      </c>
      <c r="V117" s="116">
        <v>0.12030554467445809</v>
      </c>
      <c r="W117" s="116">
        <v>0.12045860863033696</v>
      </c>
      <c r="X117" s="116">
        <v>0.12061186732848356</v>
      </c>
      <c r="Y117" s="116">
        <v>0.12076532101666719</v>
      </c>
      <c r="Z117" s="116">
        <v>0.1209189699429724</v>
      </c>
      <c r="AA117" s="116">
        <v>0.12107281435579939</v>
      </c>
      <c r="AB117" s="116">
        <v>0.12122685450386435</v>
      </c>
      <c r="AC117" s="116">
        <v>0.12138109063619994</v>
      </c>
      <c r="AD117" s="116">
        <v>0.12153552300215566</v>
      </c>
      <c r="AE117" s="116">
        <v>0.12169015185139827</v>
      </c>
      <c r="AF117" s="116">
        <v>0.12184497743391219</v>
      </c>
      <c r="AG117" s="116">
        <v>0.12199999999999984</v>
      </c>
    </row>
    <row r="118" spans="1:33" s="117" customFormat="1" x14ac:dyDescent="0.35">
      <c r="A118" s="148"/>
      <c r="B118" s="113" t="s">
        <v>64</v>
      </c>
      <c r="C118" s="114"/>
      <c r="D118" s="115">
        <f>D113*T118</f>
        <v>8.810880000000008</v>
      </c>
      <c r="E118" s="115">
        <f t="shared" ref="E118:G118" si="111">E113*U118</f>
        <v>9.0724448037792396</v>
      </c>
      <c r="F118" s="115">
        <f t="shared" si="111"/>
        <v>9.3150461911004854</v>
      </c>
      <c r="G118" s="115">
        <f t="shared" si="111"/>
        <v>9.5324191936679306</v>
      </c>
      <c r="H118" s="115">
        <f>H113*X118</f>
        <v>9.7171414318648797</v>
      </c>
      <c r="I118" s="115">
        <f t="shared" ref="I118:Q118" si="112">I113*Y118</f>
        <v>9.8604426907010847</v>
      </c>
      <c r="J118" s="115">
        <f t="shared" si="112"/>
        <v>9.9519840061751594</v>
      </c>
      <c r="K118" s="115">
        <f t="shared" si="112"/>
        <v>9.979601362525873</v>
      </c>
      <c r="L118" s="115">
        <f t="shared" si="112"/>
        <v>9.9290083001067959</v>
      </c>
      <c r="M118" s="115">
        <f t="shared" si="112"/>
        <v>9.7834507989478929</v>
      </c>
      <c r="N118" s="115">
        <f t="shared" si="112"/>
        <v>9.5233067114620251</v>
      </c>
      <c r="O118" s="115">
        <f t="shared" si="112"/>
        <v>9.1256207421592475</v>
      </c>
      <c r="P118" s="115">
        <f t="shared" si="112"/>
        <v>8.5635644807935893</v>
      </c>
      <c r="Q118" s="115">
        <f t="shared" si="112"/>
        <v>7.8058092505539625</v>
      </c>
      <c r="R118" s="68">
        <f>RATE(9,,-H118,Q118)</f>
        <v>-2.4042185986167634E-2</v>
      </c>
      <c r="S118" s="113" t="s">
        <v>64</v>
      </c>
      <c r="T118" s="116">
        <f>1-SUM(T114:T117)</f>
        <v>8.0000000000000071E-2</v>
      </c>
      <c r="U118" s="116">
        <f t="shared" ref="U118:AG118" si="113">1-SUM(U114:U117)</f>
        <v>7.585168101373041E-2</v>
      </c>
      <c r="V118" s="116">
        <f t="shared" si="113"/>
        <v>7.1665431846087646E-2</v>
      </c>
      <c r="W118" s="116">
        <f t="shared" si="113"/>
        <v>6.7440866479373307E-2</v>
      </c>
      <c r="X118" s="116">
        <f t="shared" si="113"/>
        <v>6.3177594917725788E-2</v>
      </c>
      <c r="Y118" s="116">
        <f t="shared" si="113"/>
        <v>5.887522314605742E-2</v>
      </c>
      <c r="Z118" s="116">
        <f t="shared" si="113"/>
        <v>5.4533353088566772E-2</v>
      </c>
      <c r="AA118" s="116">
        <f t="shared" si="113"/>
        <v>5.0151582566825281E-2</v>
      </c>
      <c r="AB118" s="116">
        <f t="shared" si="113"/>
        <v>4.5729505257428471E-2</v>
      </c>
      <c r="AC118" s="116">
        <f t="shared" si="113"/>
        <v>4.126671064921128E-2</v>
      </c>
      <c r="AD118" s="116">
        <f t="shared" si="113"/>
        <v>3.6762784000021864E-2</v>
      </c>
      <c r="AE118" s="116">
        <f t="shared" si="113"/>
        <v>3.2217306293047754E-2</v>
      </c>
      <c r="AF118" s="116">
        <f t="shared" si="113"/>
        <v>2.7629854192693704E-2</v>
      </c>
      <c r="AG118" s="116">
        <f t="shared" si="113"/>
        <v>2.2999999999999909E-2</v>
      </c>
    </row>
    <row r="119" spans="1:33" x14ac:dyDescent="0.35">
      <c r="A119" s="1"/>
      <c r="D119" s="81" t="b">
        <f>D113=SUM(D114:D118)</f>
        <v>1</v>
      </c>
      <c r="E119" s="81" t="b">
        <f t="shared" ref="E119:Q119" si="114">E113=SUM(E114:E118)</f>
        <v>1</v>
      </c>
      <c r="F119" s="81" t="b">
        <f t="shared" si="114"/>
        <v>1</v>
      </c>
      <c r="G119" s="81" t="b">
        <f t="shared" si="114"/>
        <v>1</v>
      </c>
      <c r="H119" s="81" t="b">
        <f t="shared" si="114"/>
        <v>1</v>
      </c>
      <c r="I119" s="81" t="b">
        <f t="shared" si="114"/>
        <v>1</v>
      </c>
      <c r="J119" s="81" t="b">
        <f t="shared" si="114"/>
        <v>1</v>
      </c>
      <c r="K119" s="81" t="b">
        <f t="shared" si="114"/>
        <v>1</v>
      </c>
      <c r="L119" s="81" t="b">
        <f t="shared" si="114"/>
        <v>1</v>
      </c>
      <c r="M119" s="81" t="b">
        <f t="shared" si="114"/>
        <v>1</v>
      </c>
      <c r="N119" s="81" t="b">
        <f t="shared" si="114"/>
        <v>1</v>
      </c>
      <c r="O119" s="81" t="b">
        <f t="shared" si="114"/>
        <v>1</v>
      </c>
      <c r="P119" s="81" t="b">
        <f t="shared" si="114"/>
        <v>1</v>
      </c>
      <c r="Q119" s="81" t="b">
        <f t="shared" si="114"/>
        <v>1</v>
      </c>
      <c r="R119" s="21"/>
    </row>
    <row r="120" spans="1:33" s="117" customFormat="1" x14ac:dyDescent="0.35">
      <c r="A120" s="149" t="s">
        <v>65</v>
      </c>
      <c r="B120" s="122" t="s">
        <v>66</v>
      </c>
      <c r="C120" s="123"/>
      <c r="D120" s="124">
        <f>D113*T120</f>
        <v>77.09520000000002</v>
      </c>
      <c r="E120" s="124">
        <f t="shared" ref="E120:Q120" si="115">E113*U120</f>
        <v>83.77123919269097</v>
      </c>
      <c r="F120" s="124">
        <f t="shared" si="115"/>
        <v>91.085423288796846</v>
      </c>
      <c r="G120" s="124">
        <f t="shared" si="115"/>
        <v>99.104039427101469</v>
      </c>
      <c r="H120" s="124">
        <f t="shared" si="115"/>
        <v>107.9007778760872</v>
      </c>
      <c r="I120" s="124">
        <f t="shared" si="115"/>
        <v>117.55761400809288</v>
      </c>
      <c r="J120" s="124">
        <f t="shared" si="115"/>
        <v>128.1658016764228</v>
      </c>
      <c r="K120" s="124">
        <f t="shared" si="115"/>
        <v>139.82699284133562</v>
      </c>
      <c r="L120" s="124">
        <f t="shared" si="115"/>
        <v>152.65450036973712</v>
      </c>
      <c r="M120" s="124">
        <f t="shared" si="115"/>
        <v>166.77472331716172</v>
      </c>
      <c r="N120" s="124">
        <f t="shared" si="115"/>
        <v>182.32875673592321</v>
      </c>
      <c r="O120" s="124">
        <f t="shared" si="115"/>
        <v>199.47421119428662</v>
      </c>
      <c r="P120" s="124">
        <f t="shared" si="115"/>
        <v>218.38727080095563</v>
      </c>
      <c r="Q120" s="124">
        <f t="shared" si="115"/>
        <v>239.26502268002503</v>
      </c>
      <c r="R120" s="68">
        <f>RATE(9,,-H120,Q120)</f>
        <v>9.2517225914205733E-2</v>
      </c>
      <c r="S120" s="122" t="s">
        <v>66</v>
      </c>
      <c r="T120" s="116">
        <v>0.70000000000000007</v>
      </c>
      <c r="U120" s="116">
        <v>0.70038335319736411</v>
      </c>
      <c r="V120" s="116">
        <v>0.70076691633711929</v>
      </c>
      <c r="W120" s="116">
        <v>0.70115068953424042</v>
      </c>
      <c r="X120" s="116">
        <v>0.70153467290376448</v>
      </c>
      <c r="Y120" s="116">
        <v>0.70191886656079228</v>
      </c>
      <c r="Z120" s="116">
        <v>0.70230327062048659</v>
      </c>
      <c r="AA120" s="116">
        <v>0.70268788519807479</v>
      </c>
      <c r="AB120" s="116">
        <v>0.70307271040884567</v>
      </c>
      <c r="AC120" s="116">
        <v>0.70345774636815217</v>
      </c>
      <c r="AD120" s="116">
        <v>0.70384299319141008</v>
      </c>
      <c r="AE120" s="116">
        <v>0.70422845099409903</v>
      </c>
      <c r="AF120" s="116">
        <v>0.70461411989176093</v>
      </c>
      <c r="AG120" s="116">
        <v>0.70500000000000129</v>
      </c>
    </row>
    <row r="121" spans="1:33" s="117" customFormat="1" x14ac:dyDescent="0.35">
      <c r="A121" s="149"/>
      <c r="B121" s="122" t="s">
        <v>67</v>
      </c>
      <c r="C121" s="123"/>
      <c r="D121" s="124">
        <f>D113*T121</f>
        <v>22.027200000000008</v>
      </c>
      <c r="E121" s="124">
        <f t="shared" ref="E121:Q121" si="116">E113*U121</f>
        <v>23.939855995924756</v>
      </c>
      <c r="F121" s="124">
        <f t="shared" si="116"/>
        <v>26.035751215253981</v>
      </c>
      <c r="G121" s="124">
        <f t="shared" si="116"/>
        <v>28.333956756927204</v>
      </c>
      <c r="H121" s="124">
        <f t="shared" si="116"/>
        <v>30.855677317296848</v>
      </c>
      <c r="I121" s="124">
        <f t="shared" si="116"/>
        <v>33.624505773358486</v>
      </c>
      <c r="J121" s="124">
        <f t="shared" si="116"/>
        <v>36.666709968420754</v>
      </c>
      <c r="K121" s="124">
        <f t="shared" si="116"/>
        <v>40.01155599725687</v>
      </c>
      <c r="L121" s="124">
        <f t="shared" si="116"/>
        <v>43.691672890236504</v>
      </c>
      <c r="M121" s="124">
        <f t="shared" si="116"/>
        <v>47.743464286840954</v>
      </c>
      <c r="N121" s="124">
        <f t="shared" si="116"/>
        <v>52.207573481875556</v>
      </c>
      <c r="O121" s="124">
        <f t="shared" si="116"/>
        <v>57.129409138333266</v>
      </c>
      <c r="P121" s="124">
        <f t="shared" si="116"/>
        <v>62.559740007480301</v>
      </c>
      <c r="Q121" s="124">
        <f t="shared" si="116"/>
        <v>68.55536820051779</v>
      </c>
      <c r="R121" s="68">
        <f>RATE(9,,-H121,Q121)</f>
        <v>9.2755325064724919E-2</v>
      </c>
      <c r="S121" s="122" t="s">
        <v>67</v>
      </c>
      <c r="T121" s="116">
        <v>0.20000000000000004</v>
      </c>
      <c r="U121" s="116">
        <v>0.2001531406133327</v>
      </c>
      <c r="V121" s="116">
        <v>0.2003063984869026</v>
      </c>
      <c r="W121" s="116">
        <v>0.20045977371049628</v>
      </c>
      <c r="X121" s="116">
        <v>0.20061326637396906</v>
      </c>
      <c r="Y121" s="116">
        <v>0.2007668765672449</v>
      </c>
      <c r="Z121" s="116">
        <v>0.20092060438031684</v>
      </c>
      <c r="AA121" s="116">
        <v>0.20107444990324672</v>
      </c>
      <c r="AB121" s="116">
        <v>0.20122841322616528</v>
      </c>
      <c r="AC121" s="116">
        <v>0.20138249443927231</v>
      </c>
      <c r="AD121" s="116">
        <v>0.20153669363283677</v>
      </c>
      <c r="AE121" s="116">
        <v>0.2016910108971966</v>
      </c>
      <c r="AF121" s="116">
        <v>0.20184544632275897</v>
      </c>
      <c r="AG121" s="116">
        <v>0.20200000000000032</v>
      </c>
    </row>
    <row r="122" spans="1:33" s="117" customFormat="1" x14ac:dyDescent="0.35">
      <c r="A122" s="149"/>
      <c r="B122" s="122" t="s">
        <v>68</v>
      </c>
      <c r="C122" s="123"/>
      <c r="D122" s="124">
        <f>D113*T122</f>
        <v>11.013599999999986</v>
      </c>
      <c r="E122" s="124">
        <f t="shared" ref="E122:L122" si="117">E113*U122</f>
        <v>11.8966008113843</v>
      </c>
      <c r="F122" s="124">
        <f t="shared" si="117"/>
        <v>12.858453765069982</v>
      </c>
      <c r="G122" s="124">
        <f t="shared" si="117"/>
        <v>13.906854368616699</v>
      </c>
      <c r="H122" s="124">
        <f t="shared" si="117"/>
        <v>15.050308810836279</v>
      </c>
      <c r="I122" s="124">
        <f t="shared" si="117"/>
        <v>16.298225324661221</v>
      </c>
      <c r="J122" s="124">
        <f t="shared" si="117"/>
        <v>17.661016490356509</v>
      </c>
      <c r="K122" s="124">
        <f t="shared" si="117"/>
        <v>19.150213863529462</v>
      </c>
      <c r="L122" s="124">
        <f t="shared" si="117"/>
        <v>20.778596496722813</v>
      </c>
      <c r="M122" s="124">
        <f>M113*AC122</f>
        <v>22.560335133425163</v>
      </c>
      <c r="N122" s="124">
        <f t="shared" ref="N122:Q122" si="118">N113*AD122</f>
        <v>24.511154092866107</v>
      </c>
      <c r="O122" s="124">
        <f t="shared" si="118"/>
        <v>26.648513137287448</v>
      </c>
      <c r="P122" s="124">
        <f t="shared" si="118"/>
        <v>28.991811925492726</v>
      </c>
      <c r="Q122" s="124">
        <f t="shared" si="118"/>
        <v>31.56262001310909</v>
      </c>
      <c r="R122" s="68">
        <f>RATE(9,,-H122,Q122)</f>
        <v>8.5766415162364523E-2</v>
      </c>
      <c r="S122" s="122" t="s">
        <v>68</v>
      </c>
      <c r="T122" s="116">
        <f>1-SUM(T120:T121)</f>
        <v>9.9999999999999867E-2</v>
      </c>
      <c r="U122" s="116">
        <f t="shared" ref="U122:AG122" si="119">1-SUM(U120:U121)</f>
        <v>9.9463506189303219E-2</v>
      </c>
      <c r="V122" s="116">
        <f t="shared" si="119"/>
        <v>9.8926685175978135E-2</v>
      </c>
      <c r="W122" s="116">
        <f t="shared" si="119"/>
        <v>9.8389536755263296E-2</v>
      </c>
      <c r="X122" s="116">
        <f t="shared" si="119"/>
        <v>9.7852060722266487E-2</v>
      </c>
      <c r="Y122" s="116">
        <f t="shared" si="119"/>
        <v>9.7314256871962823E-2</v>
      </c>
      <c r="Z122" s="116">
        <f t="shared" si="119"/>
        <v>9.6776124999196522E-2</v>
      </c>
      <c r="AA122" s="116">
        <f t="shared" si="119"/>
        <v>9.6237664898678466E-2</v>
      </c>
      <c r="AB122" s="116">
        <f t="shared" si="119"/>
        <v>9.5698876364989083E-2</v>
      </c>
      <c r="AC122" s="116">
        <f t="shared" si="119"/>
        <v>9.5159759192575466E-2</v>
      </c>
      <c r="AD122" s="116">
        <f t="shared" si="119"/>
        <v>9.4620313175753146E-2</v>
      </c>
      <c r="AE122" s="116">
        <f t="shared" si="119"/>
        <v>9.4080538108704426E-2</v>
      </c>
      <c r="AF122" s="116">
        <f t="shared" si="119"/>
        <v>9.3540433785480159E-2</v>
      </c>
      <c r="AG122" s="116">
        <f t="shared" si="119"/>
        <v>9.2999999999998417E-2</v>
      </c>
    </row>
    <row r="123" spans="1:33" x14ac:dyDescent="0.35">
      <c r="A123" s="1"/>
      <c r="D123" s="81" t="b">
        <f>D113=SUM(D120:D122)</f>
        <v>1</v>
      </c>
      <c r="E123" s="81" t="b">
        <f t="shared" ref="E123:Q123" si="120">E113=SUM(E120:E122)</f>
        <v>1</v>
      </c>
      <c r="F123" s="81" t="b">
        <f t="shared" si="120"/>
        <v>1</v>
      </c>
      <c r="G123" s="81" t="b">
        <f t="shared" si="120"/>
        <v>1</v>
      </c>
      <c r="H123" s="81" t="b">
        <f t="shared" si="120"/>
        <v>1</v>
      </c>
      <c r="I123" s="81" t="b">
        <f t="shared" si="120"/>
        <v>1</v>
      </c>
      <c r="J123" s="81" t="b">
        <f t="shared" si="120"/>
        <v>1</v>
      </c>
      <c r="K123" s="81" t="b">
        <f t="shared" si="120"/>
        <v>1</v>
      </c>
      <c r="L123" s="81" t="b">
        <f t="shared" si="120"/>
        <v>1</v>
      </c>
      <c r="M123" s="81" t="b">
        <f t="shared" si="120"/>
        <v>1</v>
      </c>
      <c r="N123" s="81" t="b">
        <f t="shared" si="120"/>
        <v>1</v>
      </c>
      <c r="O123" s="81" t="b">
        <f t="shared" si="120"/>
        <v>1</v>
      </c>
      <c r="P123" s="81" t="b">
        <f t="shared" si="120"/>
        <v>1</v>
      </c>
      <c r="Q123" s="81" t="b">
        <f t="shared" si="120"/>
        <v>1</v>
      </c>
      <c r="R123" s="21"/>
    </row>
    <row r="124" spans="1:33" s="117" customFormat="1" x14ac:dyDescent="0.35">
      <c r="A124" s="149" t="s">
        <v>69</v>
      </c>
      <c r="B124" s="125" t="s">
        <v>70</v>
      </c>
      <c r="C124" s="126"/>
      <c r="D124" s="127">
        <f>D113*T124</f>
        <v>46.25712</v>
      </c>
      <c r="E124" s="127">
        <f t="shared" ref="E124:Q124" si="121">E113*U124</f>
        <v>50.244422816863782</v>
      </c>
      <c r="F124" s="127">
        <f t="shared" si="121"/>
        <v>54.611420625019399</v>
      </c>
      <c r="G124" s="127">
        <f t="shared" si="121"/>
        <v>59.397425446417046</v>
      </c>
      <c r="H124" s="127">
        <f t="shared" si="121"/>
        <v>64.646127087979295</v>
      </c>
      <c r="I124" s="127">
        <f t="shared" si="121"/>
        <v>70.406113331467651</v>
      </c>
      <c r="J124" s="127">
        <f t="shared" si="121"/>
        <v>76.731455672657262</v>
      </c>
      <c r="K124" s="127">
        <f t="shared" si="121"/>
        <v>83.68236932596659</v>
      </c>
      <c r="L124" s="127">
        <f t="shared" si="121"/>
        <v>91.325957428733702</v>
      </c>
      <c r="M124" s="127">
        <f t="shared" si="121"/>
        <v>99.737050775653358</v>
      </c>
      <c r="N124" s="127">
        <f t="shared" si="121"/>
        <v>108.99915601574315</v>
      </c>
      <c r="O124" s="127">
        <f t="shared" si="121"/>
        <v>119.20552708317612</v>
      </c>
      <c r="P124" s="127">
        <f t="shared" si="121"/>
        <v>130.46037674605302</v>
      </c>
      <c r="Q124" s="127">
        <f t="shared" si="121"/>
        <v>142.88024758622737</v>
      </c>
      <c r="R124" s="68">
        <f>RATE(9,,-H124,Q124)</f>
        <v>9.2119004934358623E-2</v>
      </c>
      <c r="S124" s="125" t="s">
        <v>70</v>
      </c>
      <c r="T124" s="116">
        <v>0.42</v>
      </c>
      <c r="U124" s="116">
        <v>0.42007683867486062</v>
      </c>
      <c r="V124" s="116">
        <v>0.4201536914072973</v>
      </c>
      <c r="W124" s="116">
        <v>0.42023055819988187</v>
      </c>
      <c r="X124" s="116">
        <v>0.42030743905518658</v>
      </c>
      <c r="Y124" s="116">
        <v>0.42038433397578434</v>
      </c>
      <c r="Z124" s="116">
        <v>0.42046124296424836</v>
      </c>
      <c r="AA124" s="116">
        <v>0.42053816602315214</v>
      </c>
      <c r="AB124" s="116">
        <v>0.42061510315507006</v>
      </c>
      <c r="AC124" s="116">
        <v>0.42069205436257667</v>
      </c>
      <c r="AD124" s="116">
        <v>0.4207690196482472</v>
      </c>
      <c r="AE124" s="116">
        <v>0.42084599901465702</v>
      </c>
      <c r="AF124" s="116">
        <v>0.42092299246438242</v>
      </c>
      <c r="AG124" s="137">
        <v>0.42099999999999982</v>
      </c>
    </row>
    <row r="125" spans="1:33" s="117" customFormat="1" x14ac:dyDescent="0.35">
      <c r="A125" s="149"/>
      <c r="B125" s="125" t="s">
        <v>71</v>
      </c>
      <c r="C125" s="126"/>
      <c r="D125" s="127">
        <f>D113*T125</f>
        <v>25.33128000000001</v>
      </c>
      <c r="E125" s="127">
        <f t="shared" ref="E125:Q125" si="122">E113*U125</f>
        <v>27.528097822151175</v>
      </c>
      <c r="F125" s="127">
        <f t="shared" si="122"/>
        <v>29.935161882043321</v>
      </c>
      <c r="G125" s="127">
        <f t="shared" si="122"/>
        <v>32.574334643277524</v>
      </c>
      <c r="H125" s="127">
        <f t="shared" si="122"/>
        <v>35.469922526041927</v>
      </c>
      <c r="I125" s="127">
        <f t="shared" si="122"/>
        <v>38.648967315535749</v>
      </c>
      <c r="J125" s="127">
        <f t="shared" si="122"/>
        <v>42.141574406958732</v>
      </c>
      <c r="K125" s="127">
        <f t="shared" si="122"/>
        <v>45.981282799535599</v>
      </c>
      <c r="L125" s="127">
        <f t="shared" si="122"/>
        <v>50.205482440402683</v>
      </c>
      <c r="M125" s="127">
        <f t="shared" si="122"/>
        <v>54.855885308548196</v>
      </c>
      <c r="N125" s="127">
        <f t="shared" si="122"/>
        <v>59.979057534844152</v>
      </c>
      <c r="O125" s="127">
        <f t="shared" si="122"/>
        <v>65.627020894483692</v>
      </c>
      <c r="P125" s="127">
        <f t="shared" si="122"/>
        <v>71.857933203664956</v>
      </c>
      <c r="Q125" s="127">
        <f t="shared" si="122"/>
        <v>78.7368585273273</v>
      </c>
      <c r="R125" s="68">
        <f>RATE(9,,-H125,Q125)</f>
        <v>9.2646704859023238E-2</v>
      </c>
      <c r="S125" s="125" t="s">
        <v>71</v>
      </c>
      <c r="T125" s="116">
        <v>0.23000000000000007</v>
      </c>
      <c r="U125" s="116">
        <v>0.230153232131076</v>
      </c>
      <c r="V125" s="116">
        <v>0.23030656634948232</v>
      </c>
      <c r="W125" s="116">
        <v>0.23046000272323239</v>
      </c>
      <c r="X125" s="116">
        <v>0.23061354132038475</v>
      </c>
      <c r="Y125" s="116">
        <v>0.23076718220904338</v>
      </c>
      <c r="Z125" s="116">
        <v>0.23092092545735762</v>
      </c>
      <c r="AA125" s="116">
        <v>0.23107477113352223</v>
      </c>
      <c r="AB125" s="116">
        <v>0.23122871930577729</v>
      </c>
      <c r="AC125" s="116">
        <v>0.23138277004240856</v>
      </c>
      <c r="AD125" s="116">
        <v>0.23153692341174703</v>
      </c>
      <c r="AE125" s="116">
        <v>0.23169117948216938</v>
      </c>
      <c r="AF125" s="116">
        <v>0.23184553832209787</v>
      </c>
      <c r="AG125" s="137">
        <v>0.23200000000000018</v>
      </c>
    </row>
    <row r="126" spans="1:33" s="117" customFormat="1" x14ac:dyDescent="0.35">
      <c r="A126" s="149"/>
      <c r="B126" s="125" t="s">
        <v>72</v>
      </c>
      <c r="C126" s="126"/>
      <c r="D126" s="127">
        <f>D113*T126</f>
        <v>22.027200000000001</v>
      </c>
      <c r="E126" s="127">
        <f t="shared" ref="E126:Q126" si="123">E113*U126</f>
        <v>23.93071862766865</v>
      </c>
      <c r="F126" s="127">
        <f t="shared" si="123"/>
        <v>26.015880348345089</v>
      </c>
      <c r="G126" s="127">
        <f t="shared" si="123"/>
        <v>28.301525610285996</v>
      </c>
      <c r="H126" s="127">
        <f t="shared" si="123"/>
        <v>30.808596280322178</v>
      </c>
      <c r="I126" s="127">
        <f t="shared" si="123"/>
        <v>33.560385703715795</v>
      </c>
      <c r="J126" s="127">
        <f t="shared" si="123"/>
        <v>36.582820315511071</v>
      </c>
      <c r="K126" s="127">
        <f t="shared" si="123"/>
        <v>39.90477700388562</v>
      </c>
      <c r="L126" s="127">
        <f t="shared" si="123"/>
        <v>43.558441013674091</v>
      </c>
      <c r="M126" s="127">
        <f t="shared" si="123"/>
        <v>47.579709852002651</v>
      </c>
      <c r="N126" s="127">
        <f t="shared" si="123"/>
        <v>52.008649431019023</v>
      </c>
      <c r="O126" s="127">
        <f t="shared" si="123"/>
        <v>56.89000957029981</v>
      </c>
      <c r="P126" s="127">
        <f t="shared" si="123"/>
        <v>62.273807001387034</v>
      </c>
      <c r="Q126" s="127">
        <f t="shared" si="123"/>
        <v>68.215985189623936</v>
      </c>
      <c r="R126" s="68">
        <f>RATE(9,,-H126,Q126)</f>
        <v>9.233824202883667E-2</v>
      </c>
      <c r="S126" s="125" t="s">
        <v>72</v>
      </c>
      <c r="T126" s="116">
        <v>0.19999999999999998</v>
      </c>
      <c r="U126" s="116">
        <v>0.20007674612901705</v>
      </c>
      <c r="V126" s="116">
        <v>0.20015352170787573</v>
      </c>
      <c r="W126" s="116">
        <v>0.2002303267478768</v>
      </c>
      <c r="X126" s="116">
        <v>0.20030716126032544</v>
      </c>
      <c r="Y126" s="116">
        <v>0.20038402525653101</v>
      </c>
      <c r="Z126" s="116">
        <v>0.20046091874780753</v>
      </c>
      <c r="AA126" s="116">
        <v>0.20053784174547304</v>
      </c>
      <c r="AB126" s="116">
        <v>0.20061479426085005</v>
      </c>
      <c r="AC126" s="116">
        <v>0.20069177630526541</v>
      </c>
      <c r="AD126" s="116">
        <v>0.20076878789005037</v>
      </c>
      <c r="AE126" s="116">
        <v>0.20084582902654041</v>
      </c>
      <c r="AF126" s="116">
        <v>0.20092289972607549</v>
      </c>
      <c r="AG126" s="137">
        <v>0.20099999999999973</v>
      </c>
    </row>
    <row r="127" spans="1:33" s="117" customFormat="1" x14ac:dyDescent="0.35">
      <c r="A127" s="149"/>
      <c r="B127" s="125" t="s">
        <v>73</v>
      </c>
      <c r="C127" s="126"/>
      <c r="D127" s="127">
        <f>D113*T127</f>
        <v>11.0136</v>
      </c>
      <c r="E127" s="127">
        <f t="shared" ref="E127:Q127" si="124">E113*U127</f>
        <v>11.979003073235953</v>
      </c>
      <c r="F127" s="127">
        <f t="shared" si="124"/>
        <v>13.037622256841075</v>
      </c>
      <c r="G127" s="127">
        <f t="shared" si="124"/>
        <v>14.199225162216235</v>
      </c>
      <c r="H127" s="127">
        <f t="shared" si="124"/>
        <v>15.474678740046127</v>
      </c>
      <c r="I127" s="127">
        <f t="shared" si="124"/>
        <v>16.876081166796141</v>
      </c>
      <c r="J127" s="127">
        <f t="shared" si="124"/>
        <v>18.416910496360984</v>
      </c>
      <c r="K127" s="127">
        <f t="shared" si="124"/>
        <v>20.112192324213396</v>
      </c>
      <c r="L127" s="127">
        <f t="shared" si="124"/>
        <v>21.978689027825467</v>
      </c>
      <c r="M127" s="127">
        <f t="shared" si="124"/>
        <v>24.035113510199256</v>
      </c>
      <c r="N127" s="127">
        <f t="shared" si="124"/>
        <v>26.302370790223442</v>
      </c>
      <c r="O127" s="127">
        <f t="shared" si="124"/>
        <v>28.803831262595487</v>
      </c>
      <c r="P127" s="127">
        <f t="shared" si="124"/>
        <v>31.565640000880503</v>
      </c>
      <c r="Q127" s="127">
        <f t="shared" si="124"/>
        <v>34.617067111152444</v>
      </c>
      <c r="R127" s="68">
        <f>RATE(9,,-H127,Q127)</f>
        <v>9.3583804302982521E-2</v>
      </c>
      <c r="S127" s="125" t="s">
        <v>73</v>
      </c>
      <c r="T127" s="116">
        <v>9.9999999999999992E-2</v>
      </c>
      <c r="U127" s="116">
        <v>0.10015244398015953</v>
      </c>
      <c r="V127" s="116">
        <v>0.10030512035198993</v>
      </c>
      <c r="W127" s="116">
        <v>0.10045802946975833</v>
      </c>
      <c r="X127" s="116">
        <v>0.10061117168827188</v>
      </c>
      <c r="Y127" s="116">
        <v>0.10076454736287864</v>
      </c>
      <c r="Z127" s="116">
        <v>0.10091815684946834</v>
      </c>
      <c r="AA127" s="116">
        <v>0.10107200050447333</v>
      </c>
      <c r="AB127" s="116">
        <v>0.10122607868486923</v>
      </c>
      <c r="AC127" s="116">
        <v>0.10138039174817587</v>
      </c>
      <c r="AD127" s="116">
        <v>0.10153494005245813</v>
      </c>
      <c r="AE127" s="116">
        <v>0.10168972395632671</v>
      </c>
      <c r="AF127" s="116">
        <v>0.10184474381893897</v>
      </c>
      <c r="AG127" s="137">
        <v>0.10199999999999985</v>
      </c>
    </row>
    <row r="128" spans="1:33" s="117" customFormat="1" x14ac:dyDescent="0.35">
      <c r="A128" s="149"/>
      <c r="B128" s="125" t="s">
        <v>74</v>
      </c>
      <c r="C128" s="126"/>
      <c r="D128" s="127">
        <f>D113*T128</f>
        <v>5.5068000000000055</v>
      </c>
      <c r="E128" s="127">
        <f t="shared" ref="E128:Q128" si="125">E113*U128</f>
        <v>5.9254536600804553</v>
      </c>
      <c r="F128" s="127">
        <f t="shared" si="125"/>
        <v>6.3795431568719296</v>
      </c>
      <c r="G128" s="127">
        <f t="shared" si="125"/>
        <v>6.8723396904485634</v>
      </c>
      <c r="H128" s="127">
        <f t="shared" si="125"/>
        <v>7.4074393698307812</v>
      </c>
      <c r="I128" s="127">
        <f t="shared" si="125"/>
        <v>7.9887975885972553</v>
      </c>
      <c r="J128" s="127">
        <f t="shared" si="125"/>
        <v>8.6207672437120166</v>
      </c>
      <c r="K128" s="127">
        <f t="shared" si="125"/>
        <v>9.3081412485207657</v>
      </c>
      <c r="L128" s="127">
        <f t="shared" si="125"/>
        <v>10.056199846060483</v>
      </c>
      <c r="M128" s="127">
        <f t="shared" si="125"/>
        <v>10.870763291024385</v>
      </c>
      <c r="N128" s="127">
        <f t="shared" si="125"/>
        <v>11.758250538835094</v>
      </c>
      <c r="O128" s="127">
        <f t="shared" si="125"/>
        <v>12.725744659352218</v>
      </c>
      <c r="P128" s="127">
        <f t="shared" si="125"/>
        <v>13.781065781943159</v>
      </c>
      <c r="Q128" s="127">
        <f t="shared" si="125"/>
        <v>14.932852479320809</v>
      </c>
      <c r="R128" s="68">
        <f>RATE(9,,-H128,Q128)</f>
        <v>8.1012009594003787E-2</v>
      </c>
      <c r="S128" s="125" t="s">
        <v>74</v>
      </c>
      <c r="T128" s="116">
        <f>1-SUM(T124:T127)</f>
        <v>5.0000000000000044E-2</v>
      </c>
      <c r="U128" s="116">
        <f t="shared" ref="U128:AG128" si="126">1-SUM(U124:U127)</f>
        <v>4.9540739084886765E-2</v>
      </c>
      <c r="V128" s="116">
        <f t="shared" si="126"/>
        <v>4.9081100183354764E-2</v>
      </c>
      <c r="W128" s="116">
        <f t="shared" si="126"/>
        <v>4.8621082859250597E-2</v>
      </c>
      <c r="X128" s="116">
        <f t="shared" si="126"/>
        <v>4.8160686675831288E-2</v>
      </c>
      <c r="Y128" s="116">
        <f t="shared" si="126"/>
        <v>4.7699911195762668E-2</v>
      </c>
      <c r="Z128" s="116">
        <f t="shared" si="126"/>
        <v>4.7238755981118041E-2</v>
      </c>
      <c r="AA128" s="116">
        <f t="shared" si="126"/>
        <v>4.6777220593379298E-2</v>
      </c>
      <c r="AB128" s="116">
        <f t="shared" si="126"/>
        <v>4.631530459343336E-2</v>
      </c>
      <c r="AC128" s="116">
        <f t="shared" si="126"/>
        <v>4.5853007541573509E-2</v>
      </c>
      <c r="AD128" s="116">
        <f t="shared" si="126"/>
        <v>4.5390328997497287E-2</v>
      </c>
      <c r="AE128" s="116">
        <f t="shared" si="126"/>
        <v>4.4927268520306485E-2</v>
      </c>
      <c r="AF128" s="116">
        <f t="shared" si="126"/>
        <v>4.4463825668505264E-2</v>
      </c>
      <c r="AG128" s="116">
        <f t="shared" si="126"/>
        <v>4.4000000000000372E-2</v>
      </c>
    </row>
    <row r="129" spans="1:33" x14ac:dyDescent="0.35">
      <c r="A129" s="2"/>
      <c r="D129" s="81" t="b">
        <f>D113=SUM(D124:D128)</f>
        <v>1</v>
      </c>
      <c r="E129" s="81" t="b">
        <f t="shared" ref="E129:Q129" si="127">E113=SUM(E124:E128)</f>
        <v>1</v>
      </c>
      <c r="F129" s="81" t="b">
        <f t="shared" si="127"/>
        <v>1</v>
      </c>
      <c r="G129" s="81" t="b">
        <f t="shared" si="127"/>
        <v>1</v>
      </c>
      <c r="H129" s="81" t="b">
        <f t="shared" si="127"/>
        <v>1</v>
      </c>
      <c r="I129" s="81" t="b">
        <f t="shared" si="127"/>
        <v>1</v>
      </c>
      <c r="J129" s="81" t="b">
        <f t="shared" si="127"/>
        <v>1</v>
      </c>
      <c r="K129" s="81" t="b">
        <f t="shared" si="127"/>
        <v>1</v>
      </c>
      <c r="L129" s="81" t="b">
        <f t="shared" si="127"/>
        <v>1</v>
      </c>
      <c r="M129" s="81" t="b">
        <f t="shared" si="127"/>
        <v>1</v>
      </c>
      <c r="N129" s="81" t="b">
        <f t="shared" si="127"/>
        <v>1</v>
      </c>
      <c r="O129" s="81" t="b">
        <f t="shared" si="127"/>
        <v>1</v>
      </c>
      <c r="P129" s="81" t="b">
        <f t="shared" si="127"/>
        <v>1</v>
      </c>
      <c r="Q129" s="81" t="b">
        <f t="shared" si="127"/>
        <v>1</v>
      </c>
      <c r="R129" s="21"/>
    </row>
    <row r="130" spans="1:33" s="117" customFormat="1" x14ac:dyDescent="0.35">
      <c r="A130" s="149" t="s">
        <v>75</v>
      </c>
      <c r="B130" s="128" t="s">
        <v>76</v>
      </c>
      <c r="C130" s="129"/>
      <c r="D130" s="130">
        <f>D113*T130</f>
        <v>24.229920000000007</v>
      </c>
      <c r="E130" s="130">
        <f t="shared" ref="E130:P130" si="128">E113*U130</f>
        <v>26.359220446889214</v>
      </c>
      <c r="F130" s="130">
        <f t="shared" si="128"/>
        <v>28.694554393137789</v>
      </c>
      <c r="G130" s="130">
        <f t="shared" si="128"/>
        <v>31.257550532303046</v>
      </c>
      <c r="H130" s="130">
        <f t="shared" si="128"/>
        <v>34.072275812339747</v>
      </c>
      <c r="I130" s="130">
        <f t="shared" si="128"/>
        <v>37.165528379295857</v>
      </c>
      <c r="J130" s="130">
        <f t="shared" si="128"/>
        <v>40.567167809350842</v>
      </c>
      <c r="K130" s="130">
        <f t="shared" si="128"/>
        <v>44.310487633837091</v>
      </c>
      <c r="L130" s="130">
        <f t="shared" si="128"/>
        <v>48.432635867343869</v>
      </c>
      <c r="M130" s="130">
        <f t="shared" si="128"/>
        <v>52.975090058556276</v>
      </c>
      <c r="N130" s="130">
        <f t="shared" si="128"/>
        <v>57.984194313161353</v>
      </c>
      <c r="O130" s="130">
        <f t="shared" si="128"/>
        <v>63.51176680656534</v>
      </c>
      <c r="P130" s="130">
        <f t="shared" si="128"/>
        <v>69.615787532911071</v>
      </c>
      <c r="Q130" s="130">
        <f>Q113*AG130</f>
        <v>76.36117745107174</v>
      </c>
      <c r="R130" s="68">
        <f t="shared" ref="R130:R135" si="129">RATE(9,,-H130,Q130)</f>
        <v>9.3808451889312514E-2</v>
      </c>
      <c r="S130" s="134" t="s">
        <v>76</v>
      </c>
      <c r="T130" s="116">
        <v>0.22000000000000003</v>
      </c>
      <c r="U130" s="116">
        <v>0.22038063877502673</v>
      </c>
      <c r="V130" s="116">
        <v>0.22076193612222184</v>
      </c>
      <c r="W130" s="116">
        <v>0.22114389318103134</v>
      </c>
      <c r="X130" s="116">
        <v>0.22152651109287255</v>
      </c>
      <c r="Y130" s="116">
        <v>0.22190979100113767</v>
      </c>
      <c r="Z130" s="116">
        <v>0.22229373405119721</v>
      </c>
      <c r="AA130" s="116">
        <v>0.22267834139040343</v>
      </c>
      <c r="AB130" s="116">
        <v>0.2230636141680935</v>
      </c>
      <c r="AC130" s="116">
        <v>0.22344955353559337</v>
      </c>
      <c r="AD130" s="116">
        <v>0.22383616064622086</v>
      </c>
      <c r="AE130" s="116">
        <v>0.22422343665528938</v>
      </c>
      <c r="AF130" s="116">
        <v>0.22461138272011094</v>
      </c>
      <c r="AG130" s="116">
        <v>0.22500000000000017</v>
      </c>
    </row>
    <row r="131" spans="1:33" s="117" customFormat="1" x14ac:dyDescent="0.35">
      <c r="A131" s="149"/>
      <c r="B131" s="128" t="s">
        <v>77</v>
      </c>
      <c r="C131" s="129"/>
      <c r="D131" s="130">
        <f>D113*T131</f>
        <v>41.851680000000002</v>
      </c>
      <c r="E131" s="130">
        <f t="shared" ref="E131:Q131" si="130">E113*U131</f>
        <v>45.450924480000005</v>
      </c>
      <c r="F131" s="130">
        <f t="shared" si="130"/>
        <v>49.392258742265909</v>
      </c>
      <c r="G131" s="130">
        <f t="shared" si="130"/>
        <v>53.711043210005244</v>
      </c>
      <c r="H131" s="130">
        <f t="shared" si="130"/>
        <v>58.446570321603723</v>
      </c>
      <c r="I131" s="130">
        <f t="shared" si="130"/>
        <v>63.642531140322788</v>
      </c>
      <c r="J131" s="130">
        <f t="shared" si="130"/>
        <v>69.347540691376025</v>
      </c>
      <c r="K131" s="130">
        <f t="shared" si="130"/>
        <v>75.615729826806344</v>
      </c>
      <c r="L131" s="130">
        <f t="shared" si="130"/>
        <v>82.507412507544643</v>
      </c>
      <c r="M131" s="130">
        <f t="shared" si="130"/>
        <v>90.089838640222581</v>
      </c>
      <c r="N131" s="130">
        <f t="shared" si="130"/>
        <v>98.438044038052652</v>
      </c>
      <c r="O131" s="130">
        <f t="shared" si="130"/>
        <v>107.63581071856478</v>
      </c>
      <c r="P131" s="130">
        <f t="shared" si="130"/>
        <v>117.77675263889289</v>
      </c>
      <c r="Q131" s="130">
        <f t="shared" si="130"/>
        <v>128.96554413958771</v>
      </c>
      <c r="R131" s="68">
        <f t="shared" si="129"/>
        <v>9.1919239154899191E-2</v>
      </c>
      <c r="S131" s="134" t="s">
        <v>77</v>
      </c>
      <c r="T131" s="116">
        <v>0.38</v>
      </c>
      <c r="U131" s="116">
        <v>0.38</v>
      </c>
      <c r="V131" s="116">
        <v>0.38</v>
      </c>
      <c r="W131" s="116">
        <v>0.38</v>
      </c>
      <c r="X131" s="116">
        <v>0.38</v>
      </c>
      <c r="Y131" s="116">
        <v>0.38</v>
      </c>
      <c r="Z131" s="116">
        <v>0.38</v>
      </c>
      <c r="AA131" s="116">
        <v>0.38</v>
      </c>
      <c r="AB131" s="116">
        <v>0.38</v>
      </c>
      <c r="AC131" s="116">
        <v>0.38</v>
      </c>
      <c r="AD131" s="116">
        <v>0.38</v>
      </c>
      <c r="AE131" s="116">
        <v>0.38</v>
      </c>
      <c r="AF131" s="116">
        <v>0.38</v>
      </c>
      <c r="AG131" s="116">
        <v>0.38</v>
      </c>
    </row>
    <row r="132" spans="1:33" s="117" customFormat="1" x14ac:dyDescent="0.35">
      <c r="A132" s="149"/>
      <c r="B132" s="128" t="s">
        <v>78</v>
      </c>
      <c r="C132" s="129"/>
      <c r="D132" s="132">
        <f>D113*T132</f>
        <v>18.723120000000002</v>
      </c>
      <c r="E132" s="132">
        <f t="shared" ref="E132:Q132" si="131">E113*U132</f>
        <v>20.431612098814199</v>
      </c>
      <c r="F132" s="132">
        <f t="shared" si="131"/>
        <v>22.31070990989771</v>
      </c>
      <c r="G132" s="132">
        <f t="shared" si="131"/>
        <v>24.378819875056827</v>
      </c>
      <c r="H132" s="132">
        <f t="shared" si="131"/>
        <v>26.656474549066907</v>
      </c>
      <c r="I132" s="132">
        <f t="shared" si="131"/>
        <v>29.16659372184586</v>
      </c>
      <c r="J132" s="132">
        <f t="shared" si="131"/>
        <v>31.934779454148792</v>
      </c>
      <c r="K132" s="132">
        <f t="shared" si="131"/>
        <v>34.989649663879398</v>
      </c>
      <c r="L132" s="132">
        <f t="shared" si="131"/>
        <v>38.363215565171558</v>
      </c>
      <c r="M132" s="132">
        <f t="shared" si="131"/>
        <v>42.091309027187812</v>
      </c>
      <c r="N132" s="132">
        <f t="shared" si="131"/>
        <v>46.21406679970918</v>
      </c>
      <c r="O132" s="132">
        <f t="shared" si="131"/>
        <v>50.776479566187319</v>
      </c>
      <c r="P132" s="132">
        <f t="shared" si="131"/>
        <v>55.8290149530986</v>
      </c>
      <c r="Q132" s="132">
        <f t="shared" si="131"/>
        <v>61.428324971750882</v>
      </c>
      <c r="R132" s="68">
        <f t="shared" si="129"/>
        <v>9.719825158486245E-2</v>
      </c>
      <c r="S132" s="134" t="s">
        <v>78</v>
      </c>
      <c r="T132" s="116">
        <v>0.16999999999999998</v>
      </c>
      <c r="U132" s="116">
        <v>0.17082188506343435</v>
      </c>
      <c r="V132" s="116">
        <v>0.17164774362720694</v>
      </c>
      <c r="W132" s="116">
        <v>0.17247759490167405</v>
      </c>
      <c r="X132" s="116">
        <v>0.17331145819006682</v>
      </c>
      <c r="Y132" s="116">
        <v>0.17414935288894001</v>
      </c>
      <c r="Z132" s="116">
        <v>0.17499129848862341</v>
      </c>
      <c r="AA132" s="116">
        <v>0.17583731457367507</v>
      </c>
      <c r="AB132" s="116">
        <v>0.17668742082333691</v>
      </c>
      <c r="AC132" s="116">
        <v>0.17754163701199244</v>
      </c>
      <c r="AD132" s="116">
        <v>0.17839998300962681</v>
      </c>
      <c r="AE132" s="116">
        <v>0.17926247878228888</v>
      </c>
      <c r="AF132" s="116">
        <v>0.18012914439255584</v>
      </c>
      <c r="AG132" s="116">
        <v>0.18099999999999969</v>
      </c>
    </row>
    <row r="133" spans="1:33" s="117" customFormat="1" x14ac:dyDescent="0.35">
      <c r="A133" s="149"/>
      <c r="B133" s="128" t="s">
        <v>79</v>
      </c>
      <c r="C133" s="129"/>
      <c r="D133" s="132">
        <f>D113*T133</f>
        <v>15.419040000000003</v>
      </c>
      <c r="E133" s="132">
        <f t="shared" ref="E133:Q133" si="132">E113*U133</f>
        <v>16.754247838538195</v>
      </c>
      <c r="F133" s="132">
        <f t="shared" si="132"/>
        <v>18.217084657759369</v>
      </c>
      <c r="G133" s="132">
        <f t="shared" si="132"/>
        <v>19.820807885420294</v>
      </c>
      <c r="H133" s="132">
        <f t="shared" si="132"/>
        <v>21.580155575217443</v>
      </c>
      <c r="I133" s="132">
        <f t="shared" si="132"/>
        <v>23.511522801618579</v>
      </c>
      <c r="J133" s="132">
        <f t="shared" si="132"/>
        <v>25.633160335284558</v>
      </c>
      <c r="K133" s="132">
        <f t="shared" si="132"/>
        <v>27.965398568267123</v>
      </c>
      <c r="L133" s="132">
        <f t="shared" si="132"/>
        <v>30.530900073947421</v>
      </c>
      <c r="M133" s="132">
        <f t="shared" si="132"/>
        <v>33.354944663432342</v>
      </c>
      <c r="N133" s="132">
        <f t="shared" si="132"/>
        <v>36.465751347184643</v>
      </c>
      <c r="O133" s="132">
        <f t="shared" si="132"/>
        <v>39.894842238857329</v>
      </c>
      <c r="P133" s="132">
        <f t="shared" si="132"/>
        <v>43.677454160191125</v>
      </c>
      <c r="Q133" s="132">
        <f t="shared" si="132"/>
        <v>47.853004536005002</v>
      </c>
      <c r="R133" s="68">
        <f t="shared" si="129"/>
        <v>9.2517225914205664E-2</v>
      </c>
      <c r="S133" s="134" t="s">
        <v>79</v>
      </c>
      <c r="T133" s="116">
        <v>0.14000000000000001</v>
      </c>
      <c r="U133" s="116">
        <v>0.14007667063947282</v>
      </c>
      <c r="V133" s="116">
        <v>0.14015338326742385</v>
      </c>
      <c r="W133" s="116">
        <v>0.1402301379068481</v>
      </c>
      <c r="X133" s="116">
        <v>0.14030693458075291</v>
      </c>
      <c r="Y133" s="116">
        <v>0.14038377331215846</v>
      </c>
      <c r="Z133" s="116">
        <v>0.14046065412409731</v>
      </c>
      <c r="AA133" s="116">
        <v>0.14053757703961495</v>
      </c>
      <c r="AB133" s="116">
        <v>0.14061454208176913</v>
      </c>
      <c r="AC133" s="116">
        <v>0.14069154927363042</v>
      </c>
      <c r="AD133" s="116">
        <v>0.14076859863828203</v>
      </c>
      <c r="AE133" s="116">
        <v>0.14084569019881982</v>
      </c>
      <c r="AF133" s="116">
        <v>0.14092282397835218</v>
      </c>
      <c r="AG133" s="116">
        <v>0.14100000000000026</v>
      </c>
    </row>
    <row r="134" spans="1:33" s="117" customFormat="1" x14ac:dyDescent="0.35">
      <c r="A134" s="149"/>
      <c r="B134" s="128" t="s">
        <v>80</v>
      </c>
      <c r="C134" s="129"/>
      <c r="D134" s="132">
        <f>D113*T134</f>
        <v>4.4054400000000031</v>
      </c>
      <c r="E134" s="132">
        <f t="shared" ref="E134:Q134" si="133">E113*U134</f>
        <v>4.4366205902922484</v>
      </c>
      <c r="F134" s="132">
        <f t="shared" si="133"/>
        <v>4.4709687132949965</v>
      </c>
      <c r="G134" s="132">
        <f t="shared" si="133"/>
        <v>4.5085771498574569</v>
      </c>
      <c r="H134" s="132">
        <f t="shared" si="133"/>
        <v>4.5495466659693369</v>
      </c>
      <c r="I134" s="132">
        <f t="shared" si="133"/>
        <v>4.5939864578526128</v>
      </c>
      <c r="J134" s="132">
        <f t="shared" si="133"/>
        <v>4.642014635940253</v>
      </c>
      <c r="K134" s="132">
        <f t="shared" si="133"/>
        <v>4.6937587508161123</v>
      </c>
      <c r="L134" s="132">
        <f t="shared" si="133"/>
        <v>4.7493563644854069</v>
      </c>
      <c r="M134" s="132">
        <f t="shared" si="133"/>
        <v>4.8089556706690848</v>
      </c>
      <c r="N134" s="132">
        <f t="shared" si="133"/>
        <v>4.8727161681712374</v>
      </c>
      <c r="O134" s="132">
        <f t="shared" si="133"/>
        <v>4.9408093917598546</v>
      </c>
      <c r="P134" s="132">
        <f t="shared" si="133"/>
        <v>5.0134197054315699</v>
      </c>
      <c r="Q134" s="132">
        <f t="shared" si="133"/>
        <v>5.0907451634047796</v>
      </c>
      <c r="R134" s="68">
        <f t="shared" si="129"/>
        <v>1.2566820821762864E-2</v>
      </c>
      <c r="S134" s="134" t="s">
        <v>80</v>
      </c>
      <c r="T134" s="116">
        <v>4.0000000000000029E-2</v>
      </c>
      <c r="U134" s="116">
        <v>3.7093103024844219E-2</v>
      </c>
      <c r="V134" s="116">
        <v>3.4397457300292665E-2</v>
      </c>
      <c r="W134" s="116">
        <v>3.1897710685810869E-2</v>
      </c>
      <c r="X134" s="116">
        <v>2.9579626718136409E-2</v>
      </c>
      <c r="Y134" s="116">
        <v>2.7430003532306693E-2</v>
      </c>
      <c r="Z134" s="116">
        <v>2.543659867489231E-2</v>
      </c>
      <c r="AA134" s="116">
        <v>2.3588059381234896E-2</v>
      </c>
      <c r="AB134" s="116">
        <v>2.1873857919607213E-2</v>
      </c>
      <c r="AC134" s="116">
        <v>2.0284231634069862E-2</v>
      </c>
      <c r="AD134" s="116">
        <v>1.8810127344558929E-2</v>
      </c>
      <c r="AE134" s="116">
        <v>1.7443149787554083E-2</v>
      </c>
      <c r="AF134" s="116">
        <v>1.617551380368832E-2</v>
      </c>
      <c r="AG134" s="116">
        <v>1.5000000000000005E-2</v>
      </c>
    </row>
    <row r="135" spans="1:33" s="117" customFormat="1" x14ac:dyDescent="0.35">
      <c r="A135" s="149"/>
      <c r="B135" s="128" t="s">
        <v>81</v>
      </c>
      <c r="C135" s="129"/>
      <c r="D135" s="132">
        <f>D113*T135</f>
        <v>2.2027200000000007</v>
      </c>
      <c r="E135" s="132">
        <f t="shared" ref="E135:Q135" si="134">E113*U135</f>
        <v>2.409756570083748</v>
      </c>
      <c r="F135" s="132">
        <f t="shared" si="134"/>
        <v>2.6379914988366786</v>
      </c>
      <c r="G135" s="132">
        <f t="shared" si="134"/>
        <v>2.8897624584920503</v>
      </c>
      <c r="H135" s="132">
        <f t="shared" si="134"/>
        <v>3.1676824718012035</v>
      </c>
      <c r="I135" s="132">
        <f t="shared" si="134"/>
        <v>3.4746743339110124</v>
      </c>
      <c r="J135" s="132">
        <f t="shared" si="134"/>
        <v>3.8140095779970946</v>
      </c>
      <c r="K135" s="132">
        <f t="shared" si="134"/>
        <v>4.1893526153358422</v>
      </c>
      <c r="L135" s="132">
        <f t="shared" si="134"/>
        <v>4.604810772226446</v>
      </c>
      <c r="M135" s="132">
        <f t="shared" si="134"/>
        <v>5.0649910518400576</v>
      </c>
      <c r="N135" s="132">
        <f t="shared" si="134"/>
        <v>5.5750645708837885</v>
      </c>
      <c r="O135" s="132">
        <f t="shared" si="134"/>
        <v>6.1408397614926029</v>
      </c>
      <c r="P135" s="132">
        <f t="shared" si="134"/>
        <v>6.7688455909978016</v>
      </c>
      <c r="Q135" s="132">
        <f t="shared" si="134"/>
        <v>7.4664262396603434</v>
      </c>
      <c r="R135" s="68">
        <f t="shared" si="129"/>
        <v>9.9954120240616118E-2</v>
      </c>
      <c r="S135" s="134" t="s">
        <v>81</v>
      </c>
      <c r="T135" s="116">
        <v>2.0000000000000004E-2</v>
      </c>
      <c r="U135" s="116">
        <v>2.0147169878464571E-2</v>
      </c>
      <c r="V135" s="116">
        <v>2.0295422705585511E-2</v>
      </c>
      <c r="W135" s="116">
        <v>2.0444766450233912E-2</v>
      </c>
      <c r="X135" s="116">
        <v>2.0595209139919784E-2</v>
      </c>
      <c r="Y135" s="116">
        <v>2.0746758861223506E-2</v>
      </c>
      <c r="Z135" s="116">
        <v>2.0899423760230504E-2</v>
      </c>
      <c r="AA135" s="116">
        <v>2.1053212042969137E-2</v>
      </c>
      <c r="AB135" s="116">
        <v>2.1208131975851766E-2</v>
      </c>
      <c r="AC135" s="116">
        <v>2.1364191886119096E-2</v>
      </c>
      <c r="AD135" s="116">
        <v>2.1521400162287797E-2</v>
      </c>
      <c r="AE135" s="116">
        <v>2.1679765254601358E-2</v>
      </c>
      <c r="AF135" s="116">
        <v>2.1839295675484361E-2</v>
      </c>
      <c r="AG135" s="116">
        <v>2.2000000000000006E-2</v>
      </c>
    </row>
    <row r="136" spans="1:33" s="117" customFormat="1" x14ac:dyDescent="0.35">
      <c r="A136" s="149"/>
      <c r="B136" s="128" t="s">
        <v>82</v>
      </c>
      <c r="C136" s="129"/>
      <c r="D136" s="132">
        <f>D113*T136</f>
        <v>3.304079999999991</v>
      </c>
      <c r="E136" s="132">
        <f t="shared" ref="E136:Q136" si="135">E113*U136</f>
        <v>3.7653139753824045</v>
      </c>
      <c r="F136" s="132">
        <f t="shared" si="135"/>
        <v>4.2560603539283663</v>
      </c>
      <c r="G136" s="132">
        <f t="shared" si="135"/>
        <v>4.7782894415104522</v>
      </c>
      <c r="H136" s="132">
        <f t="shared" si="135"/>
        <v>5.3340586082219552</v>
      </c>
      <c r="I136" s="132">
        <f t="shared" si="135"/>
        <v>5.9255082712658913</v>
      </c>
      <c r="J136" s="132">
        <f t="shared" si="135"/>
        <v>6.5548556311025017</v>
      </c>
      <c r="K136" s="132">
        <f t="shared" si="135"/>
        <v>7.2243856431800655</v>
      </c>
      <c r="L136" s="132">
        <f t="shared" si="135"/>
        <v>7.9364386059770844</v>
      </c>
      <c r="M136" s="132">
        <f t="shared" si="135"/>
        <v>8.6933936255197146</v>
      </c>
      <c r="N136" s="132">
        <f t="shared" si="135"/>
        <v>9.4976470735020389</v>
      </c>
      <c r="O136" s="132">
        <f t="shared" si="135"/>
        <v>10.351584986480063</v>
      </c>
      <c r="P136" s="132">
        <f t="shared" si="135"/>
        <v>11.257548152405564</v>
      </c>
      <c r="Q136" s="132">
        <f t="shared" si="135"/>
        <v>12.217788392171403</v>
      </c>
      <c r="R136" s="68">
        <f>RATE(9,,-H136,Q136)</f>
        <v>9.6459910436150528E-2</v>
      </c>
      <c r="S136" s="134" t="s">
        <v>82</v>
      </c>
      <c r="T136" s="116">
        <f>1-SUM(T130:T135)</f>
        <v>2.9999999999999916E-2</v>
      </c>
      <c r="U136" s="116">
        <f t="shared" ref="U136:AG136" si="136">1-SUM(U130:U135)</f>
        <v>3.1480532618757273E-2</v>
      </c>
      <c r="V136" s="116">
        <f t="shared" si="136"/>
        <v>3.2744056977269231E-2</v>
      </c>
      <c r="W136" s="116">
        <f t="shared" si="136"/>
        <v>3.380589687440172E-2</v>
      </c>
      <c r="X136" s="116">
        <f t="shared" si="136"/>
        <v>3.468026027825144E-2</v>
      </c>
      <c r="Y136" s="116">
        <f t="shared" si="136"/>
        <v>3.5380320404233667E-2</v>
      </c>
      <c r="Z136" s="116">
        <f t="shared" si="136"/>
        <v>3.5918290900959216E-2</v>
      </c>
      <c r="AA136" s="116">
        <f t="shared" si="136"/>
        <v>3.6305495572102608E-2</v>
      </c>
      <c r="AB136" s="116">
        <f t="shared" si="136"/>
        <v>3.655243303134148E-2</v>
      </c>
      <c r="AC136" s="116">
        <f t="shared" si="136"/>
        <v>3.6668836658594883E-2</v>
      </c>
      <c r="AD136" s="116">
        <f t="shared" si="136"/>
        <v>3.6663730199023692E-2</v>
      </c>
      <c r="AE136" s="116">
        <f t="shared" si="136"/>
        <v>3.6545479321446361E-2</v>
      </c>
      <c r="AF136" s="116">
        <f t="shared" si="136"/>
        <v>3.6321839429808267E-2</v>
      </c>
      <c r="AG136" s="116">
        <f t="shared" si="136"/>
        <v>3.599999999999981E-2</v>
      </c>
    </row>
    <row r="137" spans="1:33" x14ac:dyDescent="0.35">
      <c r="D137" t="b">
        <f>D113=SUM(D130:D136)</f>
        <v>1</v>
      </c>
      <c r="E137" t="b">
        <f t="shared" ref="E137:Q137" si="137">E113=SUM(E130:E136)</f>
        <v>1</v>
      </c>
      <c r="F137" t="b">
        <f t="shared" si="137"/>
        <v>1</v>
      </c>
      <c r="G137" t="b">
        <f t="shared" si="137"/>
        <v>1</v>
      </c>
      <c r="H137" t="b">
        <f t="shared" si="137"/>
        <v>1</v>
      </c>
      <c r="I137" t="b">
        <f t="shared" si="137"/>
        <v>1</v>
      </c>
      <c r="J137" t="b">
        <f t="shared" si="137"/>
        <v>1</v>
      </c>
      <c r="K137" t="b">
        <f t="shared" si="137"/>
        <v>1</v>
      </c>
      <c r="L137" t="b">
        <f t="shared" si="137"/>
        <v>1</v>
      </c>
      <c r="M137" t="b">
        <f t="shared" si="137"/>
        <v>1</v>
      </c>
      <c r="N137" t="b">
        <f t="shared" si="137"/>
        <v>1</v>
      </c>
      <c r="O137" t="b">
        <f t="shared" si="137"/>
        <v>1</v>
      </c>
      <c r="P137" t="b">
        <f t="shared" si="137"/>
        <v>1</v>
      </c>
      <c r="Q137" t="b">
        <f t="shared" si="137"/>
        <v>1</v>
      </c>
    </row>
    <row r="139" spans="1:33" ht="25" x14ac:dyDescent="0.5">
      <c r="A139" s="146" t="s">
        <v>104</v>
      </c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63"/>
    </row>
    <row r="140" spans="1:33" ht="23.5" thickBot="1" x14ac:dyDescent="0.55000000000000004">
      <c r="A140" s="63"/>
      <c r="B140" s="63"/>
      <c r="C140" s="63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</row>
    <row r="141" spans="1:33" ht="16" hidden="1" thickBot="1" x14ac:dyDescent="0.4">
      <c r="A141" s="42"/>
      <c r="B141" s="43"/>
      <c r="C141" s="93"/>
      <c r="D141" s="91">
        <v>2023</v>
      </c>
      <c r="E141" s="65">
        <v>2024</v>
      </c>
      <c r="F141" s="65">
        <v>2025</v>
      </c>
      <c r="G141" s="65">
        <v>2026</v>
      </c>
      <c r="H141" s="65">
        <v>2027</v>
      </c>
      <c r="I141" s="65">
        <v>2028</v>
      </c>
      <c r="J141" s="65">
        <v>2029</v>
      </c>
      <c r="K141" s="65">
        <v>2030</v>
      </c>
      <c r="L141" s="65">
        <v>2031</v>
      </c>
      <c r="M141" s="65">
        <v>2032</v>
      </c>
      <c r="N141" s="65">
        <v>2033</v>
      </c>
      <c r="O141" s="65">
        <v>2034</v>
      </c>
      <c r="P141" s="65">
        <v>2035</v>
      </c>
      <c r="Q141" s="65">
        <v>2036</v>
      </c>
      <c r="R141" s="66" t="s">
        <v>13</v>
      </c>
    </row>
    <row r="142" spans="1:33" ht="16" hidden="1" thickBot="1" x14ac:dyDescent="0.4">
      <c r="A142" s="25"/>
      <c r="B142" s="94"/>
      <c r="C142" s="95"/>
      <c r="D142" s="92" t="e">
        <f>#REF!</f>
        <v>#REF!</v>
      </c>
      <c r="E142" s="92" t="e">
        <f>#REF!</f>
        <v>#REF!</v>
      </c>
      <c r="F142" s="92" t="e">
        <f>#REF!</f>
        <v>#REF!</v>
      </c>
      <c r="G142" s="92" t="e">
        <f>#REF!</f>
        <v>#REF!</v>
      </c>
      <c r="H142" s="92" t="e">
        <f>#REF!</f>
        <v>#REF!</v>
      </c>
      <c r="I142" s="92" t="e">
        <f>#REF!</f>
        <v>#REF!</v>
      </c>
      <c r="J142" s="92" t="e">
        <f>#REF!</f>
        <v>#REF!</v>
      </c>
      <c r="K142" s="92" t="e">
        <f>#REF!</f>
        <v>#REF!</v>
      </c>
      <c r="L142" s="92" t="e">
        <f>#REF!</f>
        <v>#REF!</v>
      </c>
      <c r="M142" s="92" t="e">
        <f>#REF!</f>
        <v>#REF!</v>
      </c>
      <c r="N142" s="92" t="e">
        <f>#REF!</f>
        <v>#REF!</v>
      </c>
      <c r="O142" s="92" t="e">
        <f>#REF!</f>
        <v>#REF!</v>
      </c>
      <c r="P142" s="92" t="e">
        <f>#REF!</f>
        <v>#REF!</v>
      </c>
      <c r="Q142" s="92" t="e">
        <f>#REF!</f>
        <v>#REF!</v>
      </c>
      <c r="R142" s="68" t="e">
        <f>RATE(12,,-E142,Q142)</f>
        <v>#REF!</v>
      </c>
      <c r="T142" s="65">
        <v>2023</v>
      </c>
      <c r="U142" s="65">
        <v>2024</v>
      </c>
      <c r="V142" s="65">
        <v>2025</v>
      </c>
      <c r="W142" s="65">
        <v>2026</v>
      </c>
      <c r="X142" s="65">
        <v>2027</v>
      </c>
      <c r="Y142" s="65">
        <v>2028</v>
      </c>
      <c r="Z142" s="65">
        <v>2029</v>
      </c>
      <c r="AA142" s="65">
        <v>2030</v>
      </c>
      <c r="AB142" s="65">
        <v>2031</v>
      </c>
      <c r="AC142" s="65">
        <v>2032</v>
      </c>
      <c r="AD142" s="65">
        <v>2033</v>
      </c>
      <c r="AE142" s="65">
        <v>2034</v>
      </c>
      <c r="AF142" s="65">
        <v>2035</v>
      </c>
      <c r="AG142" s="65">
        <v>2036</v>
      </c>
    </row>
    <row r="143" spans="1:33" ht="15" hidden="1" thickBot="1" x14ac:dyDescent="0.4">
      <c r="A143" s="150" t="s">
        <v>49</v>
      </c>
      <c r="B143" s="52" t="s">
        <v>34</v>
      </c>
      <c r="C143" s="45"/>
      <c r="D143" s="79" t="e">
        <f t="shared" ref="D143:Q143" si="138">D142*T143</f>
        <v>#REF!</v>
      </c>
      <c r="E143" s="79" t="e">
        <f t="shared" si="138"/>
        <v>#REF!</v>
      </c>
      <c r="F143" s="79" t="e">
        <f t="shared" si="138"/>
        <v>#REF!</v>
      </c>
      <c r="G143" s="79" t="e">
        <f t="shared" si="138"/>
        <v>#REF!</v>
      </c>
      <c r="H143" s="79" t="e">
        <f t="shared" si="138"/>
        <v>#REF!</v>
      </c>
      <c r="I143" s="79" t="e">
        <f t="shared" si="138"/>
        <v>#REF!</v>
      </c>
      <c r="J143" s="79" t="e">
        <f t="shared" si="138"/>
        <v>#REF!</v>
      </c>
      <c r="K143" s="79" t="e">
        <f t="shared" si="138"/>
        <v>#REF!</v>
      </c>
      <c r="L143" s="79" t="e">
        <f t="shared" si="138"/>
        <v>#REF!</v>
      </c>
      <c r="M143" s="79" t="e">
        <f t="shared" si="138"/>
        <v>#REF!</v>
      </c>
      <c r="N143" s="79" t="e">
        <f t="shared" si="138"/>
        <v>#REF!</v>
      </c>
      <c r="O143" s="79" t="e">
        <f t="shared" si="138"/>
        <v>#REF!</v>
      </c>
      <c r="P143" s="79" t="e">
        <f t="shared" si="138"/>
        <v>#REF!</v>
      </c>
      <c r="Q143" s="79" t="e">
        <f t="shared" si="138"/>
        <v>#REF!</v>
      </c>
      <c r="R143" s="77" t="e">
        <f>RATE(12,,-E143,Q143)</f>
        <v>#REF!</v>
      </c>
      <c r="S143" s="52"/>
      <c r="T143" s="12">
        <v>0.56000000000000005</v>
      </c>
      <c r="U143" s="12">
        <v>0.56092161367703952</v>
      </c>
      <c r="V143" s="12">
        <v>0.56184474408938223</v>
      </c>
      <c r="W143" s="12">
        <v>0.56276939373317769</v>
      </c>
      <c r="X143" s="12">
        <v>0.56369556510868446</v>
      </c>
      <c r="Y143" s="12">
        <v>0.56462326072027491</v>
      </c>
      <c r="Z143" s="12">
        <v>0.56555248307644368</v>
      </c>
      <c r="AA143" s="12">
        <v>0.56648323468981299</v>
      </c>
      <c r="AB143" s="12">
        <v>0.56741551807714108</v>
      </c>
      <c r="AC143" s="12">
        <v>0.56834933575932756</v>
      </c>
      <c r="AD143" s="12">
        <v>0.56928469026142059</v>
      </c>
      <c r="AE143" s="12">
        <v>0.57022158411262425</v>
      </c>
      <c r="AF143" s="12">
        <v>0.57116001984630527</v>
      </c>
      <c r="AG143" s="12">
        <v>0.57209999999999905</v>
      </c>
    </row>
    <row r="144" spans="1:33" ht="15" hidden="1" thickBot="1" x14ac:dyDescent="0.4">
      <c r="A144" s="151"/>
      <c r="B144" s="53" t="s">
        <v>35</v>
      </c>
      <c r="C144" s="46"/>
      <c r="D144" s="80" t="e">
        <f t="shared" ref="D144:Q144" si="139">D142*T144</f>
        <v>#REF!</v>
      </c>
      <c r="E144" s="80" t="e">
        <f t="shared" si="139"/>
        <v>#REF!</v>
      </c>
      <c r="F144" s="80" t="e">
        <f t="shared" si="139"/>
        <v>#REF!</v>
      </c>
      <c r="G144" s="80" t="e">
        <f t="shared" si="139"/>
        <v>#REF!</v>
      </c>
      <c r="H144" s="80" t="e">
        <f t="shared" si="139"/>
        <v>#REF!</v>
      </c>
      <c r="I144" s="80" t="e">
        <f t="shared" si="139"/>
        <v>#REF!</v>
      </c>
      <c r="J144" s="80" t="e">
        <f t="shared" si="139"/>
        <v>#REF!</v>
      </c>
      <c r="K144" s="80" t="e">
        <f t="shared" si="139"/>
        <v>#REF!</v>
      </c>
      <c r="L144" s="80" t="e">
        <f t="shared" si="139"/>
        <v>#REF!</v>
      </c>
      <c r="M144" s="80" t="e">
        <f t="shared" si="139"/>
        <v>#REF!</v>
      </c>
      <c r="N144" s="80" t="e">
        <f t="shared" si="139"/>
        <v>#REF!</v>
      </c>
      <c r="O144" s="80" t="e">
        <f t="shared" si="139"/>
        <v>#REF!</v>
      </c>
      <c r="P144" s="80" t="e">
        <f t="shared" si="139"/>
        <v>#REF!</v>
      </c>
      <c r="Q144" s="80" t="e">
        <f t="shared" si="139"/>
        <v>#REF!</v>
      </c>
      <c r="R144" s="78" t="e">
        <f>RATE(12,,-E144,Q144)</f>
        <v>#REF!</v>
      </c>
      <c r="S144" s="53"/>
      <c r="T144" s="12">
        <f>1-T143</f>
        <v>0.43999999999999995</v>
      </c>
      <c r="U144" s="12">
        <f t="shared" ref="U144:AG144" si="140">1-U143</f>
        <v>0.43907838632296048</v>
      </c>
      <c r="V144" s="12">
        <f t="shared" si="140"/>
        <v>0.43815525591061777</v>
      </c>
      <c r="W144" s="12">
        <f t="shared" si="140"/>
        <v>0.43723060626682231</v>
      </c>
      <c r="X144" s="12">
        <f t="shared" si="140"/>
        <v>0.43630443489131554</v>
      </c>
      <c r="Y144" s="12">
        <f t="shared" si="140"/>
        <v>0.43537673927972509</v>
      </c>
      <c r="Z144" s="12">
        <f t="shared" si="140"/>
        <v>0.43444751692355632</v>
      </c>
      <c r="AA144" s="12">
        <f t="shared" si="140"/>
        <v>0.43351676531018701</v>
      </c>
      <c r="AB144" s="12">
        <f t="shared" si="140"/>
        <v>0.43258448192285892</v>
      </c>
      <c r="AC144" s="12">
        <f t="shared" si="140"/>
        <v>0.43165066424067244</v>
      </c>
      <c r="AD144" s="12">
        <f t="shared" si="140"/>
        <v>0.43071530973857941</v>
      </c>
      <c r="AE144" s="12">
        <f t="shared" si="140"/>
        <v>0.42977841588737575</v>
      </c>
      <c r="AF144" s="12">
        <f t="shared" si="140"/>
        <v>0.42883998015369473</v>
      </c>
      <c r="AG144" s="12">
        <f t="shared" si="140"/>
        <v>0.42790000000000095</v>
      </c>
    </row>
    <row r="145" spans="1:33" ht="15" hidden="1" thickBot="1" x14ac:dyDescent="0.4">
      <c r="A145" s="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21"/>
    </row>
    <row r="146" spans="1:33" ht="15" hidden="1" thickBot="1" x14ac:dyDescent="0.4">
      <c r="A146" s="150" t="s">
        <v>15</v>
      </c>
      <c r="B146" s="57" t="s">
        <v>16</v>
      </c>
      <c r="C146" s="47"/>
      <c r="D146" s="82" t="e">
        <f t="shared" ref="D146:Q146" si="141">D142*T146</f>
        <v>#REF!</v>
      </c>
      <c r="E146" s="82" t="e">
        <f t="shared" si="141"/>
        <v>#REF!</v>
      </c>
      <c r="F146" s="82" t="e">
        <f t="shared" si="141"/>
        <v>#REF!</v>
      </c>
      <c r="G146" s="82" t="e">
        <f t="shared" si="141"/>
        <v>#REF!</v>
      </c>
      <c r="H146" s="82" t="e">
        <f t="shared" si="141"/>
        <v>#REF!</v>
      </c>
      <c r="I146" s="82" t="e">
        <f t="shared" si="141"/>
        <v>#REF!</v>
      </c>
      <c r="J146" s="82" t="e">
        <f t="shared" si="141"/>
        <v>#REF!</v>
      </c>
      <c r="K146" s="82" t="e">
        <f t="shared" si="141"/>
        <v>#REF!</v>
      </c>
      <c r="L146" s="82" t="e">
        <f t="shared" si="141"/>
        <v>#REF!</v>
      </c>
      <c r="M146" s="82" t="e">
        <f t="shared" si="141"/>
        <v>#REF!</v>
      </c>
      <c r="N146" s="82" t="e">
        <f t="shared" si="141"/>
        <v>#REF!</v>
      </c>
      <c r="O146" s="82" t="e">
        <f t="shared" si="141"/>
        <v>#REF!</v>
      </c>
      <c r="P146" s="82" t="e">
        <f t="shared" si="141"/>
        <v>#REF!</v>
      </c>
      <c r="Q146" s="82" t="e">
        <f t="shared" si="141"/>
        <v>#REF!</v>
      </c>
      <c r="R146" s="69" t="e">
        <f>RATE(12,,-E146,Q146)</f>
        <v>#REF!</v>
      </c>
      <c r="S146" s="57"/>
      <c r="T146" s="12">
        <v>0.47099999999999992</v>
      </c>
      <c r="U146" s="12">
        <v>0.47038461538461535</v>
      </c>
      <c r="V146" s="12">
        <v>0.46976923076923072</v>
      </c>
      <c r="W146" s="12">
        <v>0.46915384615384609</v>
      </c>
      <c r="X146" s="12">
        <v>0.46853846153846151</v>
      </c>
      <c r="Y146" s="12">
        <v>0.46792307692307689</v>
      </c>
      <c r="Z146" s="12">
        <v>0.46730769230769226</v>
      </c>
      <c r="AA146" s="12">
        <v>0.46669230769230763</v>
      </c>
      <c r="AB146" s="12">
        <v>0.46607692307692306</v>
      </c>
      <c r="AC146" s="12">
        <v>0.46546153846153843</v>
      </c>
      <c r="AD146" s="12">
        <v>0.4648461538461538</v>
      </c>
      <c r="AE146" s="12">
        <v>0.46423076923076922</v>
      </c>
      <c r="AF146" s="12">
        <v>0.4636153846153846</v>
      </c>
      <c r="AG146" s="12">
        <v>0.46299999999999997</v>
      </c>
    </row>
    <row r="147" spans="1:33" ht="15" hidden="1" thickBot="1" x14ac:dyDescent="0.4">
      <c r="A147" s="151"/>
      <c r="B147" s="58" t="s">
        <v>17</v>
      </c>
      <c r="C147" s="48"/>
      <c r="D147" s="83" t="e">
        <f t="shared" ref="D147:Q147" si="142">D142*T147</f>
        <v>#REF!</v>
      </c>
      <c r="E147" s="83" t="e">
        <f t="shared" si="142"/>
        <v>#REF!</v>
      </c>
      <c r="F147" s="83" t="e">
        <f t="shared" si="142"/>
        <v>#REF!</v>
      </c>
      <c r="G147" s="83" t="e">
        <f t="shared" si="142"/>
        <v>#REF!</v>
      </c>
      <c r="H147" s="83" t="e">
        <f t="shared" si="142"/>
        <v>#REF!</v>
      </c>
      <c r="I147" s="83" t="e">
        <f t="shared" si="142"/>
        <v>#REF!</v>
      </c>
      <c r="J147" s="83" t="e">
        <f t="shared" si="142"/>
        <v>#REF!</v>
      </c>
      <c r="K147" s="83" t="e">
        <f t="shared" si="142"/>
        <v>#REF!</v>
      </c>
      <c r="L147" s="83" t="e">
        <f t="shared" si="142"/>
        <v>#REF!</v>
      </c>
      <c r="M147" s="83" t="e">
        <f t="shared" si="142"/>
        <v>#REF!</v>
      </c>
      <c r="N147" s="83" t="e">
        <f t="shared" si="142"/>
        <v>#REF!</v>
      </c>
      <c r="O147" s="83" t="e">
        <f t="shared" si="142"/>
        <v>#REF!</v>
      </c>
      <c r="P147" s="83" t="e">
        <f t="shared" si="142"/>
        <v>#REF!</v>
      </c>
      <c r="Q147" s="83" t="e">
        <f t="shared" si="142"/>
        <v>#REF!</v>
      </c>
      <c r="R147" s="70" t="e">
        <f>RATE(12,,-E147,Q147)</f>
        <v>#REF!</v>
      </c>
      <c r="S147" s="58"/>
      <c r="T147" s="12">
        <f>1-T146</f>
        <v>0.52900000000000014</v>
      </c>
      <c r="U147" s="12">
        <f t="shared" ref="U147:AG147" si="143">1-U146</f>
        <v>0.5296153846153846</v>
      </c>
      <c r="V147" s="12">
        <f t="shared" si="143"/>
        <v>0.53023076923076928</v>
      </c>
      <c r="W147" s="12">
        <f t="shared" si="143"/>
        <v>0.53084615384615397</v>
      </c>
      <c r="X147" s="12">
        <f t="shared" si="143"/>
        <v>0.53146153846153843</v>
      </c>
      <c r="Y147" s="12">
        <f t="shared" si="143"/>
        <v>0.53207692307692311</v>
      </c>
      <c r="Z147" s="12">
        <f t="shared" si="143"/>
        <v>0.5326923076923078</v>
      </c>
      <c r="AA147" s="12">
        <f t="shared" si="143"/>
        <v>0.53330769230769237</v>
      </c>
      <c r="AB147" s="12">
        <f t="shared" si="143"/>
        <v>0.53392307692307694</v>
      </c>
      <c r="AC147" s="12">
        <f t="shared" si="143"/>
        <v>0.53453846153846163</v>
      </c>
      <c r="AD147" s="12">
        <f t="shared" si="143"/>
        <v>0.5351538461538462</v>
      </c>
      <c r="AE147" s="12">
        <f t="shared" si="143"/>
        <v>0.53576923076923078</v>
      </c>
      <c r="AF147" s="12">
        <f t="shared" si="143"/>
        <v>0.53638461538461546</v>
      </c>
      <c r="AG147" s="12">
        <f t="shared" si="143"/>
        <v>0.53700000000000003</v>
      </c>
    </row>
    <row r="148" spans="1:33" ht="15" hidden="1" thickBot="1" x14ac:dyDescent="0.4">
      <c r="A148" s="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21"/>
    </row>
    <row r="149" spans="1:33" ht="15" hidden="1" thickBot="1" x14ac:dyDescent="0.4">
      <c r="A149" s="150" t="s">
        <v>18</v>
      </c>
      <c r="B149" s="54" t="s">
        <v>19</v>
      </c>
      <c r="C149" s="49"/>
      <c r="D149" s="84" t="e">
        <f t="shared" ref="D149:Q149" si="144">D142*T149</f>
        <v>#REF!</v>
      </c>
      <c r="E149" s="84" t="e">
        <f t="shared" si="144"/>
        <v>#REF!</v>
      </c>
      <c r="F149" s="84" t="e">
        <f t="shared" si="144"/>
        <v>#REF!</v>
      </c>
      <c r="G149" s="84" t="e">
        <f t="shared" si="144"/>
        <v>#REF!</v>
      </c>
      <c r="H149" s="84" t="e">
        <f t="shared" si="144"/>
        <v>#REF!</v>
      </c>
      <c r="I149" s="84" t="e">
        <f t="shared" si="144"/>
        <v>#REF!</v>
      </c>
      <c r="J149" s="84" t="e">
        <f t="shared" si="144"/>
        <v>#REF!</v>
      </c>
      <c r="K149" s="84" t="e">
        <f t="shared" si="144"/>
        <v>#REF!</v>
      </c>
      <c r="L149" s="84" t="e">
        <f t="shared" si="144"/>
        <v>#REF!</v>
      </c>
      <c r="M149" s="84" t="e">
        <f t="shared" si="144"/>
        <v>#REF!</v>
      </c>
      <c r="N149" s="84" t="e">
        <f t="shared" si="144"/>
        <v>#REF!</v>
      </c>
      <c r="O149" s="84" t="e">
        <f t="shared" si="144"/>
        <v>#REF!</v>
      </c>
      <c r="P149" s="84" t="e">
        <f t="shared" si="144"/>
        <v>#REF!</v>
      </c>
      <c r="Q149" s="84" t="e">
        <f t="shared" si="144"/>
        <v>#REF!</v>
      </c>
      <c r="R149" s="71" t="e">
        <f>RATE(12,,-E149,Q149)</f>
        <v>#REF!</v>
      </c>
      <c r="S149" s="54"/>
      <c r="T149" s="12">
        <v>0.40099999999999997</v>
      </c>
      <c r="U149" s="12">
        <v>0.40265090533119946</v>
      </c>
      <c r="V149" s="12">
        <v>0.40430860739160734</v>
      </c>
      <c r="W149" s="12">
        <v>0.40597313416316017</v>
      </c>
      <c r="X149" s="12">
        <v>0.40764451374299493</v>
      </c>
      <c r="Y149" s="12">
        <v>0.40932277434392395</v>
      </c>
      <c r="Z149" s="12">
        <v>0.41100794429491083</v>
      </c>
      <c r="AA149" s="12">
        <v>0.4127000520415488</v>
      </c>
      <c r="AB149" s="12">
        <v>0.41439912614654062</v>
      </c>
      <c r="AC149" s="12">
        <v>0.41610519529018092</v>
      </c>
      <c r="AD149" s="12">
        <v>0.41781828827084017</v>
      </c>
      <c r="AE149" s="12">
        <v>0.4195384340054511</v>
      </c>
      <c r="AF149" s="12">
        <v>0.4212656615299965</v>
      </c>
      <c r="AG149" s="12">
        <v>0.42299999999999938</v>
      </c>
    </row>
    <row r="150" spans="1:33" ht="15" hidden="1" thickBot="1" x14ac:dyDescent="0.4">
      <c r="A150" s="151"/>
      <c r="B150" s="56" t="s">
        <v>20</v>
      </c>
      <c r="C150" s="44"/>
      <c r="D150" s="85" t="e">
        <f t="shared" ref="D150:Q150" si="145">D142*T150</f>
        <v>#REF!</v>
      </c>
      <c r="E150" s="85" t="e">
        <f t="shared" si="145"/>
        <v>#REF!</v>
      </c>
      <c r="F150" s="85" t="e">
        <f t="shared" si="145"/>
        <v>#REF!</v>
      </c>
      <c r="G150" s="85" t="e">
        <f t="shared" si="145"/>
        <v>#REF!</v>
      </c>
      <c r="H150" s="85" t="e">
        <f t="shared" si="145"/>
        <v>#REF!</v>
      </c>
      <c r="I150" s="85" t="e">
        <f t="shared" si="145"/>
        <v>#REF!</v>
      </c>
      <c r="J150" s="85" t="e">
        <f t="shared" si="145"/>
        <v>#REF!</v>
      </c>
      <c r="K150" s="85" t="e">
        <f t="shared" si="145"/>
        <v>#REF!</v>
      </c>
      <c r="L150" s="85" t="e">
        <f t="shared" si="145"/>
        <v>#REF!</v>
      </c>
      <c r="M150" s="85" t="e">
        <f t="shared" si="145"/>
        <v>#REF!</v>
      </c>
      <c r="N150" s="85" t="e">
        <f t="shared" si="145"/>
        <v>#REF!</v>
      </c>
      <c r="O150" s="85" t="e">
        <f t="shared" si="145"/>
        <v>#REF!</v>
      </c>
      <c r="P150" s="85" t="e">
        <f t="shared" si="145"/>
        <v>#REF!</v>
      </c>
      <c r="Q150" s="85" t="e">
        <f t="shared" si="145"/>
        <v>#REF!</v>
      </c>
      <c r="R150" s="72" t="e">
        <f>RATE(12,,-E150,Q150)</f>
        <v>#REF!</v>
      </c>
      <c r="S150" s="56"/>
      <c r="T150" s="12">
        <f>1-T149</f>
        <v>0.59899999999999998</v>
      </c>
      <c r="U150" s="12">
        <f t="shared" ref="U150:AG150" si="146">1-U149</f>
        <v>0.59734909466880048</v>
      </c>
      <c r="V150" s="12">
        <f t="shared" si="146"/>
        <v>0.59569139260839266</v>
      </c>
      <c r="W150" s="12">
        <f t="shared" si="146"/>
        <v>0.59402686583683983</v>
      </c>
      <c r="X150" s="12">
        <f t="shared" si="146"/>
        <v>0.59235548625700507</v>
      </c>
      <c r="Y150" s="12">
        <f t="shared" si="146"/>
        <v>0.59067722565607605</v>
      </c>
      <c r="Z150" s="12">
        <f t="shared" si="146"/>
        <v>0.58899205570508917</v>
      </c>
      <c r="AA150" s="12">
        <f t="shared" si="146"/>
        <v>0.5872999479584512</v>
      </c>
      <c r="AB150" s="12">
        <f t="shared" si="146"/>
        <v>0.58560087385345938</v>
      </c>
      <c r="AC150" s="12">
        <f t="shared" si="146"/>
        <v>0.58389480470981914</v>
      </c>
      <c r="AD150" s="12">
        <f t="shared" si="146"/>
        <v>0.58218171172915989</v>
      </c>
      <c r="AE150" s="12">
        <f t="shared" si="146"/>
        <v>0.5804615659945489</v>
      </c>
      <c r="AF150" s="12">
        <f t="shared" si="146"/>
        <v>0.57873433847000344</v>
      </c>
      <c r="AG150" s="12">
        <f t="shared" si="146"/>
        <v>0.57700000000000062</v>
      </c>
    </row>
    <row r="151" spans="1:33" ht="15" hidden="1" thickBot="1" x14ac:dyDescent="0.4">
      <c r="A151" s="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21"/>
    </row>
    <row r="152" spans="1:33" ht="15" hidden="1" thickBot="1" x14ac:dyDescent="0.4">
      <c r="A152" s="150" t="s">
        <v>14</v>
      </c>
      <c r="B152" s="59" t="s">
        <v>21</v>
      </c>
      <c r="C152" s="50"/>
      <c r="D152" s="86" t="e">
        <f t="shared" ref="D152:Q152" si="147">D142*T152</f>
        <v>#REF!</v>
      </c>
      <c r="E152" s="86" t="e">
        <f t="shared" si="147"/>
        <v>#REF!</v>
      </c>
      <c r="F152" s="86" t="e">
        <f t="shared" si="147"/>
        <v>#REF!</v>
      </c>
      <c r="G152" s="86" t="e">
        <f t="shared" si="147"/>
        <v>#REF!</v>
      </c>
      <c r="H152" s="86" t="e">
        <f t="shared" si="147"/>
        <v>#REF!</v>
      </c>
      <c r="I152" s="86" t="e">
        <f t="shared" si="147"/>
        <v>#REF!</v>
      </c>
      <c r="J152" s="86" t="e">
        <f t="shared" si="147"/>
        <v>#REF!</v>
      </c>
      <c r="K152" s="86" t="e">
        <f t="shared" si="147"/>
        <v>#REF!</v>
      </c>
      <c r="L152" s="86" t="e">
        <f t="shared" si="147"/>
        <v>#REF!</v>
      </c>
      <c r="M152" s="86" t="e">
        <f t="shared" si="147"/>
        <v>#REF!</v>
      </c>
      <c r="N152" s="86" t="e">
        <f t="shared" si="147"/>
        <v>#REF!</v>
      </c>
      <c r="O152" s="86" t="e">
        <f t="shared" si="147"/>
        <v>#REF!</v>
      </c>
      <c r="P152" s="86" t="e">
        <f t="shared" si="147"/>
        <v>#REF!</v>
      </c>
      <c r="Q152" s="86" t="e">
        <f t="shared" si="147"/>
        <v>#REF!</v>
      </c>
      <c r="R152" s="73" t="e">
        <f t="shared" ref="R152:R157" si="148">RATE(12,,-E152,Q152)</f>
        <v>#REF!</v>
      </c>
      <c r="S152" s="59"/>
      <c r="T152" s="12">
        <v>0.25</v>
      </c>
      <c r="U152" s="12">
        <v>0.25155593539307364</v>
      </c>
      <c r="V152" s="12">
        <v>0.25312155452593693</v>
      </c>
      <c r="W152" s="12">
        <v>0.25469691766768382</v>
      </c>
      <c r="X152" s="12">
        <v>0.25628208546250747</v>
      </c>
      <c r="Y152" s="12">
        <v>0.2578771189320348</v>
      </c>
      <c r="Z152" s="12">
        <v>0.25948207947767565</v>
      </c>
      <c r="AA152" s="12">
        <v>0.2610970288829863</v>
      </c>
      <c r="AB152" s="12">
        <v>0.26272202931604799</v>
      </c>
      <c r="AC152" s="12">
        <v>0.26435714333185978</v>
      </c>
      <c r="AD152" s="12">
        <v>0.26600243387474731</v>
      </c>
      <c r="AE152" s="12">
        <v>0.26765796428078514</v>
      </c>
      <c r="AF152" s="12">
        <v>0.26932379828023517</v>
      </c>
      <c r="AG152" s="12">
        <v>0.27100000000000013</v>
      </c>
    </row>
    <row r="153" spans="1:33" ht="15" hidden="1" thickBot="1" x14ac:dyDescent="0.4">
      <c r="A153" s="155"/>
      <c r="B153" s="60" t="s">
        <v>22</v>
      </c>
      <c r="C153" s="41"/>
      <c r="D153" s="87" t="e">
        <f t="shared" ref="D153:Q153" si="149">D142*T153</f>
        <v>#REF!</v>
      </c>
      <c r="E153" s="87" t="e">
        <f t="shared" si="149"/>
        <v>#REF!</v>
      </c>
      <c r="F153" s="87" t="e">
        <f t="shared" si="149"/>
        <v>#REF!</v>
      </c>
      <c r="G153" s="87" t="e">
        <f t="shared" si="149"/>
        <v>#REF!</v>
      </c>
      <c r="H153" s="87" t="e">
        <f t="shared" si="149"/>
        <v>#REF!</v>
      </c>
      <c r="I153" s="87" t="e">
        <f t="shared" si="149"/>
        <v>#REF!</v>
      </c>
      <c r="J153" s="87" t="e">
        <f t="shared" si="149"/>
        <v>#REF!</v>
      </c>
      <c r="K153" s="87" t="e">
        <f t="shared" si="149"/>
        <v>#REF!</v>
      </c>
      <c r="L153" s="87" t="e">
        <f t="shared" si="149"/>
        <v>#REF!</v>
      </c>
      <c r="M153" s="87" t="e">
        <f t="shared" si="149"/>
        <v>#REF!</v>
      </c>
      <c r="N153" s="87" t="e">
        <f t="shared" si="149"/>
        <v>#REF!</v>
      </c>
      <c r="O153" s="87" t="e">
        <f t="shared" si="149"/>
        <v>#REF!</v>
      </c>
      <c r="P153" s="87" t="e">
        <f t="shared" si="149"/>
        <v>#REF!</v>
      </c>
      <c r="Q153" s="87" t="e">
        <f t="shared" si="149"/>
        <v>#REF!</v>
      </c>
      <c r="R153" s="74" t="e">
        <f t="shared" si="148"/>
        <v>#REF!</v>
      </c>
      <c r="S153" s="60"/>
      <c r="T153" s="12">
        <v>0.38</v>
      </c>
      <c r="U153" s="12">
        <v>0.38090988938047371</v>
      </c>
      <c r="V153" s="12">
        <v>0.38182195744169661</v>
      </c>
      <c r="W153" s="12">
        <v>0.38273620940040159</v>
      </c>
      <c r="X153" s="12">
        <v>0.38365265048581265</v>
      </c>
      <c r="Y153" s="12">
        <v>0.38457128593967477</v>
      </c>
      <c r="Z153" s="12">
        <v>0.38549212101628438</v>
      </c>
      <c r="AA153" s="12">
        <v>0.38641516098251855</v>
      </c>
      <c r="AB153" s="12">
        <v>0.38734041111786593</v>
      </c>
      <c r="AC153" s="12">
        <v>0.38826787671445667</v>
      </c>
      <c r="AD153" s="12">
        <v>0.38919756307709236</v>
      </c>
      <c r="AE153" s="12">
        <v>0.39012947552327681</v>
      </c>
      <c r="AF153" s="12">
        <v>0.3910636193832463</v>
      </c>
      <c r="AG153" s="12">
        <v>0.39200000000000002</v>
      </c>
    </row>
    <row r="154" spans="1:33" ht="15" hidden="1" thickBot="1" x14ac:dyDescent="0.4">
      <c r="A154" s="155"/>
      <c r="B154" s="61" t="s">
        <v>23</v>
      </c>
      <c r="C154" s="41"/>
      <c r="D154" s="88" t="e">
        <f t="shared" ref="D154:Q154" si="150">D153*T154</f>
        <v>#REF!</v>
      </c>
      <c r="E154" s="88" t="e">
        <f t="shared" si="150"/>
        <v>#REF!</v>
      </c>
      <c r="F154" s="88" t="e">
        <f t="shared" si="150"/>
        <v>#REF!</v>
      </c>
      <c r="G154" s="88" t="e">
        <f t="shared" si="150"/>
        <v>#REF!</v>
      </c>
      <c r="H154" s="88" t="e">
        <f t="shared" si="150"/>
        <v>#REF!</v>
      </c>
      <c r="I154" s="88" t="e">
        <f t="shared" si="150"/>
        <v>#REF!</v>
      </c>
      <c r="J154" s="88" t="e">
        <f t="shared" si="150"/>
        <v>#REF!</v>
      </c>
      <c r="K154" s="88" t="e">
        <f t="shared" si="150"/>
        <v>#REF!</v>
      </c>
      <c r="L154" s="88" t="e">
        <f t="shared" si="150"/>
        <v>#REF!</v>
      </c>
      <c r="M154" s="88" t="e">
        <f t="shared" si="150"/>
        <v>#REF!</v>
      </c>
      <c r="N154" s="88" t="e">
        <f t="shared" si="150"/>
        <v>#REF!</v>
      </c>
      <c r="O154" s="88" t="e">
        <f t="shared" si="150"/>
        <v>#REF!</v>
      </c>
      <c r="P154" s="88" t="e">
        <f t="shared" si="150"/>
        <v>#REF!</v>
      </c>
      <c r="Q154" s="88" t="e">
        <f t="shared" si="150"/>
        <v>#REF!</v>
      </c>
      <c r="R154" s="74" t="e">
        <f t="shared" si="148"/>
        <v>#REF!</v>
      </c>
      <c r="S154" s="61"/>
      <c r="T154" s="67">
        <v>0.34999999999999987</v>
      </c>
      <c r="U154" s="67">
        <v>0.34938588387166564</v>
      </c>
      <c r="V154" s="67">
        <v>0.34877284528224306</v>
      </c>
      <c r="W154" s="67">
        <v>0.34816088234106346</v>
      </c>
      <c r="X154" s="67">
        <v>0.34754999316077562</v>
      </c>
      <c r="Y154" s="67">
        <v>0.34694017585733994</v>
      </c>
      <c r="Z154" s="67">
        <v>0.34633142855002247</v>
      </c>
      <c r="AA154" s="67">
        <v>0.34572374936138933</v>
      </c>
      <c r="AB154" s="67">
        <v>0.34511713641730069</v>
      </c>
      <c r="AC154" s="67">
        <v>0.34451158784690528</v>
      </c>
      <c r="AD154" s="67">
        <v>0.34390710178263434</v>
      </c>
      <c r="AE154" s="67">
        <v>0.34330367636019604</v>
      </c>
      <c r="AF154" s="67">
        <v>0.34270130971856966</v>
      </c>
      <c r="AG154" s="67">
        <v>0.34209999999999979</v>
      </c>
    </row>
    <row r="155" spans="1:33" ht="15" hidden="1" thickBot="1" x14ac:dyDescent="0.4">
      <c r="A155" s="155"/>
      <c r="B155" s="61" t="s">
        <v>24</v>
      </c>
      <c r="C155" s="41"/>
      <c r="D155" s="88" t="e">
        <f t="shared" ref="D155:Q155" si="151">D153*T155</f>
        <v>#REF!</v>
      </c>
      <c r="E155" s="88" t="e">
        <f t="shared" si="151"/>
        <v>#REF!</v>
      </c>
      <c r="F155" s="88" t="e">
        <f t="shared" si="151"/>
        <v>#REF!</v>
      </c>
      <c r="G155" s="88" t="e">
        <f t="shared" si="151"/>
        <v>#REF!</v>
      </c>
      <c r="H155" s="88" t="e">
        <f t="shared" si="151"/>
        <v>#REF!</v>
      </c>
      <c r="I155" s="88" t="e">
        <f t="shared" si="151"/>
        <v>#REF!</v>
      </c>
      <c r="J155" s="88" t="e">
        <f t="shared" si="151"/>
        <v>#REF!</v>
      </c>
      <c r="K155" s="88" t="e">
        <f t="shared" si="151"/>
        <v>#REF!</v>
      </c>
      <c r="L155" s="88" t="e">
        <f t="shared" si="151"/>
        <v>#REF!</v>
      </c>
      <c r="M155" s="88" t="e">
        <f t="shared" si="151"/>
        <v>#REF!</v>
      </c>
      <c r="N155" s="88" t="e">
        <f t="shared" si="151"/>
        <v>#REF!</v>
      </c>
      <c r="O155" s="88" t="e">
        <f t="shared" si="151"/>
        <v>#REF!</v>
      </c>
      <c r="P155" s="88" t="e">
        <f t="shared" si="151"/>
        <v>#REF!</v>
      </c>
      <c r="Q155" s="88" t="e">
        <f t="shared" si="151"/>
        <v>#REF!</v>
      </c>
      <c r="R155" s="74" t="e">
        <f t="shared" si="148"/>
        <v>#REF!</v>
      </c>
      <c r="S155" s="61"/>
      <c r="T155" s="67">
        <v>0.28000000000000003</v>
      </c>
      <c r="U155" s="67">
        <v>0.28097918830490543</v>
      </c>
      <c r="V155" s="67">
        <v>0.28196180093029821</v>
      </c>
      <c r="W155" s="67">
        <v>0.28294784985137333</v>
      </c>
      <c r="X155" s="67">
        <v>0.28393734708520407</v>
      </c>
      <c r="Y155" s="67">
        <v>0.28493030469088876</v>
      </c>
      <c r="Z155" s="67">
        <v>0.28592673476969749</v>
      </c>
      <c r="AA155" s="67">
        <v>0.28692664946521995</v>
      </c>
      <c r="AB155" s="67">
        <v>0.28793006096351298</v>
      </c>
      <c r="AC155" s="67">
        <v>0.28893698149324931</v>
      </c>
      <c r="AD155" s="67">
        <v>0.28994742332586665</v>
      </c>
      <c r="AE155" s="67">
        <v>0.29096139877571725</v>
      </c>
      <c r="AF155" s="67">
        <v>0.29197892020021765</v>
      </c>
      <c r="AG155" s="67">
        <v>0.29299999999999965</v>
      </c>
    </row>
    <row r="156" spans="1:33" ht="15" hidden="1" thickBot="1" x14ac:dyDescent="0.4">
      <c r="A156" s="155"/>
      <c r="B156" s="61" t="s">
        <v>25</v>
      </c>
      <c r="C156" s="41"/>
      <c r="D156" s="88" t="e">
        <f t="shared" ref="D156:Q156" si="152">D153*T156</f>
        <v>#REF!</v>
      </c>
      <c r="E156" s="88" t="e">
        <f t="shared" si="152"/>
        <v>#REF!</v>
      </c>
      <c r="F156" s="88" t="e">
        <f t="shared" si="152"/>
        <v>#REF!</v>
      </c>
      <c r="G156" s="88" t="e">
        <f t="shared" si="152"/>
        <v>#REF!</v>
      </c>
      <c r="H156" s="88" t="e">
        <f t="shared" si="152"/>
        <v>#REF!</v>
      </c>
      <c r="I156" s="88" t="e">
        <f t="shared" si="152"/>
        <v>#REF!</v>
      </c>
      <c r="J156" s="88" t="e">
        <f t="shared" si="152"/>
        <v>#REF!</v>
      </c>
      <c r="K156" s="88" t="e">
        <f t="shared" si="152"/>
        <v>#REF!</v>
      </c>
      <c r="L156" s="88" t="e">
        <f t="shared" si="152"/>
        <v>#REF!</v>
      </c>
      <c r="M156" s="88" t="e">
        <f t="shared" si="152"/>
        <v>#REF!</v>
      </c>
      <c r="N156" s="88" t="e">
        <f t="shared" si="152"/>
        <v>#REF!</v>
      </c>
      <c r="O156" s="88" t="e">
        <f t="shared" si="152"/>
        <v>#REF!</v>
      </c>
      <c r="P156" s="88" t="e">
        <f t="shared" si="152"/>
        <v>#REF!</v>
      </c>
      <c r="Q156" s="88" t="e">
        <f t="shared" si="152"/>
        <v>#REF!</v>
      </c>
      <c r="R156" s="74" t="e">
        <f t="shared" si="148"/>
        <v>#REF!</v>
      </c>
      <c r="S156" s="61"/>
      <c r="T156" s="67">
        <f>1-SUM(T154:T155)</f>
        <v>0.37000000000000011</v>
      </c>
      <c r="U156" s="67">
        <f t="shared" ref="U156:AG156" si="153">1-SUM(U154:U155)</f>
        <v>0.36963492782342899</v>
      </c>
      <c r="V156" s="67">
        <f t="shared" si="153"/>
        <v>0.36926535378745873</v>
      </c>
      <c r="W156" s="67">
        <f t="shared" si="153"/>
        <v>0.36889126780756321</v>
      </c>
      <c r="X156" s="67">
        <f t="shared" si="153"/>
        <v>0.36851265975402026</v>
      </c>
      <c r="Y156" s="67">
        <f t="shared" si="153"/>
        <v>0.3681295194517713</v>
      </c>
      <c r="Z156" s="67">
        <f t="shared" si="153"/>
        <v>0.36774183668028004</v>
      </c>
      <c r="AA156" s="67">
        <f t="shared" si="153"/>
        <v>0.36734960117339077</v>
      </c>
      <c r="AB156" s="67">
        <f t="shared" si="153"/>
        <v>0.36695280261918639</v>
      </c>
      <c r="AC156" s="67">
        <f t="shared" si="153"/>
        <v>0.36655143065984541</v>
      </c>
      <c r="AD156" s="67">
        <f t="shared" si="153"/>
        <v>0.36614547489149896</v>
      </c>
      <c r="AE156" s="67">
        <f t="shared" si="153"/>
        <v>0.36573492486408665</v>
      </c>
      <c r="AF156" s="67">
        <f t="shared" si="153"/>
        <v>0.36531977008121275</v>
      </c>
      <c r="AG156" s="67">
        <f t="shared" si="153"/>
        <v>0.36490000000000056</v>
      </c>
    </row>
    <row r="157" spans="1:33" ht="15" hidden="1" thickBot="1" x14ac:dyDescent="0.4">
      <c r="A157" s="151"/>
      <c r="B157" s="62" t="s">
        <v>26</v>
      </c>
      <c r="C157" s="51"/>
      <c r="D157" s="89" t="e">
        <f t="shared" ref="D157:Q157" si="154">D142*T157</f>
        <v>#REF!</v>
      </c>
      <c r="E157" s="89" t="e">
        <f t="shared" si="154"/>
        <v>#REF!</v>
      </c>
      <c r="F157" s="89" t="e">
        <f t="shared" si="154"/>
        <v>#REF!</v>
      </c>
      <c r="G157" s="89" t="e">
        <f t="shared" si="154"/>
        <v>#REF!</v>
      </c>
      <c r="H157" s="89" t="e">
        <f t="shared" si="154"/>
        <v>#REF!</v>
      </c>
      <c r="I157" s="89" t="e">
        <f t="shared" si="154"/>
        <v>#REF!</v>
      </c>
      <c r="J157" s="89" t="e">
        <f t="shared" si="154"/>
        <v>#REF!</v>
      </c>
      <c r="K157" s="89" t="e">
        <f t="shared" si="154"/>
        <v>#REF!</v>
      </c>
      <c r="L157" s="89" t="e">
        <f t="shared" si="154"/>
        <v>#REF!</v>
      </c>
      <c r="M157" s="89" t="e">
        <f t="shared" si="154"/>
        <v>#REF!</v>
      </c>
      <c r="N157" s="89" t="e">
        <f t="shared" si="154"/>
        <v>#REF!</v>
      </c>
      <c r="O157" s="89" t="e">
        <f t="shared" si="154"/>
        <v>#REF!</v>
      </c>
      <c r="P157" s="89" t="e">
        <f t="shared" si="154"/>
        <v>#REF!</v>
      </c>
      <c r="Q157" s="89" t="e">
        <f t="shared" si="154"/>
        <v>#REF!</v>
      </c>
      <c r="R157" s="75" t="e">
        <f t="shared" si="148"/>
        <v>#REF!</v>
      </c>
      <c r="S157" s="62"/>
      <c r="T157" s="12">
        <f>1-SUM(T152+T153)</f>
        <v>0.37</v>
      </c>
      <c r="U157" s="12">
        <f t="shared" ref="U157:AG157" si="155">1-SUM(U152+U153)</f>
        <v>0.36753417522645271</v>
      </c>
      <c r="V157" s="12">
        <f t="shared" si="155"/>
        <v>0.36505648803236646</v>
      </c>
      <c r="W157" s="12">
        <f t="shared" si="155"/>
        <v>0.36256687293191459</v>
      </c>
      <c r="X157" s="12">
        <f t="shared" si="155"/>
        <v>0.36006526405167993</v>
      </c>
      <c r="Y157" s="12">
        <f t="shared" si="155"/>
        <v>0.35755159512829038</v>
      </c>
      <c r="Z157" s="12">
        <f t="shared" si="155"/>
        <v>0.35502579950603996</v>
      </c>
      <c r="AA157" s="12">
        <f t="shared" si="155"/>
        <v>0.35248781013449515</v>
      </c>
      <c r="AB157" s="12">
        <f t="shared" si="155"/>
        <v>0.34993755956608608</v>
      </c>
      <c r="AC157" s="12">
        <f t="shared" si="155"/>
        <v>0.3473749799536836</v>
      </c>
      <c r="AD157" s="12">
        <f t="shared" si="155"/>
        <v>0.34480000304816039</v>
      </c>
      <c r="AE157" s="12">
        <f t="shared" si="155"/>
        <v>0.34221256019593804</v>
      </c>
      <c r="AF157" s="12">
        <f t="shared" si="155"/>
        <v>0.33961258233651859</v>
      </c>
      <c r="AG157" s="12">
        <f t="shared" si="155"/>
        <v>0.33699999999999986</v>
      </c>
    </row>
    <row r="158" spans="1:33" ht="15" hidden="1" thickBot="1" x14ac:dyDescent="0.4">
      <c r="A158" s="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21"/>
    </row>
    <row r="159" spans="1:33" ht="15" hidden="1" thickBot="1" x14ac:dyDescent="0.4">
      <c r="A159" s="152" t="s">
        <v>27</v>
      </c>
      <c r="B159" s="54" t="s">
        <v>28</v>
      </c>
      <c r="C159" s="49"/>
      <c r="D159" s="84" t="e">
        <f t="shared" ref="D159:Q159" si="156">D142*T159</f>
        <v>#REF!</v>
      </c>
      <c r="E159" s="84" t="e">
        <f t="shared" si="156"/>
        <v>#REF!</v>
      </c>
      <c r="F159" s="84" t="e">
        <f t="shared" si="156"/>
        <v>#REF!</v>
      </c>
      <c r="G159" s="84" t="e">
        <f t="shared" si="156"/>
        <v>#REF!</v>
      </c>
      <c r="H159" s="84" t="e">
        <f t="shared" si="156"/>
        <v>#REF!</v>
      </c>
      <c r="I159" s="84" t="e">
        <f t="shared" si="156"/>
        <v>#REF!</v>
      </c>
      <c r="J159" s="84" t="e">
        <f t="shared" si="156"/>
        <v>#REF!</v>
      </c>
      <c r="K159" s="84" t="e">
        <f t="shared" si="156"/>
        <v>#REF!</v>
      </c>
      <c r="L159" s="84" t="e">
        <f t="shared" si="156"/>
        <v>#REF!</v>
      </c>
      <c r="M159" s="84" t="e">
        <f t="shared" si="156"/>
        <v>#REF!</v>
      </c>
      <c r="N159" s="84" t="e">
        <f t="shared" si="156"/>
        <v>#REF!</v>
      </c>
      <c r="O159" s="84" t="e">
        <f t="shared" si="156"/>
        <v>#REF!</v>
      </c>
      <c r="P159" s="84" t="e">
        <f t="shared" si="156"/>
        <v>#REF!</v>
      </c>
      <c r="Q159" s="84" t="e">
        <f t="shared" si="156"/>
        <v>#REF!</v>
      </c>
      <c r="R159" s="71" t="e">
        <f>RATE(12,,-E159,Q159)</f>
        <v>#REF!</v>
      </c>
      <c r="S159" s="54"/>
      <c r="T159" s="12">
        <v>0.40099999999999997</v>
      </c>
      <c r="U159" s="12">
        <v>0.40265090533119946</v>
      </c>
      <c r="V159" s="12">
        <v>0.40430860739160734</v>
      </c>
      <c r="W159" s="12">
        <v>0.40597313416316017</v>
      </c>
      <c r="X159" s="12">
        <v>0.40764451374299493</v>
      </c>
      <c r="Y159" s="12">
        <v>0.40932277434392395</v>
      </c>
      <c r="Z159" s="12">
        <v>0.41100794429491083</v>
      </c>
      <c r="AA159" s="12">
        <v>0.4127000520415488</v>
      </c>
      <c r="AB159" s="12">
        <v>0.41439912614654062</v>
      </c>
      <c r="AC159" s="12">
        <v>0.41610519529018092</v>
      </c>
      <c r="AD159" s="12">
        <v>0.41781828827084017</v>
      </c>
      <c r="AE159" s="12">
        <v>0.4195384340054511</v>
      </c>
      <c r="AF159" s="12">
        <v>0.4212656615299965</v>
      </c>
      <c r="AG159" s="12">
        <v>0.42299999999999938</v>
      </c>
    </row>
    <row r="160" spans="1:33" ht="15" hidden="1" thickBot="1" x14ac:dyDescent="0.4">
      <c r="A160" s="154"/>
      <c r="B160" s="55" t="s">
        <v>29</v>
      </c>
      <c r="C160" s="40"/>
      <c r="D160" s="90" t="e">
        <f t="shared" ref="D160:Q160" si="157">D142*T160</f>
        <v>#REF!</v>
      </c>
      <c r="E160" s="90" t="e">
        <f t="shared" si="157"/>
        <v>#REF!</v>
      </c>
      <c r="F160" s="90" t="e">
        <f t="shared" si="157"/>
        <v>#REF!</v>
      </c>
      <c r="G160" s="90" t="e">
        <f t="shared" si="157"/>
        <v>#REF!</v>
      </c>
      <c r="H160" s="90" t="e">
        <f t="shared" si="157"/>
        <v>#REF!</v>
      </c>
      <c r="I160" s="90" t="e">
        <f t="shared" si="157"/>
        <v>#REF!</v>
      </c>
      <c r="J160" s="90" t="e">
        <f t="shared" si="157"/>
        <v>#REF!</v>
      </c>
      <c r="K160" s="90" t="e">
        <f t="shared" si="157"/>
        <v>#REF!</v>
      </c>
      <c r="L160" s="90" t="e">
        <f t="shared" si="157"/>
        <v>#REF!</v>
      </c>
      <c r="M160" s="90" t="e">
        <f t="shared" si="157"/>
        <v>#REF!</v>
      </c>
      <c r="N160" s="90" t="e">
        <f t="shared" si="157"/>
        <v>#REF!</v>
      </c>
      <c r="O160" s="90" t="e">
        <f t="shared" si="157"/>
        <v>#REF!</v>
      </c>
      <c r="P160" s="90" t="e">
        <f t="shared" si="157"/>
        <v>#REF!</v>
      </c>
      <c r="Q160" s="90" t="e">
        <f t="shared" si="157"/>
        <v>#REF!</v>
      </c>
      <c r="R160" s="76" t="e">
        <f>RATE(12,,-E160,Q160)</f>
        <v>#REF!</v>
      </c>
      <c r="S160" s="55"/>
      <c r="T160" s="12">
        <v>0.43099999999999999</v>
      </c>
      <c r="U160" s="12">
        <v>0.43183634674261745</v>
      </c>
      <c r="V160" s="12">
        <v>0.43267431639909548</v>
      </c>
      <c r="W160" s="12">
        <v>0.43351391211866536</v>
      </c>
      <c r="X160" s="12">
        <v>0.43435513705666956</v>
      </c>
      <c r="Y160" s="12">
        <v>0.43519799437457324</v>
      </c>
      <c r="Z160" s="12">
        <v>0.43604248723997657</v>
      </c>
      <c r="AA160" s="12">
        <v>0.43688861882662616</v>
      </c>
      <c r="AB160" s="12">
        <v>0.43773639231442729</v>
      </c>
      <c r="AC160" s="12">
        <v>0.43858581088945586</v>
      </c>
      <c r="AD160" s="12">
        <v>0.43943687774397006</v>
      </c>
      <c r="AE160" s="12">
        <v>0.44028959607642287</v>
      </c>
      <c r="AF160" s="12">
        <v>0.44114396909147369</v>
      </c>
      <c r="AG160" s="12">
        <v>0.44200000000000028</v>
      </c>
    </row>
    <row r="161" spans="1:33" ht="15" hidden="1" thickBot="1" x14ac:dyDescent="0.4">
      <c r="A161" s="153"/>
      <c r="B161" s="56" t="s">
        <v>30</v>
      </c>
      <c r="C161" s="44"/>
      <c r="D161" s="85" t="e">
        <f t="shared" ref="D161:Q161" si="158">D142*T161</f>
        <v>#REF!</v>
      </c>
      <c r="E161" s="85" t="e">
        <f t="shared" si="158"/>
        <v>#REF!</v>
      </c>
      <c r="F161" s="85" t="e">
        <f t="shared" si="158"/>
        <v>#REF!</v>
      </c>
      <c r="G161" s="85" t="e">
        <f t="shared" si="158"/>
        <v>#REF!</v>
      </c>
      <c r="H161" s="85" t="e">
        <f t="shared" si="158"/>
        <v>#REF!</v>
      </c>
      <c r="I161" s="85" t="e">
        <f t="shared" si="158"/>
        <v>#REF!</v>
      </c>
      <c r="J161" s="85" t="e">
        <f t="shared" si="158"/>
        <v>#REF!</v>
      </c>
      <c r="K161" s="85" t="e">
        <f t="shared" si="158"/>
        <v>#REF!</v>
      </c>
      <c r="L161" s="85" t="e">
        <f t="shared" si="158"/>
        <v>#REF!</v>
      </c>
      <c r="M161" s="85" t="e">
        <f t="shared" si="158"/>
        <v>#REF!</v>
      </c>
      <c r="N161" s="85" t="e">
        <f t="shared" si="158"/>
        <v>#REF!</v>
      </c>
      <c r="O161" s="85" t="e">
        <f t="shared" si="158"/>
        <v>#REF!</v>
      </c>
      <c r="P161" s="85" t="e">
        <f t="shared" si="158"/>
        <v>#REF!</v>
      </c>
      <c r="Q161" s="85" t="e">
        <f t="shared" si="158"/>
        <v>#REF!</v>
      </c>
      <c r="R161" s="72" t="e">
        <f>RATE(12,,-E161,Q161)</f>
        <v>#REF!</v>
      </c>
      <c r="S161" s="56"/>
      <c r="T161" s="12">
        <f>1-SUM(T159:T160)</f>
        <v>0.16800000000000004</v>
      </c>
      <c r="U161" s="12">
        <f t="shared" ref="U161:AG161" si="159">1-SUM(U159:U160)</f>
        <v>0.16551274792618309</v>
      </c>
      <c r="V161" s="12">
        <f t="shared" si="159"/>
        <v>0.16301707620929717</v>
      </c>
      <c r="W161" s="12">
        <f t="shared" si="159"/>
        <v>0.16051295371817442</v>
      </c>
      <c r="X161" s="12">
        <f t="shared" si="159"/>
        <v>0.15800034920033545</v>
      </c>
      <c r="Y161" s="12">
        <f t="shared" si="159"/>
        <v>0.15547923128150276</v>
      </c>
      <c r="Z161" s="12">
        <f t="shared" si="159"/>
        <v>0.15294956846511254</v>
      </c>
      <c r="AA161" s="12">
        <f t="shared" si="159"/>
        <v>0.15041132913182498</v>
      </c>
      <c r="AB161" s="12">
        <f t="shared" si="159"/>
        <v>0.14786448153903209</v>
      </c>
      <c r="AC161" s="12">
        <f t="shared" si="159"/>
        <v>0.14530899382036322</v>
      </c>
      <c r="AD161" s="12">
        <f t="shared" si="159"/>
        <v>0.14274483398518978</v>
      </c>
      <c r="AE161" s="12">
        <f t="shared" si="159"/>
        <v>0.14017196991812608</v>
      </c>
      <c r="AF161" s="12">
        <f t="shared" si="159"/>
        <v>0.13759036937852986</v>
      </c>
      <c r="AG161" s="12">
        <f t="shared" si="159"/>
        <v>0.13500000000000034</v>
      </c>
    </row>
    <row r="162" spans="1:33" ht="15.5" x14ac:dyDescent="0.35">
      <c r="A162" s="42"/>
      <c r="B162" s="43"/>
      <c r="C162" s="93"/>
      <c r="D162" s="91">
        <v>2023</v>
      </c>
      <c r="E162" s="65">
        <v>2024</v>
      </c>
      <c r="F162" s="65">
        <v>2025</v>
      </c>
      <c r="G162" s="65">
        <v>2026</v>
      </c>
      <c r="H162" s="65">
        <v>2027</v>
      </c>
      <c r="I162" s="65">
        <v>2028</v>
      </c>
      <c r="J162" s="65">
        <v>2029</v>
      </c>
      <c r="K162" s="65">
        <v>2030</v>
      </c>
      <c r="L162" s="65">
        <v>2031</v>
      </c>
      <c r="M162" s="65">
        <v>2032</v>
      </c>
      <c r="N162" s="65">
        <v>2033</v>
      </c>
      <c r="O162" s="65">
        <v>2034</v>
      </c>
      <c r="P162" s="65">
        <v>2035</v>
      </c>
      <c r="Q162" s="65">
        <v>2036</v>
      </c>
      <c r="R162" s="66" t="s">
        <v>84</v>
      </c>
    </row>
    <row r="163" spans="1:33" ht="16" thickBot="1" x14ac:dyDescent="0.4">
      <c r="A163" s="1"/>
      <c r="C163" s="21"/>
      <c r="D163" s="92">
        <f>'Market Analysis '!C41</f>
        <v>127.34475</v>
      </c>
      <c r="E163" s="92">
        <f>'Market Analysis '!D41</f>
        <v>146.70115200000001</v>
      </c>
      <c r="F163" s="92">
        <f>'Market Analysis '!E41</f>
        <v>169.4479317383352</v>
      </c>
      <c r="G163" s="92">
        <f>'Market Analysis '!F41</f>
        <v>196.24982543788877</v>
      </c>
      <c r="H163" s="92">
        <f>'Market Analysis '!G41</f>
        <v>227.91495704056385</v>
      </c>
      <c r="I163" s="92">
        <f>'Market Analysis '!H41</f>
        <v>265.42846305385257</v>
      </c>
      <c r="J163" s="92">
        <f>'Market Analysis '!I41</f>
        <v>309.99461439020149</v>
      </c>
      <c r="K163" s="92">
        <f>'Market Analysis '!J41</f>
        <v>363.08973323983275</v>
      </c>
      <c r="L163" s="92">
        <f>'Market Analysis '!K41</f>
        <v>426.52886455947583</v>
      </c>
      <c r="M163" s="92">
        <f>'Market Analysis '!L41</f>
        <v>502.55002509459797</v>
      </c>
      <c r="N163" s="92">
        <f>'Market Analysis '!M41</f>
        <v>593.9209829589995</v>
      </c>
      <c r="O163" s="92">
        <f>'Market Analysis '!N41</f>
        <v>704.07500466660599</v>
      </c>
      <c r="P163" s="92">
        <f>'Market Analysis '!O41</f>
        <v>837.28396098238932</v>
      </c>
      <c r="Q163" s="92">
        <f>'Market Analysis '!P41</f>
        <v>998.87976545199035</v>
      </c>
      <c r="R163" s="68">
        <f>RATE(12,,-E163,Q163)</f>
        <v>0.17333846348258691</v>
      </c>
      <c r="T163" s="65">
        <v>2023</v>
      </c>
      <c r="U163" s="65">
        <v>2024</v>
      </c>
      <c r="V163" s="65">
        <v>2025</v>
      </c>
      <c r="W163" s="65">
        <v>2026</v>
      </c>
      <c r="X163" s="65">
        <v>2027</v>
      </c>
      <c r="Y163" s="65">
        <v>2028</v>
      </c>
      <c r="Z163" s="65">
        <v>2029</v>
      </c>
      <c r="AA163" s="65">
        <v>2030</v>
      </c>
      <c r="AB163" s="65">
        <v>2031</v>
      </c>
      <c r="AC163" s="65">
        <v>2032</v>
      </c>
      <c r="AD163" s="65">
        <v>2033</v>
      </c>
      <c r="AE163" s="65">
        <v>2034</v>
      </c>
      <c r="AF163" s="65">
        <v>2035</v>
      </c>
      <c r="AG163" s="65">
        <v>2036</v>
      </c>
    </row>
    <row r="164" spans="1:33" s="121" customFormat="1" x14ac:dyDescent="0.35">
      <c r="A164" s="147" t="s">
        <v>59</v>
      </c>
      <c r="B164" s="118" t="s">
        <v>60</v>
      </c>
      <c r="C164" s="119"/>
      <c r="D164" s="120">
        <f>D163*T164</f>
        <v>44.57066249999999</v>
      </c>
      <c r="E164" s="120">
        <f t="shared" ref="E164" si="160">E163*U164</f>
        <v>51.875522924205328</v>
      </c>
      <c r="F164" s="120">
        <f>F163*V164</f>
        <v>60.537733141822443</v>
      </c>
      <c r="G164" s="120">
        <f t="shared" ref="G164:Q164" si="161">G163*W164</f>
        <v>70.836986992343626</v>
      </c>
      <c r="H164" s="120">
        <f t="shared" si="161"/>
        <v>83.115983322602773</v>
      </c>
      <c r="I164" s="120">
        <f t="shared" si="161"/>
        <v>97.795783777438245</v>
      </c>
      <c r="J164" s="120">
        <f t="shared" si="161"/>
        <v>115.39519015205018</v>
      </c>
      <c r="K164" s="120">
        <f t="shared" si="161"/>
        <v>136.5552640235523</v>
      </c>
      <c r="L164" s="120">
        <f t="shared" si="161"/>
        <v>162.07044438243267</v>
      </c>
      <c r="M164" s="120">
        <f t="shared" si="161"/>
        <v>192.92815644115745</v>
      </c>
      <c r="N164" s="120">
        <f t="shared" si="161"/>
        <v>230.35938123551378</v>
      </c>
      <c r="O164" s="120">
        <f t="shared" si="161"/>
        <v>275.90341757575925</v>
      </c>
      <c r="P164" s="120">
        <f t="shared" si="161"/>
        <v>331.49107822852795</v>
      </c>
      <c r="Q164" s="120">
        <f t="shared" si="161"/>
        <v>399.55190618079627</v>
      </c>
      <c r="R164" s="68">
        <f>RATE(9,,-H164,Q164)</f>
        <v>0.190598707168951</v>
      </c>
      <c r="S164" s="118" t="s">
        <v>60</v>
      </c>
      <c r="T164" s="116">
        <v>0.34999999999999992</v>
      </c>
      <c r="U164" s="116">
        <v>0.35361360300841621</v>
      </c>
      <c r="V164" s="116">
        <v>0.35726451495026795</v>
      </c>
      <c r="W164" s="116">
        <v>0.36095312102462412</v>
      </c>
      <c r="X164" s="116">
        <v>0.36467981040757214</v>
      </c>
      <c r="Y164" s="116">
        <v>0.36844497629327921</v>
      </c>
      <c r="Z164" s="116">
        <v>0.37224901593547705</v>
      </c>
      <c r="AA164" s="116">
        <v>0.37609233068937542</v>
      </c>
      <c r="AB164" s="116">
        <v>0.37997532605400802</v>
      </c>
      <c r="AC164" s="116">
        <v>0.38389841171501571</v>
      </c>
      <c r="AD164" s="116">
        <v>0.38786200158787171</v>
      </c>
      <c r="AE164" s="116">
        <v>0.39186651386155258</v>
      </c>
      <c r="AF164" s="116">
        <v>0.39591237104266019</v>
      </c>
      <c r="AG164" s="116">
        <v>0.40000000000000013</v>
      </c>
    </row>
    <row r="165" spans="1:33" s="117" customFormat="1" x14ac:dyDescent="0.35">
      <c r="A165" s="148"/>
      <c r="B165" s="113" t="s">
        <v>61</v>
      </c>
      <c r="C165" s="114"/>
      <c r="D165" s="115">
        <f>D163*T165</f>
        <v>38.20342500000001</v>
      </c>
      <c r="E165" s="115">
        <f t="shared" ref="E165:Q165" si="162">E163*U165</f>
        <v>44.032845859000076</v>
      </c>
      <c r="F165" s="115">
        <f t="shared" si="162"/>
        <v>50.886370891703557</v>
      </c>
      <c r="G165" s="115">
        <f t="shared" si="162"/>
        <v>58.965293134482046</v>
      </c>
      <c r="H165" s="115">
        <f t="shared" si="162"/>
        <v>68.514420015907987</v>
      </c>
      <c r="I165" s="115">
        <f t="shared" si="162"/>
        <v>79.832297331875608</v>
      </c>
      <c r="J165" s="115">
        <f t="shared" si="162"/>
        <v>93.284021339843051</v>
      </c>
      <c r="K165" s="115">
        <f t="shared" si="162"/>
        <v>109.31734006171523</v>
      </c>
      <c r="L165" s="115">
        <f t="shared" si="162"/>
        <v>128.48294700917748</v>
      </c>
      <c r="M165" s="115">
        <f t="shared" si="162"/>
        <v>151.46013441015697</v>
      </c>
      <c r="N165" s="115">
        <f t="shared" si="162"/>
        <v>179.0893185270485</v>
      </c>
      <c r="O165" s="115">
        <f t="shared" si="162"/>
        <v>212.41340347592549</v>
      </c>
      <c r="P165" s="115">
        <f t="shared" si="162"/>
        <v>252.7305478974242</v>
      </c>
      <c r="Q165" s="115">
        <f t="shared" si="162"/>
        <v>301.66168916650139</v>
      </c>
      <c r="R165" s="68">
        <f>RATE(9,,-H165,Q165)</f>
        <v>0.17903436528273922</v>
      </c>
      <c r="S165" s="113" t="s">
        <v>61</v>
      </c>
      <c r="T165" s="116">
        <v>0.30000000000000004</v>
      </c>
      <c r="U165" s="116">
        <v>0.30015337479422161</v>
      </c>
      <c r="V165" s="116">
        <v>0.30030682800120145</v>
      </c>
      <c r="W165" s="116">
        <v>0.30046035966102813</v>
      </c>
      <c r="X165" s="116">
        <v>0.30061396981381056</v>
      </c>
      <c r="Y165" s="116">
        <v>0.30076765849967829</v>
      </c>
      <c r="Z165" s="116">
        <v>0.30092142575878128</v>
      </c>
      <c r="AA165" s="116">
        <v>0.30107527163128989</v>
      </c>
      <c r="AB165" s="116">
        <v>0.30122919615739541</v>
      </c>
      <c r="AC165" s="116">
        <v>0.30138319937730923</v>
      </c>
      <c r="AD165" s="116">
        <v>0.30153728133126367</v>
      </c>
      <c r="AE165" s="116">
        <v>0.30169144205951126</v>
      </c>
      <c r="AF165" s="116">
        <v>0.3018456816023255</v>
      </c>
      <c r="AG165" s="116">
        <v>0.30200000000000032</v>
      </c>
    </row>
    <row r="166" spans="1:33" s="117" customFormat="1" x14ac:dyDescent="0.35">
      <c r="A166" s="148"/>
      <c r="B166" s="113" t="s">
        <v>62</v>
      </c>
      <c r="C166" s="114"/>
      <c r="D166" s="115">
        <f>D163*T166</f>
        <v>19.101712500000001</v>
      </c>
      <c r="E166" s="115">
        <f t="shared" ref="E166:Q166" si="163">E163*U166</f>
        <v>22.038718361257303</v>
      </c>
      <c r="F166" s="115">
        <f t="shared" si="163"/>
        <v>25.494742779614235</v>
      </c>
      <c r="G166" s="115">
        <f t="shared" si="163"/>
        <v>29.572306120911538</v>
      </c>
      <c r="H166" s="115">
        <f t="shared" si="163"/>
        <v>34.396186309699921</v>
      </c>
      <c r="I166" s="115">
        <f t="shared" si="163"/>
        <v>40.118668405269013</v>
      </c>
      <c r="J166" s="115">
        <f t="shared" si="163"/>
        <v>46.926127676281219</v>
      </c>
      <c r="K166" s="115">
        <f t="shared" si="163"/>
        <v>55.047308551778194</v>
      </c>
      <c r="L166" s="115">
        <f t="shared" si="163"/>
        <v>64.763766607898134</v>
      </c>
      <c r="M166" s="115">
        <f t="shared" si="163"/>
        <v>76.423077625718932</v>
      </c>
      <c r="N166" s="115">
        <f t="shared" si="163"/>
        <v>90.455597100958528</v>
      </c>
      <c r="O166" s="115">
        <f t="shared" si="163"/>
        <v>107.3957893036449</v>
      </c>
      <c r="P166" s="115">
        <f t="shared" si="163"/>
        <v>127.90945576493689</v>
      </c>
      <c r="Q166" s="115">
        <f t="shared" si="163"/>
        <v>152.8286041141543</v>
      </c>
      <c r="R166" s="68">
        <f>RATE(9,,-H166,Q166)</f>
        <v>0.18022834126554227</v>
      </c>
      <c r="S166" s="113" t="s">
        <v>62</v>
      </c>
      <c r="T166" s="116">
        <v>0.15</v>
      </c>
      <c r="U166" s="116">
        <v>0.15022866597023929</v>
      </c>
      <c r="V166" s="116">
        <v>0.15045768052798492</v>
      </c>
      <c r="W166" s="116">
        <v>0.15068704420463749</v>
      </c>
      <c r="X166" s="116">
        <v>0.15091675753240782</v>
      </c>
      <c r="Y166" s="116">
        <v>0.15114682104431795</v>
      </c>
      <c r="Z166" s="116">
        <v>0.15137723527420252</v>
      </c>
      <c r="AA166" s="116">
        <v>0.15160800075670999</v>
      </c>
      <c r="AB166" s="116">
        <v>0.15183911802730382</v>
      </c>
      <c r="AC166" s="116">
        <v>0.1520705876222638</v>
      </c>
      <c r="AD166" s="116">
        <v>0.15230241007868719</v>
      </c>
      <c r="AE166" s="116">
        <v>0.15253458593449007</v>
      </c>
      <c r="AF166" s="116">
        <v>0.15276711572840845</v>
      </c>
      <c r="AG166" s="116">
        <v>0.15299999999999978</v>
      </c>
    </row>
    <row r="167" spans="1:33" s="117" customFormat="1" x14ac:dyDescent="0.35">
      <c r="A167" s="148"/>
      <c r="B167" s="113" t="s">
        <v>63</v>
      </c>
      <c r="C167" s="114"/>
      <c r="D167" s="115">
        <f>D163*T167</f>
        <v>15.281370000000004</v>
      </c>
      <c r="E167" s="115">
        <f t="shared" ref="E167:Q167" si="164">E163*U167</f>
        <v>17.626535869686521</v>
      </c>
      <c r="F167" s="115">
        <f t="shared" si="164"/>
        <v>20.385525721740809</v>
      </c>
      <c r="G167" s="115">
        <f t="shared" si="164"/>
        <v>23.639980916194592</v>
      </c>
      <c r="H167" s="115">
        <f t="shared" si="164"/>
        <v>27.489248560753516</v>
      </c>
      <c r="I167" s="115">
        <f t="shared" si="164"/>
        <v>32.05455354765909</v>
      </c>
      <c r="J167" s="115">
        <f t="shared" si="164"/>
        <v>37.484229459932095</v>
      </c>
      <c r="K167" s="115">
        <f t="shared" si="164"/>
        <v>43.960295867042994</v>
      </c>
      <c r="L167" s="115">
        <f t="shared" si="164"/>
        <v>51.706752605650038</v>
      </c>
      <c r="M167" s="115">
        <f t="shared" si="164"/>
        <v>61.000070145231952</v>
      </c>
      <c r="N167" s="115">
        <f t="shared" si="164"/>
        <v>72.18249728587638</v>
      </c>
      <c r="O167" s="115">
        <f t="shared" si="164"/>
        <v>85.678994232653224</v>
      </c>
      <c r="P167" s="115">
        <f t="shared" si="164"/>
        <v>102.01884533167585</v>
      </c>
      <c r="Q167" s="115">
        <f t="shared" si="164"/>
        <v>121.86333138514267</v>
      </c>
      <c r="R167" s="68">
        <f>RATE(9,,-H167,Q167)</f>
        <v>0.17993120395752926</v>
      </c>
      <c r="S167" s="113" t="s">
        <v>63</v>
      </c>
      <c r="T167" s="116">
        <v>0.12000000000000002</v>
      </c>
      <c r="U167" s="116">
        <v>0.12015267521339246</v>
      </c>
      <c r="V167" s="116">
        <v>0.12030554467445809</v>
      </c>
      <c r="W167" s="116">
        <v>0.12045860863033696</v>
      </c>
      <c r="X167" s="116">
        <v>0.12061186732848356</v>
      </c>
      <c r="Y167" s="116">
        <v>0.12076532101666719</v>
      </c>
      <c r="Z167" s="116">
        <v>0.1209189699429724</v>
      </c>
      <c r="AA167" s="116">
        <v>0.12107281435579939</v>
      </c>
      <c r="AB167" s="116">
        <v>0.12122685450386435</v>
      </c>
      <c r="AC167" s="116">
        <v>0.12138109063619994</v>
      </c>
      <c r="AD167" s="116">
        <v>0.12153552300215566</v>
      </c>
      <c r="AE167" s="116">
        <v>0.12169015185139827</v>
      </c>
      <c r="AF167" s="116">
        <v>0.12184497743391219</v>
      </c>
      <c r="AG167" s="116">
        <v>0.12199999999999984</v>
      </c>
    </row>
    <row r="168" spans="1:33" s="117" customFormat="1" x14ac:dyDescent="0.35">
      <c r="A168" s="148"/>
      <c r="B168" s="113" t="s">
        <v>64</v>
      </c>
      <c r="C168" s="114"/>
      <c r="D168" s="115">
        <f>D163*T168</f>
        <v>10.187580000000009</v>
      </c>
      <c r="E168" s="115">
        <f t="shared" ref="E168:G168" si="165">E163*U168</f>
        <v>11.127528985850779</v>
      </c>
      <c r="F168" s="115">
        <f t="shared" si="165"/>
        <v>12.143559203454172</v>
      </c>
      <c r="G168" s="115">
        <f t="shared" si="165"/>
        <v>13.235258273956976</v>
      </c>
      <c r="H168" s="115">
        <f>H163*X168</f>
        <v>14.399118831599617</v>
      </c>
      <c r="I168" s="115">
        <f t="shared" ref="I168:Q168" si="166">I163*Y168</f>
        <v>15.627159991610627</v>
      </c>
      <c r="J168" s="115">
        <f t="shared" si="166"/>
        <v>16.905045762094961</v>
      </c>
      <c r="K168" s="115">
        <f t="shared" si="166"/>
        <v>18.209524735744036</v>
      </c>
      <c r="L168" s="115">
        <f t="shared" si="166"/>
        <v>19.504953954317546</v>
      </c>
      <c r="M168" s="115">
        <f t="shared" si="166"/>
        <v>20.738586472332642</v>
      </c>
      <c r="N168" s="115">
        <f t="shared" si="166"/>
        <v>21.834188809602367</v>
      </c>
      <c r="O168" s="115">
        <f t="shared" si="166"/>
        <v>22.683400078623073</v>
      </c>
      <c r="P168" s="115">
        <f t="shared" si="166"/>
        <v>23.134033759824462</v>
      </c>
      <c r="Q168" s="115">
        <f t="shared" si="166"/>
        <v>22.974234605395687</v>
      </c>
      <c r="R168" s="68">
        <f>RATE(9,,-H168,Q168)</f>
        <v>5.3282855370224792E-2</v>
      </c>
      <c r="S168" s="113" t="s">
        <v>64</v>
      </c>
      <c r="T168" s="116">
        <f>1-SUM(T164:T167)</f>
        <v>8.0000000000000071E-2</v>
      </c>
      <c r="U168" s="116">
        <f t="shared" ref="U168:AG168" si="167">1-SUM(U164:U167)</f>
        <v>7.585168101373041E-2</v>
      </c>
      <c r="V168" s="116">
        <f t="shared" si="167"/>
        <v>7.1665431846087646E-2</v>
      </c>
      <c r="W168" s="116">
        <f t="shared" si="167"/>
        <v>6.7440866479373307E-2</v>
      </c>
      <c r="X168" s="116">
        <f t="shared" si="167"/>
        <v>6.3177594917725788E-2</v>
      </c>
      <c r="Y168" s="116">
        <f t="shared" si="167"/>
        <v>5.887522314605742E-2</v>
      </c>
      <c r="Z168" s="116">
        <f t="shared" si="167"/>
        <v>5.4533353088566772E-2</v>
      </c>
      <c r="AA168" s="116">
        <f t="shared" si="167"/>
        <v>5.0151582566825281E-2</v>
      </c>
      <c r="AB168" s="116">
        <f t="shared" si="167"/>
        <v>4.5729505257428471E-2</v>
      </c>
      <c r="AC168" s="116">
        <f t="shared" si="167"/>
        <v>4.126671064921128E-2</v>
      </c>
      <c r="AD168" s="116">
        <f t="shared" si="167"/>
        <v>3.6762784000021864E-2</v>
      </c>
      <c r="AE168" s="116">
        <f t="shared" si="167"/>
        <v>3.2217306293047754E-2</v>
      </c>
      <c r="AF168" s="116">
        <f t="shared" si="167"/>
        <v>2.7629854192693704E-2</v>
      </c>
      <c r="AG168" s="116">
        <f t="shared" si="167"/>
        <v>2.2999999999999909E-2</v>
      </c>
    </row>
    <row r="169" spans="1:33" x14ac:dyDescent="0.35">
      <c r="A169" s="1"/>
      <c r="D169" s="81" t="b">
        <f>D163=SUM(D164:D168)</f>
        <v>1</v>
      </c>
      <c r="E169" s="81" t="b">
        <f t="shared" ref="E169:Q169" si="168">E163=SUM(E164:E168)</f>
        <v>1</v>
      </c>
      <c r="F169" s="81" t="b">
        <f t="shared" si="168"/>
        <v>1</v>
      </c>
      <c r="G169" s="81" t="b">
        <f t="shared" si="168"/>
        <v>1</v>
      </c>
      <c r="H169" s="81" t="b">
        <f t="shared" si="168"/>
        <v>1</v>
      </c>
      <c r="I169" s="81" t="b">
        <f t="shared" si="168"/>
        <v>1</v>
      </c>
      <c r="J169" s="81" t="b">
        <f t="shared" si="168"/>
        <v>0</v>
      </c>
      <c r="K169" s="81" t="b">
        <f t="shared" si="168"/>
        <v>1</v>
      </c>
      <c r="L169" s="81" t="b">
        <f t="shared" si="168"/>
        <v>1</v>
      </c>
      <c r="M169" s="81" t="b">
        <f t="shared" si="168"/>
        <v>1</v>
      </c>
      <c r="N169" s="81" t="b">
        <f t="shared" si="168"/>
        <v>1</v>
      </c>
      <c r="O169" s="81" t="b">
        <f t="shared" si="168"/>
        <v>1</v>
      </c>
      <c r="P169" s="81" t="b">
        <f t="shared" si="168"/>
        <v>1</v>
      </c>
      <c r="Q169" s="81" t="b">
        <f t="shared" si="168"/>
        <v>1</v>
      </c>
      <c r="R169" s="21"/>
    </row>
    <row r="170" spans="1:33" s="117" customFormat="1" x14ac:dyDescent="0.35">
      <c r="A170" s="149" t="s">
        <v>65</v>
      </c>
      <c r="B170" s="122" t="s">
        <v>66</v>
      </c>
      <c r="C170" s="123"/>
      <c r="D170" s="124">
        <f>D163*T170</f>
        <v>89.141325000000009</v>
      </c>
      <c r="E170" s="124">
        <f t="shared" ref="E170:Q170" si="169">E163*U170</f>
        <v>102.7470447556762</v>
      </c>
      <c r="F170" s="124">
        <f t="shared" si="169"/>
        <v>118.74350460397585</v>
      </c>
      <c r="G170" s="124">
        <f t="shared" si="169"/>
        <v>137.60070042675002</v>
      </c>
      <c r="H170" s="124">
        <f t="shared" si="169"/>
        <v>159.89024483732749</v>
      </c>
      <c r="I170" s="124">
        <f t="shared" si="169"/>
        <v>186.30924593973333</v>
      </c>
      <c r="J170" s="124">
        <f t="shared" si="169"/>
        <v>217.71023156097507</v>
      </c>
      <c r="K170" s="124">
        <f t="shared" si="169"/>
        <v>255.13875678743119</v>
      </c>
      <c r="L170" s="124">
        <f t="shared" si="169"/>
        <v>299.88080487343814</v>
      </c>
      <c r="M170" s="124">
        <f t="shared" si="169"/>
        <v>353.52270809030421</v>
      </c>
      <c r="N170" s="124">
        <f t="shared" si="169"/>
        <v>418.02712236504669</v>
      </c>
      <c r="O170" s="124">
        <f t="shared" si="169"/>
        <v>495.82964992002701</v>
      </c>
      <c r="P170" s="124">
        <f t="shared" si="169"/>
        <v>589.96210126709377</v>
      </c>
      <c r="Q170" s="124">
        <f t="shared" si="169"/>
        <v>704.21023464365453</v>
      </c>
      <c r="R170" s="68">
        <f>RATE(9,,-H170,Q170)</f>
        <v>0.17907725797722931</v>
      </c>
      <c r="S170" s="122" t="s">
        <v>66</v>
      </c>
      <c r="T170" s="116">
        <v>0.70000000000000007</v>
      </c>
      <c r="U170" s="116">
        <v>0.70038335319736411</v>
      </c>
      <c r="V170" s="116">
        <v>0.70076691633711929</v>
      </c>
      <c r="W170" s="116">
        <v>0.70115068953424042</v>
      </c>
      <c r="X170" s="116">
        <v>0.70153467290376448</v>
      </c>
      <c r="Y170" s="116">
        <v>0.70191886656079228</v>
      </c>
      <c r="Z170" s="116">
        <v>0.70230327062048659</v>
      </c>
      <c r="AA170" s="116">
        <v>0.70268788519807479</v>
      </c>
      <c r="AB170" s="116">
        <v>0.70307271040884567</v>
      </c>
      <c r="AC170" s="116">
        <v>0.70345774636815217</v>
      </c>
      <c r="AD170" s="116">
        <v>0.70384299319141008</v>
      </c>
      <c r="AE170" s="116">
        <v>0.70422845099409903</v>
      </c>
      <c r="AF170" s="116">
        <v>0.70461411989176093</v>
      </c>
      <c r="AG170" s="116">
        <v>0.70500000000000129</v>
      </c>
    </row>
    <row r="171" spans="1:33" s="117" customFormat="1" x14ac:dyDescent="0.35">
      <c r="A171" s="149"/>
      <c r="B171" s="122" t="s">
        <v>67</v>
      </c>
      <c r="C171" s="123"/>
      <c r="D171" s="124">
        <f>D163*T171</f>
        <v>25.468950000000007</v>
      </c>
      <c r="E171" s="124">
        <f t="shared" ref="E171:Q171" si="170">E163*U171</f>
        <v>29.362696304393896</v>
      </c>
      <c r="F171" s="124">
        <f t="shared" si="170"/>
        <v>33.941504937560438</v>
      </c>
      <c r="G171" s="124">
        <f t="shared" si="170"/>
        <v>39.340195598003582</v>
      </c>
      <c r="H171" s="124">
        <f t="shared" si="170"/>
        <v>45.722763987390351</v>
      </c>
      <c r="I171" s="124">
        <f t="shared" si="170"/>
        <v>53.289243479366341</v>
      </c>
      <c r="J171" s="124">
        <f t="shared" si="170"/>
        <v>62.284305277922549</v>
      </c>
      <c r="K171" s="124">
        <f t="shared" si="170"/>
        <v>73.008068376715968</v>
      </c>
      <c r="L171" s="124">
        <f t="shared" si="170"/>
        <v>85.829726610461279</v>
      </c>
      <c r="M171" s="124">
        <f t="shared" si="170"/>
        <v>101.20477763406903</v>
      </c>
      <c r="N171" s="124">
        <f t="shared" si="170"/>
        <v>119.69687118472115</v>
      </c>
      <c r="O171" s="124">
        <f t="shared" si="170"/>
        <v>142.00559943865616</v>
      </c>
      <c r="P171" s="124">
        <f t="shared" si="170"/>
        <v>169.00195480337788</v>
      </c>
      <c r="Q171" s="124">
        <f t="shared" si="170"/>
        <v>201.77371262130237</v>
      </c>
      <c r="R171" s="68">
        <f>RATE(9,,-H171,Q171)</f>
        <v>0.17933422169977281</v>
      </c>
      <c r="S171" s="122" t="s">
        <v>67</v>
      </c>
      <c r="T171" s="116">
        <v>0.20000000000000004</v>
      </c>
      <c r="U171" s="116">
        <v>0.2001531406133327</v>
      </c>
      <c r="V171" s="116">
        <v>0.2003063984869026</v>
      </c>
      <c r="W171" s="116">
        <v>0.20045977371049628</v>
      </c>
      <c r="X171" s="116">
        <v>0.20061326637396906</v>
      </c>
      <c r="Y171" s="116">
        <v>0.2007668765672449</v>
      </c>
      <c r="Z171" s="116">
        <v>0.20092060438031684</v>
      </c>
      <c r="AA171" s="116">
        <v>0.20107444990324672</v>
      </c>
      <c r="AB171" s="116">
        <v>0.20122841322616528</v>
      </c>
      <c r="AC171" s="116">
        <v>0.20138249443927231</v>
      </c>
      <c r="AD171" s="116">
        <v>0.20153669363283677</v>
      </c>
      <c r="AE171" s="116">
        <v>0.2016910108971966</v>
      </c>
      <c r="AF171" s="116">
        <v>0.20184544632275897</v>
      </c>
      <c r="AG171" s="116">
        <v>0.20200000000000032</v>
      </c>
    </row>
    <row r="172" spans="1:33" s="117" customFormat="1" x14ac:dyDescent="0.35">
      <c r="A172" s="149"/>
      <c r="B172" s="122" t="s">
        <v>68</v>
      </c>
      <c r="C172" s="123"/>
      <c r="D172" s="124">
        <f>D163*T172</f>
        <v>12.734474999999984</v>
      </c>
      <c r="E172" s="124">
        <f t="shared" ref="E172:L172" si="171">E163*U172</f>
        <v>14.591410939929913</v>
      </c>
      <c r="F172" s="124">
        <f t="shared" si="171"/>
        <v>16.762922196798918</v>
      </c>
      <c r="G172" s="124">
        <f t="shared" si="171"/>
        <v>19.308929413135164</v>
      </c>
      <c r="H172" s="124">
        <f t="shared" si="171"/>
        <v>22.301948215846011</v>
      </c>
      <c r="I172" s="124">
        <f t="shared" si="171"/>
        <v>25.829973634752903</v>
      </c>
      <c r="J172" s="124">
        <f t="shared" si="171"/>
        <v>30.000077551303864</v>
      </c>
      <c r="K172" s="124">
        <f t="shared" si="171"/>
        <v>34.94290807568558</v>
      </c>
      <c r="L172" s="124">
        <f t="shared" si="171"/>
        <v>40.818333075576454</v>
      </c>
      <c r="M172" s="124">
        <f>M163*AC172</f>
        <v>47.822539370224703</v>
      </c>
      <c r="N172" s="124">
        <f t="shared" ref="N172:Q172" si="172">N163*AD172</f>
        <v>56.196989409231684</v>
      </c>
      <c r="O172" s="124">
        <f t="shared" si="172"/>
        <v>66.239755307922877</v>
      </c>
      <c r="P172" s="124">
        <f t="shared" si="172"/>
        <v>78.319904911917746</v>
      </c>
      <c r="Q172" s="124">
        <f t="shared" si="172"/>
        <v>92.895818187033527</v>
      </c>
      <c r="R172" s="68">
        <f>RATE(9,,-H172,Q172)</f>
        <v>0.17179158115816623</v>
      </c>
      <c r="S172" s="122" t="s">
        <v>68</v>
      </c>
      <c r="T172" s="116">
        <f>1-SUM(T170:T171)</f>
        <v>9.9999999999999867E-2</v>
      </c>
      <c r="U172" s="116">
        <f t="shared" ref="U172:AG172" si="173">1-SUM(U170:U171)</f>
        <v>9.9463506189303219E-2</v>
      </c>
      <c r="V172" s="116">
        <f t="shared" si="173"/>
        <v>9.8926685175978135E-2</v>
      </c>
      <c r="W172" s="116">
        <f t="shared" si="173"/>
        <v>9.8389536755263296E-2</v>
      </c>
      <c r="X172" s="116">
        <f t="shared" si="173"/>
        <v>9.7852060722266487E-2</v>
      </c>
      <c r="Y172" s="116">
        <f t="shared" si="173"/>
        <v>9.7314256871962823E-2</v>
      </c>
      <c r="Z172" s="116">
        <f t="shared" si="173"/>
        <v>9.6776124999196522E-2</v>
      </c>
      <c r="AA172" s="116">
        <f t="shared" si="173"/>
        <v>9.6237664898678466E-2</v>
      </c>
      <c r="AB172" s="116">
        <f t="shared" si="173"/>
        <v>9.5698876364989083E-2</v>
      </c>
      <c r="AC172" s="116">
        <f t="shared" si="173"/>
        <v>9.5159759192575466E-2</v>
      </c>
      <c r="AD172" s="116">
        <f t="shared" si="173"/>
        <v>9.4620313175753146E-2</v>
      </c>
      <c r="AE172" s="116">
        <f t="shared" si="173"/>
        <v>9.4080538108704426E-2</v>
      </c>
      <c r="AF172" s="116">
        <f t="shared" si="173"/>
        <v>9.3540433785480159E-2</v>
      </c>
      <c r="AG172" s="116">
        <f t="shared" si="173"/>
        <v>9.2999999999998417E-2</v>
      </c>
    </row>
    <row r="173" spans="1:33" x14ac:dyDescent="0.35">
      <c r="A173" s="1"/>
      <c r="D173" s="81" t="b">
        <f>D163=SUM(D170:D172)</f>
        <v>1</v>
      </c>
      <c r="E173" s="81" t="b">
        <f t="shared" ref="E173:Q173" si="174">E163=SUM(E170:E172)</f>
        <v>1</v>
      </c>
      <c r="F173" s="81" t="b">
        <f t="shared" si="174"/>
        <v>1</v>
      </c>
      <c r="G173" s="81" t="b">
        <f t="shared" si="174"/>
        <v>1</v>
      </c>
      <c r="H173" s="81" t="b">
        <f t="shared" si="174"/>
        <v>1</v>
      </c>
      <c r="I173" s="81" t="b">
        <f t="shared" si="174"/>
        <v>1</v>
      </c>
      <c r="J173" s="81" t="b">
        <f t="shared" si="174"/>
        <v>1</v>
      </c>
      <c r="K173" s="81" t="b">
        <f t="shared" si="174"/>
        <v>1</v>
      </c>
      <c r="L173" s="81" t="b">
        <f t="shared" si="174"/>
        <v>1</v>
      </c>
      <c r="M173" s="81" t="b">
        <f t="shared" si="174"/>
        <v>1</v>
      </c>
      <c r="N173" s="81" t="b">
        <f t="shared" si="174"/>
        <v>1</v>
      </c>
      <c r="O173" s="81" t="b">
        <f t="shared" si="174"/>
        <v>1</v>
      </c>
      <c r="P173" s="81" t="b">
        <f t="shared" si="174"/>
        <v>1</v>
      </c>
      <c r="Q173" s="81" t="b">
        <f t="shared" si="174"/>
        <v>1</v>
      </c>
      <c r="R173" s="21"/>
    </row>
    <row r="174" spans="1:33" s="117" customFormat="1" x14ac:dyDescent="0.35">
      <c r="A174" s="149" t="s">
        <v>69</v>
      </c>
      <c r="B174" s="125" t="s">
        <v>70</v>
      </c>
      <c r="C174" s="126"/>
      <c r="D174" s="127">
        <f>D163*T174</f>
        <v>53.484794999999998</v>
      </c>
      <c r="E174" s="127">
        <f t="shared" ref="E174:Q174" si="175">E163*U174</f>
        <v>61.625756162120211</v>
      </c>
      <c r="F174" s="127">
        <f t="shared" si="175"/>
        <v>71.194174021193263</v>
      </c>
      <c r="G174" s="127">
        <f t="shared" si="175"/>
        <v>82.470173690393381</v>
      </c>
      <c r="H174" s="127">
        <f t="shared" si="175"/>
        <v>95.794351916092253</v>
      </c>
      <c r="I174" s="127">
        <f t="shared" si="175"/>
        <v>111.58196765910989</v>
      </c>
      <c r="J174" s="127">
        <f t="shared" si="175"/>
        <v>130.34072087872698</v>
      </c>
      <c r="K174" s="127">
        <f t="shared" si="175"/>
        <v>152.69309051851482</v>
      </c>
      <c r="L174" s="127">
        <f t="shared" si="175"/>
        <v>179.40448236529883</v>
      </c>
      <c r="M174" s="127">
        <f t="shared" si="175"/>
        <v>211.41880247701087</v>
      </c>
      <c r="N174" s="127">
        <f t="shared" si="175"/>
        <v>249.90354974818155</v>
      </c>
      <c r="O174" s="127">
        <f t="shared" si="175"/>
        <v>296.30714872016711</v>
      </c>
      <c r="P174" s="127">
        <f t="shared" si="175"/>
        <v>352.43207039913852</v>
      </c>
      <c r="Q174" s="127">
        <f t="shared" si="175"/>
        <v>420.52838125528774</v>
      </c>
      <c r="R174" s="68">
        <f>RATE(9,,-H174,Q174)</f>
        <v>0.17864748598869054</v>
      </c>
      <c r="S174" s="125" t="s">
        <v>70</v>
      </c>
      <c r="T174" s="116">
        <v>0.42</v>
      </c>
      <c r="U174" s="116">
        <v>0.42007683867486062</v>
      </c>
      <c r="V174" s="116">
        <v>0.4201536914072973</v>
      </c>
      <c r="W174" s="116">
        <v>0.42023055819988187</v>
      </c>
      <c r="X174" s="116">
        <v>0.42030743905518658</v>
      </c>
      <c r="Y174" s="116">
        <v>0.42038433397578434</v>
      </c>
      <c r="Z174" s="116">
        <v>0.42046124296424836</v>
      </c>
      <c r="AA174" s="116">
        <v>0.42053816602315214</v>
      </c>
      <c r="AB174" s="116">
        <v>0.42061510315507006</v>
      </c>
      <c r="AC174" s="116">
        <v>0.42069205436257667</v>
      </c>
      <c r="AD174" s="116">
        <v>0.4207690196482472</v>
      </c>
      <c r="AE174" s="116">
        <v>0.42084599901465702</v>
      </c>
      <c r="AF174" s="116">
        <v>0.42092299246438242</v>
      </c>
      <c r="AG174" s="137">
        <v>0.42099999999999982</v>
      </c>
    </row>
    <row r="175" spans="1:33" s="117" customFormat="1" x14ac:dyDescent="0.35">
      <c r="A175" s="149"/>
      <c r="B175" s="125" t="s">
        <v>71</v>
      </c>
      <c r="C175" s="126"/>
      <c r="D175" s="127">
        <f>D163*T175</f>
        <v>29.289292500000009</v>
      </c>
      <c r="E175" s="127">
        <f t="shared" ref="E175:Q175" si="176">E163*U175</f>
        <v>33.763744290152268</v>
      </c>
      <c r="F175" s="127">
        <f t="shared" si="176"/>
        <v>39.024971333677449</v>
      </c>
      <c r="G175" s="127">
        <f t="shared" si="176"/>
        <v>45.22773530484973</v>
      </c>
      <c r="H175" s="127">
        <f t="shared" si="176"/>
        <v>52.56027536300779</v>
      </c>
      <c r="I175" s="127">
        <f t="shared" si="176"/>
        <v>61.252178497014732</v>
      </c>
      <c r="J175" s="127">
        <f t="shared" si="176"/>
        <v>71.584243241782033</v>
      </c>
      <c r="K175" s="127">
        <f t="shared" si="176"/>
        <v>83.900877009325995</v>
      </c>
      <c r="L175" s="127">
        <f t="shared" si="176"/>
        <v>98.625723099034943</v>
      </c>
      <c r="M175" s="127">
        <f t="shared" si="176"/>
        <v>116.28141689127001</v>
      </c>
      <c r="N175" s="127">
        <f t="shared" si="176"/>
        <v>137.51463714400739</v>
      </c>
      <c r="O175" s="127">
        <f t="shared" si="176"/>
        <v>163.12796827511985</v>
      </c>
      <c r="P175" s="127">
        <f t="shared" si="176"/>
        <v>194.12055066242044</v>
      </c>
      <c r="Q175" s="127">
        <f t="shared" si="176"/>
        <v>231.74010558486194</v>
      </c>
      <c r="R175" s="68">
        <f>RATE(9,,-H175,Q175)</f>
        <v>0.17921699552597492</v>
      </c>
      <c r="S175" s="125" t="s">
        <v>71</v>
      </c>
      <c r="T175" s="116">
        <v>0.23000000000000007</v>
      </c>
      <c r="U175" s="116">
        <v>0.230153232131076</v>
      </c>
      <c r="V175" s="116">
        <v>0.23030656634948232</v>
      </c>
      <c r="W175" s="116">
        <v>0.23046000272323239</v>
      </c>
      <c r="X175" s="116">
        <v>0.23061354132038475</v>
      </c>
      <c r="Y175" s="116">
        <v>0.23076718220904338</v>
      </c>
      <c r="Z175" s="116">
        <v>0.23092092545735762</v>
      </c>
      <c r="AA175" s="116">
        <v>0.23107477113352223</v>
      </c>
      <c r="AB175" s="116">
        <v>0.23122871930577729</v>
      </c>
      <c r="AC175" s="116">
        <v>0.23138277004240856</v>
      </c>
      <c r="AD175" s="116">
        <v>0.23153692341174703</v>
      </c>
      <c r="AE175" s="116">
        <v>0.23169117948216938</v>
      </c>
      <c r="AF175" s="116">
        <v>0.23184553832209787</v>
      </c>
      <c r="AG175" s="137">
        <v>0.23200000000000018</v>
      </c>
    </row>
    <row r="176" spans="1:33" s="117" customFormat="1" x14ac:dyDescent="0.35">
      <c r="A176" s="149"/>
      <c r="B176" s="125" t="s">
        <v>72</v>
      </c>
      <c r="C176" s="126"/>
      <c r="D176" s="127">
        <f>D163*T176</f>
        <v>25.46895</v>
      </c>
      <c r="E176" s="127">
        <f t="shared" ref="E176:Q176" si="177">E163*U176</f>
        <v>29.351489145538341</v>
      </c>
      <c r="F176" s="127">
        <f t="shared" si="177"/>
        <v>33.915600283543519</v>
      </c>
      <c r="G176" s="127">
        <f t="shared" si="177"/>
        <v>39.295166671642257</v>
      </c>
      <c r="H176" s="127">
        <f t="shared" si="177"/>
        <v>45.652998053564367</v>
      </c>
      <c r="I176" s="127">
        <f t="shared" si="177"/>
        <v>53.187623844385399</v>
      </c>
      <c r="J176" s="127">
        <f t="shared" si="177"/>
        <v>62.141805207532109</v>
      </c>
      <c r="K176" s="127">
        <f t="shared" si="177"/>
        <v>72.813231463855601</v>
      </c>
      <c r="L176" s="127">
        <f t="shared" si="177"/>
        <v>85.568000409913225</v>
      </c>
      <c r="M176" s="127">
        <f t="shared" si="177"/>
        <v>100.85765721849057</v>
      </c>
      <c r="N176" s="127">
        <f t="shared" si="177"/>
        <v>119.24079585114559</v>
      </c>
      <c r="O176" s="127">
        <f t="shared" si="177"/>
        <v>141.41052800912979</v>
      </c>
      <c r="P176" s="127">
        <f t="shared" si="177"/>
        <v>168.22952133471591</v>
      </c>
      <c r="Q176" s="127">
        <f t="shared" si="177"/>
        <v>200.77483285584981</v>
      </c>
      <c r="R176" s="68">
        <f>RATE(9,,-H176,Q176)</f>
        <v>0.17888409321640264</v>
      </c>
      <c r="S176" s="125" t="s">
        <v>72</v>
      </c>
      <c r="T176" s="116">
        <v>0.19999999999999998</v>
      </c>
      <c r="U176" s="116">
        <v>0.20007674612901705</v>
      </c>
      <c r="V176" s="116">
        <v>0.20015352170787573</v>
      </c>
      <c r="W176" s="116">
        <v>0.2002303267478768</v>
      </c>
      <c r="X176" s="116">
        <v>0.20030716126032544</v>
      </c>
      <c r="Y176" s="116">
        <v>0.20038402525653101</v>
      </c>
      <c r="Z176" s="116">
        <v>0.20046091874780753</v>
      </c>
      <c r="AA176" s="116">
        <v>0.20053784174547304</v>
      </c>
      <c r="AB176" s="116">
        <v>0.20061479426085005</v>
      </c>
      <c r="AC176" s="116">
        <v>0.20069177630526541</v>
      </c>
      <c r="AD176" s="116">
        <v>0.20076878789005037</v>
      </c>
      <c r="AE176" s="116">
        <v>0.20084582902654041</v>
      </c>
      <c r="AF176" s="116">
        <v>0.20092289972607549</v>
      </c>
      <c r="AG176" s="137">
        <v>0.20099999999999973</v>
      </c>
    </row>
    <row r="177" spans="1:33" s="117" customFormat="1" x14ac:dyDescent="0.35">
      <c r="A177" s="149"/>
      <c r="B177" s="125" t="s">
        <v>73</v>
      </c>
      <c r="C177" s="126"/>
      <c r="D177" s="127">
        <f>D163*T177</f>
        <v>12.734475</v>
      </c>
      <c r="E177" s="127">
        <f t="shared" ref="E177:Q177" si="178">E163*U177</f>
        <v>14.692478907504869</v>
      </c>
      <c r="F177" s="127">
        <f t="shared" si="178"/>
        <v>16.996495186409486</v>
      </c>
      <c r="G177" s="127">
        <f t="shared" si="178"/>
        <v>19.714870747274357</v>
      </c>
      <c r="H177" s="127">
        <f t="shared" si="178"/>
        <v>22.930790873133279</v>
      </c>
      <c r="I177" s="127">
        <f t="shared" si="178"/>
        <v>26.745778936846012</v>
      </c>
      <c r="J177" s="127">
        <f t="shared" si="178"/>
        <v>31.28408511752081</v>
      </c>
      <c r="K177" s="127">
        <f t="shared" si="178"/>
        <v>36.698205701185465</v>
      </c>
      <c r="L177" s="127">
        <f t="shared" si="178"/>
        <v>43.17584440526543</v>
      </c>
      <c r="M177" s="127">
        <f t="shared" si="178"/>
        <v>50.948718417145955</v>
      </c>
      <c r="N177" s="127">
        <f t="shared" si="178"/>
        <v>60.303731400639016</v>
      </c>
      <c r="O177" s="127">
        <f t="shared" si="178"/>
        <v>71.597192869096602</v>
      </c>
      <c r="P177" s="127">
        <f t="shared" si="178"/>
        <v>85.272970509957929</v>
      </c>
      <c r="Q177" s="127">
        <f t="shared" si="178"/>
        <v>101.88573607610287</v>
      </c>
      <c r="R177" s="68">
        <f>RATE(9,,-H177,Q177)</f>
        <v>0.18022834126554235</v>
      </c>
      <c r="S177" s="125" t="s">
        <v>73</v>
      </c>
      <c r="T177" s="116">
        <v>9.9999999999999992E-2</v>
      </c>
      <c r="U177" s="116">
        <v>0.10015244398015953</v>
      </c>
      <c r="V177" s="116">
        <v>0.10030512035198993</v>
      </c>
      <c r="W177" s="116">
        <v>0.10045802946975833</v>
      </c>
      <c r="X177" s="116">
        <v>0.10061117168827188</v>
      </c>
      <c r="Y177" s="116">
        <v>0.10076454736287864</v>
      </c>
      <c r="Z177" s="116">
        <v>0.10091815684946834</v>
      </c>
      <c r="AA177" s="116">
        <v>0.10107200050447333</v>
      </c>
      <c r="AB177" s="116">
        <v>0.10122607868486923</v>
      </c>
      <c r="AC177" s="116">
        <v>0.10138039174817587</v>
      </c>
      <c r="AD177" s="116">
        <v>0.10153494005245813</v>
      </c>
      <c r="AE177" s="116">
        <v>0.10168972395632671</v>
      </c>
      <c r="AF177" s="116">
        <v>0.10184474381893897</v>
      </c>
      <c r="AG177" s="137">
        <v>0.10199999999999985</v>
      </c>
    </row>
    <row r="178" spans="1:33" s="117" customFormat="1" x14ac:dyDescent="0.35">
      <c r="A178" s="149"/>
      <c r="B178" s="125" t="s">
        <v>74</v>
      </c>
      <c r="C178" s="126"/>
      <c r="D178" s="127">
        <f>D163*T178</f>
        <v>6.3672375000000061</v>
      </c>
      <c r="E178" s="127">
        <f t="shared" ref="E178:Q178" si="179">E163*U178</f>
        <v>7.2676834946843147</v>
      </c>
      <c r="F178" s="127">
        <f t="shared" si="179"/>
        <v>8.3166909135114899</v>
      </c>
      <c r="G178" s="127">
        <f t="shared" si="179"/>
        <v>9.5418790237290558</v>
      </c>
      <c r="H178" s="127">
        <f t="shared" si="179"/>
        <v>10.976540834766144</v>
      </c>
      <c r="I178" s="127">
        <f t="shared" si="179"/>
        <v>12.66091411649654</v>
      </c>
      <c r="J178" s="127">
        <f t="shared" si="179"/>
        <v>14.643759944639511</v>
      </c>
      <c r="K178" s="127">
        <f t="shared" si="179"/>
        <v>16.984328546950902</v>
      </c>
      <c r="L178" s="127">
        <f t="shared" si="179"/>
        <v>19.754814279963405</v>
      </c>
      <c r="M178" s="127">
        <f t="shared" si="179"/>
        <v>23.043430090680559</v>
      </c>
      <c r="N178" s="127">
        <f t="shared" si="179"/>
        <v>26.958268815025967</v>
      </c>
      <c r="O178" s="127">
        <f t="shared" si="179"/>
        <v>31.632166793092647</v>
      </c>
      <c r="P178" s="127">
        <f t="shared" si="179"/>
        <v>37.228848076156524</v>
      </c>
      <c r="Q178" s="127">
        <f t="shared" si="179"/>
        <v>43.95070967988795</v>
      </c>
      <c r="R178" s="68">
        <f>RATE(9,,-H178,Q178)</f>
        <v>0.16666048450581453</v>
      </c>
      <c r="S178" s="125" t="s">
        <v>74</v>
      </c>
      <c r="T178" s="116">
        <f>1-SUM(T174:T177)</f>
        <v>5.0000000000000044E-2</v>
      </c>
      <c r="U178" s="116">
        <f t="shared" ref="U178:AG178" si="180">1-SUM(U174:U177)</f>
        <v>4.9540739084886765E-2</v>
      </c>
      <c r="V178" s="116">
        <f t="shared" si="180"/>
        <v>4.9081100183354764E-2</v>
      </c>
      <c r="W178" s="116">
        <f t="shared" si="180"/>
        <v>4.8621082859250597E-2</v>
      </c>
      <c r="X178" s="116">
        <f t="shared" si="180"/>
        <v>4.8160686675831288E-2</v>
      </c>
      <c r="Y178" s="116">
        <f t="shared" si="180"/>
        <v>4.7699911195762668E-2</v>
      </c>
      <c r="Z178" s="116">
        <f t="shared" si="180"/>
        <v>4.7238755981118041E-2</v>
      </c>
      <c r="AA178" s="116">
        <f t="shared" si="180"/>
        <v>4.6777220593379298E-2</v>
      </c>
      <c r="AB178" s="116">
        <f t="shared" si="180"/>
        <v>4.631530459343336E-2</v>
      </c>
      <c r="AC178" s="116">
        <f t="shared" si="180"/>
        <v>4.5853007541573509E-2</v>
      </c>
      <c r="AD178" s="116">
        <f t="shared" si="180"/>
        <v>4.5390328997497287E-2</v>
      </c>
      <c r="AE178" s="116">
        <f t="shared" si="180"/>
        <v>4.4927268520306485E-2</v>
      </c>
      <c r="AF178" s="116">
        <f t="shared" si="180"/>
        <v>4.4463825668505264E-2</v>
      </c>
      <c r="AG178" s="116">
        <f t="shared" si="180"/>
        <v>4.4000000000000372E-2</v>
      </c>
    </row>
    <row r="179" spans="1:33" x14ac:dyDescent="0.35">
      <c r="A179" s="2"/>
      <c r="D179" s="81" t="b">
        <f>D163=SUM(D174:D178)</f>
        <v>1</v>
      </c>
      <c r="E179" s="81" t="b">
        <f t="shared" ref="E179:Q179" si="181">E163=SUM(E174:E178)</f>
        <v>1</v>
      </c>
      <c r="F179" s="81" t="b">
        <f t="shared" si="181"/>
        <v>1</v>
      </c>
      <c r="G179" s="81" t="b">
        <f t="shared" si="181"/>
        <v>1</v>
      </c>
      <c r="H179" s="81" t="b">
        <f t="shared" si="181"/>
        <v>1</v>
      </c>
      <c r="I179" s="81" t="b">
        <f t="shared" si="181"/>
        <v>1</v>
      </c>
      <c r="J179" s="81" t="b">
        <f t="shared" si="181"/>
        <v>1</v>
      </c>
      <c r="K179" s="81" t="b">
        <f t="shared" si="181"/>
        <v>1</v>
      </c>
      <c r="L179" s="81" t="b">
        <f t="shared" si="181"/>
        <v>1</v>
      </c>
      <c r="M179" s="81" t="b">
        <f t="shared" si="181"/>
        <v>1</v>
      </c>
      <c r="N179" s="81" t="b">
        <f t="shared" si="181"/>
        <v>1</v>
      </c>
      <c r="O179" s="81" t="b">
        <f t="shared" si="181"/>
        <v>1</v>
      </c>
      <c r="P179" s="81" t="b">
        <f t="shared" si="181"/>
        <v>1</v>
      </c>
      <c r="Q179" s="81" t="b">
        <f t="shared" si="181"/>
        <v>1</v>
      </c>
      <c r="R179" s="21"/>
    </row>
    <row r="180" spans="1:33" s="117" customFormat="1" x14ac:dyDescent="0.35">
      <c r="A180" s="149" t="s">
        <v>75</v>
      </c>
      <c r="B180" s="128" t="s">
        <v>76</v>
      </c>
      <c r="C180" s="129"/>
      <c r="D180" s="130">
        <f>D163*T180</f>
        <v>28.015845000000006</v>
      </c>
      <c r="E180" s="130">
        <f t="shared" ref="E180:P180" si="182">E163*U180</f>
        <v>32.330093586792295</v>
      </c>
      <c r="F180" s="130">
        <f t="shared" si="182"/>
        <v>37.407653482460958</v>
      </c>
      <c r="G180" s="130">
        <f t="shared" si="182"/>
        <v>43.39945043343252</v>
      </c>
      <c r="H180" s="130">
        <f t="shared" si="182"/>
        <v>50.489205259078041</v>
      </c>
      <c r="I180" s="130">
        <f t="shared" si="182"/>
        <v>58.901174762033612</v>
      </c>
      <c r="J180" s="130">
        <f t="shared" si="182"/>
        <v>68.909860368558881</v>
      </c>
      <c r="K180" s="130">
        <f t="shared" si="182"/>
        <v>80.852219573729997</v>
      </c>
      <c r="L180" s="130">
        <f t="shared" si="182"/>
        <v>95.143070075649931</v>
      </c>
      <c r="M180" s="130">
        <f t="shared" si="182"/>
        <v>112.29457873668916</v>
      </c>
      <c r="N180" s="130">
        <f t="shared" si="182"/>
        <v>132.940992552772</v>
      </c>
      <c r="O180" s="130">
        <f t="shared" si="182"/>
        <v>157.87011720943531</v>
      </c>
      <c r="P180" s="130">
        <f t="shared" si="182"/>
        <v>188.06350820562588</v>
      </c>
      <c r="Q180" s="130">
        <f>Q163*AG180</f>
        <v>224.74794722669799</v>
      </c>
      <c r="R180" s="68">
        <f t="shared" ref="R180:R185" si="183">RATE(9,,-H180,Q180)</f>
        <v>0.18047078765771155</v>
      </c>
      <c r="S180" s="134" t="s">
        <v>76</v>
      </c>
      <c r="T180" s="116">
        <v>0.22000000000000003</v>
      </c>
      <c r="U180" s="116">
        <v>0.22038063877502673</v>
      </c>
      <c r="V180" s="116">
        <v>0.22076193612222184</v>
      </c>
      <c r="W180" s="116">
        <v>0.22114389318103134</v>
      </c>
      <c r="X180" s="116">
        <v>0.22152651109287255</v>
      </c>
      <c r="Y180" s="116">
        <v>0.22190979100113767</v>
      </c>
      <c r="Z180" s="116">
        <v>0.22229373405119721</v>
      </c>
      <c r="AA180" s="116">
        <v>0.22267834139040343</v>
      </c>
      <c r="AB180" s="116">
        <v>0.2230636141680935</v>
      </c>
      <c r="AC180" s="116">
        <v>0.22344955353559337</v>
      </c>
      <c r="AD180" s="116">
        <v>0.22383616064622086</v>
      </c>
      <c r="AE180" s="116">
        <v>0.22422343665528938</v>
      </c>
      <c r="AF180" s="116">
        <v>0.22461138272011094</v>
      </c>
      <c r="AG180" s="116">
        <v>0.22500000000000017</v>
      </c>
    </row>
    <row r="181" spans="1:33" s="117" customFormat="1" x14ac:dyDescent="0.35">
      <c r="A181" s="149"/>
      <c r="B181" s="128" t="s">
        <v>77</v>
      </c>
      <c r="C181" s="129"/>
      <c r="D181" s="130">
        <f>D163*T181</f>
        <v>48.391005</v>
      </c>
      <c r="E181" s="130">
        <f t="shared" ref="E181:Q181" si="184">E163*U181</f>
        <v>55.746437760000006</v>
      </c>
      <c r="F181" s="130">
        <f t="shared" si="184"/>
        <v>64.390214060567374</v>
      </c>
      <c r="G181" s="130">
        <f t="shared" si="184"/>
        <v>74.57493366639774</v>
      </c>
      <c r="H181" s="130">
        <f t="shared" si="184"/>
        <v>86.607683675414265</v>
      </c>
      <c r="I181" s="130">
        <f t="shared" si="184"/>
        <v>100.86281596046398</v>
      </c>
      <c r="J181" s="130">
        <f t="shared" si="184"/>
        <v>117.79795346827657</v>
      </c>
      <c r="K181" s="130">
        <f t="shared" si="184"/>
        <v>137.97409863113646</v>
      </c>
      <c r="L181" s="130">
        <f t="shared" si="184"/>
        <v>162.08096853260082</v>
      </c>
      <c r="M181" s="130">
        <f t="shared" si="184"/>
        <v>190.96900953594724</v>
      </c>
      <c r="N181" s="130">
        <f t="shared" si="184"/>
        <v>225.68997352441983</v>
      </c>
      <c r="O181" s="130">
        <f t="shared" si="184"/>
        <v>267.54850177331031</v>
      </c>
      <c r="P181" s="130">
        <f t="shared" si="184"/>
        <v>318.16790517330793</v>
      </c>
      <c r="Q181" s="130">
        <f t="shared" si="184"/>
        <v>379.57431087175632</v>
      </c>
      <c r="R181" s="68">
        <f t="shared" si="183"/>
        <v>0.1784318927863362</v>
      </c>
      <c r="S181" s="134" t="s">
        <v>77</v>
      </c>
      <c r="T181" s="116">
        <v>0.38</v>
      </c>
      <c r="U181" s="116">
        <v>0.38</v>
      </c>
      <c r="V181" s="116">
        <v>0.38</v>
      </c>
      <c r="W181" s="116">
        <v>0.38</v>
      </c>
      <c r="X181" s="116">
        <v>0.38</v>
      </c>
      <c r="Y181" s="116">
        <v>0.38</v>
      </c>
      <c r="Z181" s="116">
        <v>0.38</v>
      </c>
      <c r="AA181" s="116">
        <v>0.38</v>
      </c>
      <c r="AB181" s="116">
        <v>0.38</v>
      </c>
      <c r="AC181" s="116">
        <v>0.38</v>
      </c>
      <c r="AD181" s="116">
        <v>0.38</v>
      </c>
      <c r="AE181" s="116">
        <v>0.38</v>
      </c>
      <c r="AF181" s="116">
        <v>0.38</v>
      </c>
      <c r="AG181" s="116">
        <v>0.38</v>
      </c>
    </row>
    <row r="182" spans="1:33" s="117" customFormat="1" x14ac:dyDescent="0.35">
      <c r="A182" s="149"/>
      <c r="B182" s="128" t="s">
        <v>78</v>
      </c>
      <c r="C182" s="129"/>
      <c r="D182" s="132">
        <f>D163*T182</f>
        <v>21.648607499999997</v>
      </c>
      <c r="E182" s="132">
        <f t="shared" ref="E182:Q182" si="185">E163*U182</f>
        <v>25.059767325617415</v>
      </c>
      <c r="F182" s="132">
        <f t="shared" si="185"/>
        <v>29.085355145182223</v>
      </c>
      <c r="G182" s="132">
        <f t="shared" si="185"/>
        <v>33.848697891400427</v>
      </c>
      <c r="H182" s="132">
        <f t="shared" si="185"/>
        <v>39.500273548026556</v>
      </c>
      <c r="I182" s="132">
        <f t="shared" si="185"/>
        <v>46.224195079134347</v>
      </c>
      <c r="J182" s="132">
        <f t="shared" si="185"/>
        <v>54.246360096621466</v>
      </c>
      <c r="K182" s="132">
        <f t="shared" si="185"/>
        <v>63.84472364216424</v>
      </c>
      <c r="L182" s="132">
        <f t="shared" si="185"/>
        <v>75.36228498572018</v>
      </c>
      <c r="M182" s="132">
        <f t="shared" si="185"/>
        <v>89.223554135712803</v>
      </c>
      <c r="N182" s="132">
        <f t="shared" si="185"/>
        <v>105.95549326894637</v>
      </c>
      <c r="O182" s="132">
        <f t="shared" si="185"/>
        <v>126.21423058518739</v>
      </c>
      <c r="P182" s="132">
        <f t="shared" si="185"/>
        <v>150.81924350536789</v>
      </c>
      <c r="Q182" s="132">
        <f t="shared" si="185"/>
        <v>180.79723754680995</v>
      </c>
      <c r="R182" s="68">
        <f t="shared" si="183"/>
        <v>0.18412916085342135</v>
      </c>
      <c r="S182" s="134" t="s">
        <v>78</v>
      </c>
      <c r="T182" s="116">
        <v>0.16999999999999998</v>
      </c>
      <c r="U182" s="116">
        <v>0.17082188506343435</v>
      </c>
      <c r="V182" s="116">
        <v>0.17164774362720694</v>
      </c>
      <c r="W182" s="116">
        <v>0.17247759490167405</v>
      </c>
      <c r="X182" s="116">
        <v>0.17331145819006682</v>
      </c>
      <c r="Y182" s="116">
        <v>0.17414935288894001</v>
      </c>
      <c r="Z182" s="116">
        <v>0.17499129848862341</v>
      </c>
      <c r="AA182" s="116">
        <v>0.17583731457367507</v>
      </c>
      <c r="AB182" s="116">
        <v>0.17668742082333691</v>
      </c>
      <c r="AC182" s="116">
        <v>0.17754163701199244</v>
      </c>
      <c r="AD182" s="116">
        <v>0.17839998300962681</v>
      </c>
      <c r="AE182" s="116">
        <v>0.17926247878228888</v>
      </c>
      <c r="AF182" s="116">
        <v>0.18012914439255584</v>
      </c>
      <c r="AG182" s="116">
        <v>0.18099999999999969</v>
      </c>
    </row>
    <row r="183" spans="1:33" s="117" customFormat="1" x14ac:dyDescent="0.35">
      <c r="A183" s="149"/>
      <c r="B183" s="128" t="s">
        <v>79</v>
      </c>
      <c r="C183" s="129"/>
      <c r="D183" s="132">
        <f>D163*T183</f>
        <v>17.828265000000002</v>
      </c>
      <c r="E183" s="132">
        <f t="shared" ref="E183:Q183" si="186">E163*U183</f>
        <v>20.549408951135241</v>
      </c>
      <c r="F183" s="132">
        <f t="shared" si="186"/>
        <v>23.748700920795169</v>
      </c>
      <c r="G183" s="132">
        <f t="shared" si="186"/>
        <v>27.520140085350008</v>
      </c>
      <c r="H183" s="132">
        <f t="shared" si="186"/>
        <v>31.978048967465501</v>
      </c>
      <c r="I183" s="132">
        <f t="shared" si="186"/>
        <v>37.261849187946666</v>
      </c>
      <c r="J183" s="132">
        <f t="shared" si="186"/>
        <v>43.542046312195012</v>
      </c>
      <c r="K183" s="132">
        <f t="shared" si="186"/>
        <v>51.027751357486238</v>
      </c>
      <c r="L183" s="132">
        <f t="shared" si="186"/>
        <v>59.976160974687623</v>
      </c>
      <c r="M183" s="132">
        <f t="shared" si="186"/>
        <v>70.70454161806083</v>
      </c>
      <c r="N183" s="132">
        <f t="shared" si="186"/>
        <v>83.60542447300935</v>
      </c>
      <c r="O183" s="132">
        <f t="shared" si="186"/>
        <v>99.165929984005402</v>
      </c>
      <c r="P183" s="132">
        <f t="shared" si="186"/>
        <v>117.99242025341874</v>
      </c>
      <c r="Q183" s="132">
        <f t="shared" si="186"/>
        <v>140.84204692873089</v>
      </c>
      <c r="R183" s="68">
        <f t="shared" si="183"/>
        <v>0.17907725797722948</v>
      </c>
      <c r="S183" s="134" t="s">
        <v>79</v>
      </c>
      <c r="T183" s="116">
        <v>0.14000000000000001</v>
      </c>
      <c r="U183" s="116">
        <v>0.14007667063947282</v>
      </c>
      <c r="V183" s="116">
        <v>0.14015338326742385</v>
      </c>
      <c r="W183" s="116">
        <v>0.1402301379068481</v>
      </c>
      <c r="X183" s="116">
        <v>0.14030693458075291</v>
      </c>
      <c r="Y183" s="116">
        <v>0.14038377331215846</v>
      </c>
      <c r="Z183" s="116">
        <v>0.14046065412409731</v>
      </c>
      <c r="AA183" s="116">
        <v>0.14053757703961495</v>
      </c>
      <c r="AB183" s="116">
        <v>0.14061454208176913</v>
      </c>
      <c r="AC183" s="116">
        <v>0.14069154927363042</v>
      </c>
      <c r="AD183" s="116">
        <v>0.14076859863828203</v>
      </c>
      <c r="AE183" s="116">
        <v>0.14084569019881982</v>
      </c>
      <c r="AF183" s="116">
        <v>0.14092282397835218</v>
      </c>
      <c r="AG183" s="116">
        <v>0.14100000000000026</v>
      </c>
    </row>
    <row r="184" spans="1:33" s="117" customFormat="1" x14ac:dyDescent="0.35">
      <c r="A184" s="149"/>
      <c r="B184" s="128" t="s">
        <v>80</v>
      </c>
      <c r="C184" s="129"/>
      <c r="D184" s="132">
        <f>D163*T184</f>
        <v>5.0937900000000038</v>
      </c>
      <c r="E184" s="132">
        <f t="shared" ref="E184:Q184" si="187">E163*U184</f>
        <v>5.4416009449993314</v>
      </c>
      <c r="F184" s="132">
        <f t="shared" si="187"/>
        <v>5.8285779965922915</v>
      </c>
      <c r="G184" s="132">
        <f t="shared" si="187"/>
        <v>6.2599201539586629</v>
      </c>
      <c r="H184" s="132">
        <f t="shared" si="187"/>
        <v>6.7416393527399743</v>
      </c>
      <c r="I184" s="132">
        <f t="shared" si="187"/>
        <v>7.2807036791419124</v>
      </c>
      <c r="J184" s="132">
        <f t="shared" si="187"/>
        <v>7.8852085976215518</v>
      </c>
      <c r="K184" s="132">
        <f t="shared" si="187"/>
        <v>8.5645821883779121</v>
      </c>
      <c r="L184" s="132">
        <f t="shared" si="187"/>
        <v>9.3298317819853622</v>
      </c>
      <c r="M184" s="132">
        <f t="shared" si="187"/>
        <v>10.193841116726448</v>
      </c>
      <c r="N184" s="132">
        <f t="shared" si="187"/>
        <v>11.171729322064394</v>
      </c>
      <c r="O184" s="132">
        <f t="shared" si="187"/>
        <v>12.281285768072449</v>
      </c>
      <c r="P184" s="132">
        <f t="shared" si="187"/>
        <v>13.543498268477471</v>
      </c>
      <c r="Q184" s="132">
        <f t="shared" si="187"/>
        <v>14.98319648177986</v>
      </c>
      <c r="R184" s="68">
        <f t="shared" si="183"/>
        <v>9.2792390174690334E-2</v>
      </c>
      <c r="S184" s="134" t="s">
        <v>80</v>
      </c>
      <c r="T184" s="116">
        <v>4.0000000000000029E-2</v>
      </c>
      <c r="U184" s="116">
        <v>3.7093103024844219E-2</v>
      </c>
      <c r="V184" s="116">
        <v>3.4397457300292665E-2</v>
      </c>
      <c r="W184" s="116">
        <v>3.1897710685810869E-2</v>
      </c>
      <c r="X184" s="116">
        <v>2.9579626718136409E-2</v>
      </c>
      <c r="Y184" s="116">
        <v>2.7430003532306693E-2</v>
      </c>
      <c r="Z184" s="116">
        <v>2.543659867489231E-2</v>
      </c>
      <c r="AA184" s="116">
        <v>2.3588059381234896E-2</v>
      </c>
      <c r="AB184" s="116">
        <v>2.1873857919607213E-2</v>
      </c>
      <c r="AC184" s="116">
        <v>2.0284231634069862E-2</v>
      </c>
      <c r="AD184" s="116">
        <v>1.8810127344558929E-2</v>
      </c>
      <c r="AE184" s="116">
        <v>1.7443149787554083E-2</v>
      </c>
      <c r="AF184" s="116">
        <v>1.617551380368832E-2</v>
      </c>
      <c r="AG184" s="116">
        <v>1.5000000000000005E-2</v>
      </c>
    </row>
    <row r="185" spans="1:33" s="117" customFormat="1" x14ac:dyDescent="0.35">
      <c r="A185" s="149"/>
      <c r="B185" s="128" t="s">
        <v>81</v>
      </c>
      <c r="C185" s="129"/>
      <c r="D185" s="132">
        <f>D163*T185</f>
        <v>2.5468950000000006</v>
      </c>
      <c r="E185" s="132">
        <f t="shared" ref="E185:Q185" si="188">E163*U185</f>
        <v>2.9556130307104529</v>
      </c>
      <c r="F185" s="132">
        <f t="shared" si="188"/>
        <v>3.4390174012167121</v>
      </c>
      <c r="G185" s="132">
        <f t="shared" si="188"/>
        <v>4.0122818469768102</v>
      </c>
      <c r="H185" s="132">
        <f t="shared" si="188"/>
        <v>4.6939562063662459</v>
      </c>
      <c r="I185" s="132">
        <f t="shared" si="188"/>
        <v>5.506780317883452</v>
      </c>
      <c r="J185" s="132">
        <f t="shared" si="188"/>
        <v>6.4787088095300698</v>
      </c>
      <c r="K185" s="132">
        <f t="shared" si="188"/>
        <v>7.6442051445232986</v>
      </c>
      <c r="L185" s="132">
        <f t="shared" si="188"/>
        <v>9.0458804510875659</v>
      </c>
      <c r="M185" s="132">
        <f t="shared" si="188"/>
        <v>10.736575168494959</v>
      </c>
      <c r="N185" s="132">
        <f t="shared" si="188"/>
        <v>12.782011139039939</v>
      </c>
      <c r="O185" s="132">
        <f t="shared" si="188"/>
        <v>15.264180822804374</v>
      </c>
      <c r="P185" s="132">
        <f t="shared" si="188"/>
        <v>18.285691988235111</v>
      </c>
      <c r="Q185" s="132">
        <f t="shared" si="188"/>
        <v>21.975354839943794</v>
      </c>
      <c r="R185" s="68">
        <f t="shared" si="183"/>
        <v>0.18710337671098909</v>
      </c>
      <c r="S185" s="134" t="s">
        <v>81</v>
      </c>
      <c r="T185" s="116">
        <v>2.0000000000000004E-2</v>
      </c>
      <c r="U185" s="116">
        <v>2.0147169878464571E-2</v>
      </c>
      <c r="V185" s="116">
        <v>2.0295422705585511E-2</v>
      </c>
      <c r="W185" s="116">
        <v>2.0444766450233912E-2</v>
      </c>
      <c r="X185" s="116">
        <v>2.0595209139919784E-2</v>
      </c>
      <c r="Y185" s="116">
        <v>2.0746758861223506E-2</v>
      </c>
      <c r="Z185" s="116">
        <v>2.0899423760230504E-2</v>
      </c>
      <c r="AA185" s="116">
        <v>2.1053212042969137E-2</v>
      </c>
      <c r="AB185" s="116">
        <v>2.1208131975851766E-2</v>
      </c>
      <c r="AC185" s="116">
        <v>2.1364191886119096E-2</v>
      </c>
      <c r="AD185" s="116">
        <v>2.1521400162287797E-2</v>
      </c>
      <c r="AE185" s="116">
        <v>2.1679765254601358E-2</v>
      </c>
      <c r="AF185" s="116">
        <v>2.1839295675484361E-2</v>
      </c>
      <c r="AG185" s="116">
        <v>2.2000000000000006E-2</v>
      </c>
    </row>
    <row r="186" spans="1:33" s="117" customFormat="1" x14ac:dyDescent="0.35">
      <c r="A186" s="149"/>
      <c r="B186" s="128" t="s">
        <v>82</v>
      </c>
      <c r="C186" s="129"/>
      <c r="D186" s="132">
        <f>D163*T186</f>
        <v>3.8203424999999895</v>
      </c>
      <c r="E186" s="132">
        <f t="shared" ref="E186:Q186" si="189">E163*U186</f>
        <v>4.6182304007452686</v>
      </c>
      <c r="F186" s="132">
        <f t="shared" si="189"/>
        <v>5.5484127315204752</v>
      </c>
      <c r="G186" s="132">
        <f t="shared" si="189"/>
        <v>6.6344013603726069</v>
      </c>
      <c r="H186" s="132">
        <f t="shared" si="189"/>
        <v>7.9041500314732502</v>
      </c>
      <c r="I186" s="132">
        <f t="shared" si="189"/>
        <v>9.3909440672486024</v>
      </c>
      <c r="J186" s="132">
        <f t="shared" si="189"/>
        <v>11.134476737397934</v>
      </c>
      <c r="K186" s="132">
        <f t="shared" si="189"/>
        <v>13.182152702414665</v>
      </c>
      <c r="L186" s="132">
        <f t="shared" si="189"/>
        <v>15.590667757744361</v>
      </c>
      <c r="M186" s="132">
        <f t="shared" si="189"/>
        <v>18.427924782966574</v>
      </c>
      <c r="N186" s="132">
        <f t="shared" si="189"/>
        <v>21.775358678747704</v>
      </c>
      <c r="O186" s="132">
        <f t="shared" si="189"/>
        <v>25.730758523790701</v>
      </c>
      <c r="P186" s="132">
        <f t="shared" si="189"/>
        <v>30.411693587956194</v>
      </c>
      <c r="Q186" s="132">
        <f t="shared" si="189"/>
        <v>35.959671556271459</v>
      </c>
      <c r="R186" s="68">
        <f>RATE(9,,-H186,Q186)</f>
        <v>0.183332320998745</v>
      </c>
      <c r="S186" s="134" t="s">
        <v>82</v>
      </c>
      <c r="T186" s="116">
        <f>1-SUM(T180:T185)</f>
        <v>2.9999999999999916E-2</v>
      </c>
      <c r="U186" s="116">
        <f t="shared" ref="U186:AG186" si="190">1-SUM(U180:U185)</f>
        <v>3.1480532618757273E-2</v>
      </c>
      <c r="V186" s="116">
        <f t="shared" si="190"/>
        <v>3.2744056977269231E-2</v>
      </c>
      <c r="W186" s="116">
        <f t="shared" si="190"/>
        <v>3.380589687440172E-2</v>
      </c>
      <c r="X186" s="116">
        <f t="shared" si="190"/>
        <v>3.468026027825144E-2</v>
      </c>
      <c r="Y186" s="116">
        <f t="shared" si="190"/>
        <v>3.5380320404233667E-2</v>
      </c>
      <c r="Z186" s="116">
        <f t="shared" si="190"/>
        <v>3.5918290900959216E-2</v>
      </c>
      <c r="AA186" s="116">
        <f t="shared" si="190"/>
        <v>3.6305495572102608E-2</v>
      </c>
      <c r="AB186" s="116">
        <f t="shared" si="190"/>
        <v>3.655243303134148E-2</v>
      </c>
      <c r="AC186" s="116">
        <f t="shared" si="190"/>
        <v>3.6668836658594883E-2</v>
      </c>
      <c r="AD186" s="116">
        <f t="shared" si="190"/>
        <v>3.6663730199023692E-2</v>
      </c>
      <c r="AE186" s="116">
        <f t="shared" si="190"/>
        <v>3.6545479321446361E-2</v>
      </c>
      <c r="AF186" s="116">
        <f t="shared" si="190"/>
        <v>3.6321839429808267E-2</v>
      </c>
      <c r="AG186" s="116">
        <f t="shared" si="190"/>
        <v>3.599999999999981E-2</v>
      </c>
    </row>
    <row r="187" spans="1:33" x14ac:dyDescent="0.35">
      <c r="D187" t="b">
        <f>D163=SUM(D180:D186)</f>
        <v>1</v>
      </c>
      <c r="E187" t="b">
        <f t="shared" ref="E187:Q187" si="191">E163=SUM(E180:E186)</f>
        <v>1</v>
      </c>
      <c r="F187" t="b">
        <f t="shared" si="191"/>
        <v>1</v>
      </c>
      <c r="G187" t="b">
        <f t="shared" si="191"/>
        <v>1</v>
      </c>
      <c r="H187" t="b">
        <f t="shared" si="191"/>
        <v>1</v>
      </c>
      <c r="I187" t="b">
        <f t="shared" si="191"/>
        <v>1</v>
      </c>
      <c r="J187" t="b">
        <f t="shared" si="191"/>
        <v>1</v>
      </c>
      <c r="K187" t="b">
        <f t="shared" si="191"/>
        <v>1</v>
      </c>
      <c r="L187" t="b">
        <f t="shared" si="191"/>
        <v>1</v>
      </c>
      <c r="M187" t="b">
        <f t="shared" si="191"/>
        <v>1</v>
      </c>
      <c r="N187" t="b">
        <f t="shared" si="191"/>
        <v>1</v>
      </c>
      <c r="O187" t="b">
        <f t="shared" si="191"/>
        <v>1</v>
      </c>
      <c r="P187" t="b">
        <f t="shared" si="191"/>
        <v>1</v>
      </c>
      <c r="Q187" t="b">
        <f t="shared" si="191"/>
        <v>1</v>
      </c>
    </row>
    <row r="188" spans="1:33" ht="25" x14ac:dyDescent="0.5">
      <c r="A188" s="146" t="s">
        <v>105</v>
      </c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63"/>
    </row>
    <row r="189" spans="1:33" ht="23.5" thickBot="1" x14ac:dyDescent="0.55000000000000004">
      <c r="A189" s="63"/>
      <c r="B189" s="63"/>
      <c r="C189" s="63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</row>
    <row r="190" spans="1:33" ht="16" hidden="1" thickBot="1" x14ac:dyDescent="0.4">
      <c r="A190" s="42"/>
      <c r="B190" s="43"/>
      <c r="C190" s="93"/>
      <c r="D190" s="91">
        <v>2023</v>
      </c>
      <c r="E190" s="65">
        <v>2024</v>
      </c>
      <c r="F190" s="65">
        <v>2025</v>
      </c>
      <c r="G190" s="65">
        <v>2026</v>
      </c>
      <c r="H190" s="65">
        <v>2027</v>
      </c>
      <c r="I190" s="65">
        <v>2028</v>
      </c>
      <c r="J190" s="65">
        <v>2029</v>
      </c>
      <c r="K190" s="65">
        <v>2030</v>
      </c>
      <c r="L190" s="65">
        <v>2031</v>
      </c>
      <c r="M190" s="65">
        <v>2032</v>
      </c>
      <c r="N190" s="65">
        <v>2033</v>
      </c>
      <c r="O190" s="65">
        <v>2034</v>
      </c>
      <c r="P190" s="65">
        <v>2035</v>
      </c>
      <c r="Q190" s="65">
        <v>2036</v>
      </c>
      <c r="R190" s="66" t="s">
        <v>13</v>
      </c>
    </row>
    <row r="191" spans="1:33" ht="16" hidden="1" thickBot="1" x14ac:dyDescent="0.4">
      <c r="A191" s="25"/>
      <c r="B191" s="94"/>
      <c r="C191" s="95"/>
      <c r="D191" s="92" t="e">
        <f>#REF!</f>
        <v>#REF!</v>
      </c>
      <c r="E191" s="92" t="e">
        <f>#REF!</f>
        <v>#REF!</v>
      </c>
      <c r="F191" s="92" t="e">
        <f>#REF!</f>
        <v>#REF!</v>
      </c>
      <c r="G191" s="92" t="e">
        <f>#REF!</f>
        <v>#REF!</v>
      </c>
      <c r="H191" s="92" t="e">
        <f>#REF!</f>
        <v>#REF!</v>
      </c>
      <c r="I191" s="92" t="e">
        <f>#REF!</f>
        <v>#REF!</v>
      </c>
      <c r="J191" s="92" t="e">
        <f>#REF!</f>
        <v>#REF!</v>
      </c>
      <c r="K191" s="92" t="e">
        <f>#REF!</f>
        <v>#REF!</v>
      </c>
      <c r="L191" s="92" t="e">
        <f>#REF!</f>
        <v>#REF!</v>
      </c>
      <c r="M191" s="92" t="e">
        <f>#REF!</f>
        <v>#REF!</v>
      </c>
      <c r="N191" s="92" t="e">
        <f>#REF!</f>
        <v>#REF!</v>
      </c>
      <c r="O191" s="92" t="e">
        <f>#REF!</f>
        <v>#REF!</v>
      </c>
      <c r="P191" s="92" t="e">
        <f>#REF!</f>
        <v>#REF!</v>
      </c>
      <c r="Q191" s="92" t="e">
        <f>#REF!</f>
        <v>#REF!</v>
      </c>
      <c r="R191" s="68" t="e">
        <f>RATE(12,,-E191,Q191)</f>
        <v>#REF!</v>
      </c>
      <c r="T191" s="65">
        <v>2023</v>
      </c>
      <c r="U191" s="65">
        <v>2024</v>
      </c>
      <c r="V191" s="65">
        <v>2025</v>
      </c>
      <c r="W191" s="65">
        <v>2026</v>
      </c>
      <c r="X191" s="65">
        <v>2027</v>
      </c>
      <c r="Y191" s="65">
        <v>2028</v>
      </c>
      <c r="Z191" s="65">
        <v>2029</v>
      </c>
      <c r="AA191" s="65">
        <v>2030</v>
      </c>
      <c r="AB191" s="65">
        <v>2031</v>
      </c>
      <c r="AC191" s="65">
        <v>2032</v>
      </c>
      <c r="AD191" s="65">
        <v>2033</v>
      </c>
      <c r="AE191" s="65">
        <v>2034</v>
      </c>
      <c r="AF191" s="65">
        <v>2035</v>
      </c>
      <c r="AG191" s="65">
        <v>2036</v>
      </c>
    </row>
    <row r="192" spans="1:33" ht="15" hidden="1" thickBot="1" x14ac:dyDescent="0.4">
      <c r="A192" s="150" t="s">
        <v>49</v>
      </c>
      <c r="B192" s="52" t="s">
        <v>34</v>
      </c>
      <c r="C192" s="45"/>
      <c r="D192" s="79" t="e">
        <f t="shared" ref="D192:Q192" si="192">D191*T192</f>
        <v>#REF!</v>
      </c>
      <c r="E192" s="79" t="e">
        <f t="shared" si="192"/>
        <v>#REF!</v>
      </c>
      <c r="F192" s="79" t="e">
        <f t="shared" si="192"/>
        <v>#REF!</v>
      </c>
      <c r="G192" s="79" t="e">
        <f t="shared" si="192"/>
        <v>#REF!</v>
      </c>
      <c r="H192" s="79" t="e">
        <f t="shared" si="192"/>
        <v>#REF!</v>
      </c>
      <c r="I192" s="79" t="e">
        <f t="shared" si="192"/>
        <v>#REF!</v>
      </c>
      <c r="J192" s="79" t="e">
        <f t="shared" si="192"/>
        <v>#REF!</v>
      </c>
      <c r="K192" s="79" t="e">
        <f t="shared" si="192"/>
        <v>#REF!</v>
      </c>
      <c r="L192" s="79" t="e">
        <f t="shared" si="192"/>
        <v>#REF!</v>
      </c>
      <c r="M192" s="79" t="e">
        <f t="shared" si="192"/>
        <v>#REF!</v>
      </c>
      <c r="N192" s="79" t="e">
        <f t="shared" si="192"/>
        <v>#REF!</v>
      </c>
      <c r="O192" s="79" t="e">
        <f t="shared" si="192"/>
        <v>#REF!</v>
      </c>
      <c r="P192" s="79" t="e">
        <f t="shared" si="192"/>
        <v>#REF!</v>
      </c>
      <c r="Q192" s="79" t="e">
        <f t="shared" si="192"/>
        <v>#REF!</v>
      </c>
      <c r="R192" s="77" t="e">
        <f>RATE(12,,-E192,Q192)</f>
        <v>#REF!</v>
      </c>
      <c r="S192" s="52"/>
      <c r="T192" s="12">
        <v>0.56000000000000005</v>
      </c>
      <c r="U192" s="12">
        <v>0.56092161367703952</v>
      </c>
      <c r="V192" s="12">
        <v>0.56184474408938223</v>
      </c>
      <c r="W192" s="12">
        <v>0.56276939373317769</v>
      </c>
      <c r="X192" s="12">
        <v>0.56369556510868446</v>
      </c>
      <c r="Y192" s="12">
        <v>0.56462326072027491</v>
      </c>
      <c r="Z192" s="12">
        <v>0.56555248307644368</v>
      </c>
      <c r="AA192" s="12">
        <v>0.56648323468981299</v>
      </c>
      <c r="AB192" s="12">
        <v>0.56741551807714108</v>
      </c>
      <c r="AC192" s="12">
        <v>0.56834933575932756</v>
      </c>
      <c r="AD192" s="12">
        <v>0.56928469026142059</v>
      </c>
      <c r="AE192" s="12">
        <v>0.57022158411262425</v>
      </c>
      <c r="AF192" s="12">
        <v>0.57116001984630527</v>
      </c>
      <c r="AG192" s="12">
        <v>0.57209999999999905</v>
      </c>
    </row>
    <row r="193" spans="1:33" ht="15" hidden="1" thickBot="1" x14ac:dyDescent="0.4">
      <c r="A193" s="151"/>
      <c r="B193" s="53" t="s">
        <v>35</v>
      </c>
      <c r="C193" s="46"/>
      <c r="D193" s="80" t="e">
        <f t="shared" ref="D193:Q193" si="193">D191*T193</f>
        <v>#REF!</v>
      </c>
      <c r="E193" s="80" t="e">
        <f t="shared" si="193"/>
        <v>#REF!</v>
      </c>
      <c r="F193" s="80" t="e">
        <f t="shared" si="193"/>
        <v>#REF!</v>
      </c>
      <c r="G193" s="80" t="e">
        <f t="shared" si="193"/>
        <v>#REF!</v>
      </c>
      <c r="H193" s="80" t="e">
        <f t="shared" si="193"/>
        <v>#REF!</v>
      </c>
      <c r="I193" s="80" t="e">
        <f t="shared" si="193"/>
        <v>#REF!</v>
      </c>
      <c r="J193" s="80" t="e">
        <f t="shared" si="193"/>
        <v>#REF!</v>
      </c>
      <c r="K193" s="80" t="e">
        <f t="shared" si="193"/>
        <v>#REF!</v>
      </c>
      <c r="L193" s="80" t="e">
        <f t="shared" si="193"/>
        <v>#REF!</v>
      </c>
      <c r="M193" s="80" t="e">
        <f t="shared" si="193"/>
        <v>#REF!</v>
      </c>
      <c r="N193" s="80" t="e">
        <f t="shared" si="193"/>
        <v>#REF!</v>
      </c>
      <c r="O193" s="80" t="e">
        <f t="shared" si="193"/>
        <v>#REF!</v>
      </c>
      <c r="P193" s="80" t="e">
        <f t="shared" si="193"/>
        <v>#REF!</v>
      </c>
      <c r="Q193" s="80" t="e">
        <f t="shared" si="193"/>
        <v>#REF!</v>
      </c>
      <c r="R193" s="78" t="e">
        <f>RATE(12,,-E193,Q193)</f>
        <v>#REF!</v>
      </c>
      <c r="S193" s="53"/>
      <c r="T193" s="12">
        <f>1-T192</f>
        <v>0.43999999999999995</v>
      </c>
      <c r="U193" s="12">
        <f t="shared" ref="U193:AG193" si="194">1-U192</f>
        <v>0.43907838632296048</v>
      </c>
      <c r="V193" s="12">
        <f t="shared" si="194"/>
        <v>0.43815525591061777</v>
      </c>
      <c r="W193" s="12">
        <f t="shared" si="194"/>
        <v>0.43723060626682231</v>
      </c>
      <c r="X193" s="12">
        <f t="shared" si="194"/>
        <v>0.43630443489131554</v>
      </c>
      <c r="Y193" s="12">
        <f t="shared" si="194"/>
        <v>0.43537673927972509</v>
      </c>
      <c r="Z193" s="12">
        <f t="shared" si="194"/>
        <v>0.43444751692355632</v>
      </c>
      <c r="AA193" s="12">
        <f t="shared" si="194"/>
        <v>0.43351676531018701</v>
      </c>
      <c r="AB193" s="12">
        <f t="shared" si="194"/>
        <v>0.43258448192285892</v>
      </c>
      <c r="AC193" s="12">
        <f t="shared" si="194"/>
        <v>0.43165066424067244</v>
      </c>
      <c r="AD193" s="12">
        <f t="shared" si="194"/>
        <v>0.43071530973857941</v>
      </c>
      <c r="AE193" s="12">
        <f t="shared" si="194"/>
        <v>0.42977841588737575</v>
      </c>
      <c r="AF193" s="12">
        <f t="shared" si="194"/>
        <v>0.42883998015369473</v>
      </c>
      <c r="AG193" s="12">
        <f t="shared" si="194"/>
        <v>0.42790000000000095</v>
      </c>
    </row>
    <row r="194" spans="1:33" ht="15" hidden="1" thickBot="1" x14ac:dyDescent="0.4">
      <c r="A194" s="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21"/>
    </row>
    <row r="195" spans="1:33" ht="15" hidden="1" thickBot="1" x14ac:dyDescent="0.4">
      <c r="A195" s="150" t="s">
        <v>15</v>
      </c>
      <c r="B195" s="57" t="s">
        <v>16</v>
      </c>
      <c r="C195" s="47"/>
      <c r="D195" s="82" t="e">
        <f t="shared" ref="D195:Q195" si="195">D191*T195</f>
        <v>#REF!</v>
      </c>
      <c r="E195" s="82" t="e">
        <f t="shared" si="195"/>
        <v>#REF!</v>
      </c>
      <c r="F195" s="82" t="e">
        <f t="shared" si="195"/>
        <v>#REF!</v>
      </c>
      <c r="G195" s="82" t="e">
        <f t="shared" si="195"/>
        <v>#REF!</v>
      </c>
      <c r="H195" s="82" t="e">
        <f t="shared" si="195"/>
        <v>#REF!</v>
      </c>
      <c r="I195" s="82" t="e">
        <f t="shared" si="195"/>
        <v>#REF!</v>
      </c>
      <c r="J195" s="82" t="e">
        <f t="shared" si="195"/>
        <v>#REF!</v>
      </c>
      <c r="K195" s="82" t="e">
        <f t="shared" si="195"/>
        <v>#REF!</v>
      </c>
      <c r="L195" s="82" t="e">
        <f t="shared" si="195"/>
        <v>#REF!</v>
      </c>
      <c r="M195" s="82" t="e">
        <f t="shared" si="195"/>
        <v>#REF!</v>
      </c>
      <c r="N195" s="82" t="e">
        <f t="shared" si="195"/>
        <v>#REF!</v>
      </c>
      <c r="O195" s="82" t="e">
        <f t="shared" si="195"/>
        <v>#REF!</v>
      </c>
      <c r="P195" s="82" t="e">
        <f t="shared" si="195"/>
        <v>#REF!</v>
      </c>
      <c r="Q195" s="82" t="e">
        <f t="shared" si="195"/>
        <v>#REF!</v>
      </c>
      <c r="R195" s="69" t="e">
        <f>RATE(12,,-E195,Q195)</f>
        <v>#REF!</v>
      </c>
      <c r="S195" s="57"/>
      <c r="T195" s="12">
        <v>0.47099999999999992</v>
      </c>
      <c r="U195" s="12">
        <v>0.47038461538461535</v>
      </c>
      <c r="V195" s="12">
        <v>0.46976923076923072</v>
      </c>
      <c r="W195" s="12">
        <v>0.46915384615384609</v>
      </c>
      <c r="X195" s="12">
        <v>0.46853846153846151</v>
      </c>
      <c r="Y195" s="12">
        <v>0.46792307692307689</v>
      </c>
      <c r="Z195" s="12">
        <v>0.46730769230769226</v>
      </c>
      <c r="AA195" s="12">
        <v>0.46669230769230763</v>
      </c>
      <c r="AB195" s="12">
        <v>0.46607692307692306</v>
      </c>
      <c r="AC195" s="12">
        <v>0.46546153846153843</v>
      </c>
      <c r="AD195" s="12">
        <v>0.4648461538461538</v>
      </c>
      <c r="AE195" s="12">
        <v>0.46423076923076922</v>
      </c>
      <c r="AF195" s="12">
        <v>0.4636153846153846</v>
      </c>
      <c r="AG195" s="12">
        <v>0.46299999999999997</v>
      </c>
    </row>
    <row r="196" spans="1:33" ht="15" hidden="1" thickBot="1" x14ac:dyDescent="0.4">
      <c r="A196" s="151"/>
      <c r="B196" s="58" t="s">
        <v>17</v>
      </c>
      <c r="C196" s="48"/>
      <c r="D196" s="83" t="e">
        <f t="shared" ref="D196:Q196" si="196">D191*T196</f>
        <v>#REF!</v>
      </c>
      <c r="E196" s="83" t="e">
        <f t="shared" si="196"/>
        <v>#REF!</v>
      </c>
      <c r="F196" s="83" t="e">
        <f t="shared" si="196"/>
        <v>#REF!</v>
      </c>
      <c r="G196" s="83" t="e">
        <f t="shared" si="196"/>
        <v>#REF!</v>
      </c>
      <c r="H196" s="83" t="e">
        <f t="shared" si="196"/>
        <v>#REF!</v>
      </c>
      <c r="I196" s="83" t="e">
        <f t="shared" si="196"/>
        <v>#REF!</v>
      </c>
      <c r="J196" s="83" t="e">
        <f t="shared" si="196"/>
        <v>#REF!</v>
      </c>
      <c r="K196" s="83" t="e">
        <f t="shared" si="196"/>
        <v>#REF!</v>
      </c>
      <c r="L196" s="83" t="e">
        <f t="shared" si="196"/>
        <v>#REF!</v>
      </c>
      <c r="M196" s="83" t="e">
        <f t="shared" si="196"/>
        <v>#REF!</v>
      </c>
      <c r="N196" s="83" t="e">
        <f t="shared" si="196"/>
        <v>#REF!</v>
      </c>
      <c r="O196" s="83" t="e">
        <f t="shared" si="196"/>
        <v>#REF!</v>
      </c>
      <c r="P196" s="83" t="e">
        <f t="shared" si="196"/>
        <v>#REF!</v>
      </c>
      <c r="Q196" s="83" t="e">
        <f t="shared" si="196"/>
        <v>#REF!</v>
      </c>
      <c r="R196" s="70" t="e">
        <f>RATE(12,,-E196,Q196)</f>
        <v>#REF!</v>
      </c>
      <c r="S196" s="58"/>
      <c r="T196" s="12">
        <f>1-T195</f>
        <v>0.52900000000000014</v>
      </c>
      <c r="U196" s="12">
        <f t="shared" ref="U196:AG196" si="197">1-U195</f>
        <v>0.5296153846153846</v>
      </c>
      <c r="V196" s="12">
        <f t="shared" si="197"/>
        <v>0.53023076923076928</v>
      </c>
      <c r="W196" s="12">
        <f t="shared" si="197"/>
        <v>0.53084615384615397</v>
      </c>
      <c r="X196" s="12">
        <f t="shared" si="197"/>
        <v>0.53146153846153843</v>
      </c>
      <c r="Y196" s="12">
        <f t="shared" si="197"/>
        <v>0.53207692307692311</v>
      </c>
      <c r="Z196" s="12">
        <f t="shared" si="197"/>
        <v>0.5326923076923078</v>
      </c>
      <c r="AA196" s="12">
        <f t="shared" si="197"/>
        <v>0.53330769230769237</v>
      </c>
      <c r="AB196" s="12">
        <f t="shared" si="197"/>
        <v>0.53392307692307694</v>
      </c>
      <c r="AC196" s="12">
        <f t="shared" si="197"/>
        <v>0.53453846153846163</v>
      </c>
      <c r="AD196" s="12">
        <f t="shared" si="197"/>
        <v>0.5351538461538462</v>
      </c>
      <c r="AE196" s="12">
        <f t="shared" si="197"/>
        <v>0.53576923076923078</v>
      </c>
      <c r="AF196" s="12">
        <f t="shared" si="197"/>
        <v>0.53638461538461546</v>
      </c>
      <c r="AG196" s="12">
        <f t="shared" si="197"/>
        <v>0.53700000000000003</v>
      </c>
    </row>
    <row r="197" spans="1:33" ht="15" hidden="1" thickBot="1" x14ac:dyDescent="0.4">
      <c r="A197" s="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21"/>
    </row>
    <row r="198" spans="1:33" ht="15" hidden="1" thickBot="1" x14ac:dyDescent="0.4">
      <c r="A198" s="150" t="s">
        <v>18</v>
      </c>
      <c r="B198" s="54" t="s">
        <v>19</v>
      </c>
      <c r="C198" s="49"/>
      <c r="D198" s="84" t="e">
        <f t="shared" ref="D198:Q198" si="198">D191*T198</f>
        <v>#REF!</v>
      </c>
      <c r="E198" s="84" t="e">
        <f t="shared" si="198"/>
        <v>#REF!</v>
      </c>
      <c r="F198" s="84" t="e">
        <f t="shared" si="198"/>
        <v>#REF!</v>
      </c>
      <c r="G198" s="84" t="e">
        <f t="shared" si="198"/>
        <v>#REF!</v>
      </c>
      <c r="H198" s="84" t="e">
        <f t="shared" si="198"/>
        <v>#REF!</v>
      </c>
      <c r="I198" s="84" t="e">
        <f t="shared" si="198"/>
        <v>#REF!</v>
      </c>
      <c r="J198" s="84" t="e">
        <f t="shared" si="198"/>
        <v>#REF!</v>
      </c>
      <c r="K198" s="84" t="e">
        <f t="shared" si="198"/>
        <v>#REF!</v>
      </c>
      <c r="L198" s="84" t="e">
        <f t="shared" si="198"/>
        <v>#REF!</v>
      </c>
      <c r="M198" s="84" t="e">
        <f t="shared" si="198"/>
        <v>#REF!</v>
      </c>
      <c r="N198" s="84" t="e">
        <f t="shared" si="198"/>
        <v>#REF!</v>
      </c>
      <c r="O198" s="84" t="e">
        <f t="shared" si="198"/>
        <v>#REF!</v>
      </c>
      <c r="P198" s="84" t="e">
        <f t="shared" si="198"/>
        <v>#REF!</v>
      </c>
      <c r="Q198" s="84" t="e">
        <f t="shared" si="198"/>
        <v>#REF!</v>
      </c>
      <c r="R198" s="71" t="e">
        <f>RATE(12,,-E198,Q198)</f>
        <v>#REF!</v>
      </c>
      <c r="S198" s="54"/>
      <c r="T198" s="12">
        <v>0.40099999999999997</v>
      </c>
      <c r="U198" s="12">
        <v>0.40265090533119946</v>
      </c>
      <c r="V198" s="12">
        <v>0.40430860739160734</v>
      </c>
      <c r="W198" s="12">
        <v>0.40597313416316017</v>
      </c>
      <c r="X198" s="12">
        <v>0.40764451374299493</v>
      </c>
      <c r="Y198" s="12">
        <v>0.40932277434392395</v>
      </c>
      <c r="Z198" s="12">
        <v>0.41100794429491083</v>
      </c>
      <c r="AA198" s="12">
        <v>0.4127000520415488</v>
      </c>
      <c r="AB198" s="12">
        <v>0.41439912614654062</v>
      </c>
      <c r="AC198" s="12">
        <v>0.41610519529018092</v>
      </c>
      <c r="AD198" s="12">
        <v>0.41781828827084017</v>
      </c>
      <c r="AE198" s="12">
        <v>0.4195384340054511</v>
      </c>
      <c r="AF198" s="12">
        <v>0.4212656615299965</v>
      </c>
      <c r="AG198" s="12">
        <v>0.42299999999999938</v>
      </c>
    </row>
    <row r="199" spans="1:33" ht="15" hidden="1" thickBot="1" x14ac:dyDescent="0.4">
      <c r="A199" s="151"/>
      <c r="B199" s="56" t="s">
        <v>20</v>
      </c>
      <c r="C199" s="44"/>
      <c r="D199" s="85" t="e">
        <f t="shared" ref="D199:Q199" si="199">D191*T199</f>
        <v>#REF!</v>
      </c>
      <c r="E199" s="85" t="e">
        <f t="shared" si="199"/>
        <v>#REF!</v>
      </c>
      <c r="F199" s="85" t="e">
        <f t="shared" si="199"/>
        <v>#REF!</v>
      </c>
      <c r="G199" s="85" t="e">
        <f t="shared" si="199"/>
        <v>#REF!</v>
      </c>
      <c r="H199" s="85" t="e">
        <f t="shared" si="199"/>
        <v>#REF!</v>
      </c>
      <c r="I199" s="85" t="e">
        <f t="shared" si="199"/>
        <v>#REF!</v>
      </c>
      <c r="J199" s="85" t="e">
        <f t="shared" si="199"/>
        <v>#REF!</v>
      </c>
      <c r="K199" s="85" t="e">
        <f t="shared" si="199"/>
        <v>#REF!</v>
      </c>
      <c r="L199" s="85" t="e">
        <f t="shared" si="199"/>
        <v>#REF!</v>
      </c>
      <c r="M199" s="85" t="e">
        <f t="shared" si="199"/>
        <v>#REF!</v>
      </c>
      <c r="N199" s="85" t="e">
        <f t="shared" si="199"/>
        <v>#REF!</v>
      </c>
      <c r="O199" s="85" t="e">
        <f t="shared" si="199"/>
        <v>#REF!</v>
      </c>
      <c r="P199" s="85" t="e">
        <f t="shared" si="199"/>
        <v>#REF!</v>
      </c>
      <c r="Q199" s="85" t="e">
        <f t="shared" si="199"/>
        <v>#REF!</v>
      </c>
      <c r="R199" s="72" t="e">
        <f>RATE(12,,-E199,Q199)</f>
        <v>#REF!</v>
      </c>
      <c r="S199" s="56"/>
      <c r="T199" s="12">
        <f>1-T198</f>
        <v>0.59899999999999998</v>
      </c>
      <c r="U199" s="12">
        <f t="shared" ref="U199:AG199" si="200">1-U198</f>
        <v>0.59734909466880048</v>
      </c>
      <c r="V199" s="12">
        <f t="shared" si="200"/>
        <v>0.59569139260839266</v>
      </c>
      <c r="W199" s="12">
        <f t="shared" si="200"/>
        <v>0.59402686583683983</v>
      </c>
      <c r="X199" s="12">
        <f t="shared" si="200"/>
        <v>0.59235548625700507</v>
      </c>
      <c r="Y199" s="12">
        <f t="shared" si="200"/>
        <v>0.59067722565607605</v>
      </c>
      <c r="Z199" s="12">
        <f t="shared" si="200"/>
        <v>0.58899205570508917</v>
      </c>
      <c r="AA199" s="12">
        <f t="shared" si="200"/>
        <v>0.5872999479584512</v>
      </c>
      <c r="AB199" s="12">
        <f t="shared" si="200"/>
        <v>0.58560087385345938</v>
      </c>
      <c r="AC199" s="12">
        <f t="shared" si="200"/>
        <v>0.58389480470981914</v>
      </c>
      <c r="AD199" s="12">
        <f t="shared" si="200"/>
        <v>0.58218171172915989</v>
      </c>
      <c r="AE199" s="12">
        <f t="shared" si="200"/>
        <v>0.5804615659945489</v>
      </c>
      <c r="AF199" s="12">
        <f t="shared" si="200"/>
        <v>0.57873433847000344</v>
      </c>
      <c r="AG199" s="12">
        <f t="shared" si="200"/>
        <v>0.57700000000000062</v>
      </c>
    </row>
    <row r="200" spans="1:33" ht="15" hidden="1" thickBot="1" x14ac:dyDescent="0.4">
      <c r="A200" s="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21"/>
    </row>
    <row r="201" spans="1:33" ht="15" hidden="1" thickBot="1" x14ac:dyDescent="0.4">
      <c r="A201" s="150" t="s">
        <v>14</v>
      </c>
      <c r="B201" s="59" t="s">
        <v>21</v>
      </c>
      <c r="C201" s="50"/>
      <c r="D201" s="86" t="e">
        <f t="shared" ref="D201:Q201" si="201">D191*T201</f>
        <v>#REF!</v>
      </c>
      <c r="E201" s="86" t="e">
        <f t="shared" si="201"/>
        <v>#REF!</v>
      </c>
      <c r="F201" s="86" t="e">
        <f t="shared" si="201"/>
        <v>#REF!</v>
      </c>
      <c r="G201" s="86" t="e">
        <f t="shared" si="201"/>
        <v>#REF!</v>
      </c>
      <c r="H201" s="86" t="e">
        <f t="shared" si="201"/>
        <v>#REF!</v>
      </c>
      <c r="I201" s="86" t="e">
        <f t="shared" si="201"/>
        <v>#REF!</v>
      </c>
      <c r="J201" s="86" t="e">
        <f t="shared" si="201"/>
        <v>#REF!</v>
      </c>
      <c r="K201" s="86" t="e">
        <f t="shared" si="201"/>
        <v>#REF!</v>
      </c>
      <c r="L201" s="86" t="e">
        <f t="shared" si="201"/>
        <v>#REF!</v>
      </c>
      <c r="M201" s="86" t="e">
        <f t="shared" si="201"/>
        <v>#REF!</v>
      </c>
      <c r="N201" s="86" t="e">
        <f t="shared" si="201"/>
        <v>#REF!</v>
      </c>
      <c r="O201" s="86" t="e">
        <f t="shared" si="201"/>
        <v>#REF!</v>
      </c>
      <c r="P201" s="86" t="e">
        <f t="shared" si="201"/>
        <v>#REF!</v>
      </c>
      <c r="Q201" s="86" t="e">
        <f t="shared" si="201"/>
        <v>#REF!</v>
      </c>
      <c r="R201" s="73" t="e">
        <f t="shared" ref="R201:R206" si="202">RATE(12,,-E201,Q201)</f>
        <v>#REF!</v>
      </c>
      <c r="S201" s="59"/>
      <c r="T201" s="12">
        <v>0.25</v>
      </c>
      <c r="U201" s="12">
        <v>0.25155593539307364</v>
      </c>
      <c r="V201" s="12">
        <v>0.25312155452593693</v>
      </c>
      <c r="W201" s="12">
        <v>0.25469691766768382</v>
      </c>
      <c r="X201" s="12">
        <v>0.25628208546250747</v>
      </c>
      <c r="Y201" s="12">
        <v>0.2578771189320348</v>
      </c>
      <c r="Z201" s="12">
        <v>0.25948207947767565</v>
      </c>
      <c r="AA201" s="12">
        <v>0.2610970288829863</v>
      </c>
      <c r="AB201" s="12">
        <v>0.26272202931604799</v>
      </c>
      <c r="AC201" s="12">
        <v>0.26435714333185978</v>
      </c>
      <c r="AD201" s="12">
        <v>0.26600243387474731</v>
      </c>
      <c r="AE201" s="12">
        <v>0.26765796428078514</v>
      </c>
      <c r="AF201" s="12">
        <v>0.26932379828023517</v>
      </c>
      <c r="AG201" s="12">
        <v>0.27100000000000013</v>
      </c>
    </row>
    <row r="202" spans="1:33" ht="15" hidden="1" thickBot="1" x14ac:dyDescent="0.4">
      <c r="A202" s="155"/>
      <c r="B202" s="60" t="s">
        <v>22</v>
      </c>
      <c r="C202" s="41"/>
      <c r="D202" s="87" t="e">
        <f t="shared" ref="D202:Q202" si="203">D191*T202</f>
        <v>#REF!</v>
      </c>
      <c r="E202" s="87" t="e">
        <f t="shared" si="203"/>
        <v>#REF!</v>
      </c>
      <c r="F202" s="87" t="e">
        <f t="shared" si="203"/>
        <v>#REF!</v>
      </c>
      <c r="G202" s="87" t="e">
        <f t="shared" si="203"/>
        <v>#REF!</v>
      </c>
      <c r="H202" s="87" t="e">
        <f t="shared" si="203"/>
        <v>#REF!</v>
      </c>
      <c r="I202" s="87" t="e">
        <f t="shared" si="203"/>
        <v>#REF!</v>
      </c>
      <c r="J202" s="87" t="e">
        <f t="shared" si="203"/>
        <v>#REF!</v>
      </c>
      <c r="K202" s="87" t="e">
        <f t="shared" si="203"/>
        <v>#REF!</v>
      </c>
      <c r="L202" s="87" t="e">
        <f t="shared" si="203"/>
        <v>#REF!</v>
      </c>
      <c r="M202" s="87" t="e">
        <f t="shared" si="203"/>
        <v>#REF!</v>
      </c>
      <c r="N202" s="87" t="e">
        <f t="shared" si="203"/>
        <v>#REF!</v>
      </c>
      <c r="O202" s="87" t="e">
        <f t="shared" si="203"/>
        <v>#REF!</v>
      </c>
      <c r="P202" s="87" t="e">
        <f t="shared" si="203"/>
        <v>#REF!</v>
      </c>
      <c r="Q202" s="87" t="e">
        <f t="shared" si="203"/>
        <v>#REF!</v>
      </c>
      <c r="R202" s="74" t="e">
        <f t="shared" si="202"/>
        <v>#REF!</v>
      </c>
      <c r="S202" s="60"/>
      <c r="T202" s="12">
        <v>0.38</v>
      </c>
      <c r="U202" s="12">
        <v>0.38090988938047371</v>
      </c>
      <c r="V202" s="12">
        <v>0.38182195744169661</v>
      </c>
      <c r="W202" s="12">
        <v>0.38273620940040159</v>
      </c>
      <c r="X202" s="12">
        <v>0.38365265048581265</v>
      </c>
      <c r="Y202" s="12">
        <v>0.38457128593967477</v>
      </c>
      <c r="Z202" s="12">
        <v>0.38549212101628438</v>
      </c>
      <c r="AA202" s="12">
        <v>0.38641516098251855</v>
      </c>
      <c r="AB202" s="12">
        <v>0.38734041111786593</v>
      </c>
      <c r="AC202" s="12">
        <v>0.38826787671445667</v>
      </c>
      <c r="AD202" s="12">
        <v>0.38919756307709236</v>
      </c>
      <c r="AE202" s="12">
        <v>0.39012947552327681</v>
      </c>
      <c r="AF202" s="12">
        <v>0.3910636193832463</v>
      </c>
      <c r="AG202" s="12">
        <v>0.39200000000000002</v>
      </c>
    </row>
    <row r="203" spans="1:33" ht="15" hidden="1" thickBot="1" x14ac:dyDescent="0.4">
      <c r="A203" s="155"/>
      <c r="B203" s="61" t="s">
        <v>23</v>
      </c>
      <c r="C203" s="41"/>
      <c r="D203" s="88" t="e">
        <f t="shared" ref="D203:Q203" si="204">D202*T203</f>
        <v>#REF!</v>
      </c>
      <c r="E203" s="88" t="e">
        <f t="shared" si="204"/>
        <v>#REF!</v>
      </c>
      <c r="F203" s="88" t="e">
        <f t="shared" si="204"/>
        <v>#REF!</v>
      </c>
      <c r="G203" s="88" t="e">
        <f t="shared" si="204"/>
        <v>#REF!</v>
      </c>
      <c r="H203" s="88" t="e">
        <f t="shared" si="204"/>
        <v>#REF!</v>
      </c>
      <c r="I203" s="88" t="e">
        <f t="shared" si="204"/>
        <v>#REF!</v>
      </c>
      <c r="J203" s="88" t="e">
        <f t="shared" si="204"/>
        <v>#REF!</v>
      </c>
      <c r="K203" s="88" t="e">
        <f t="shared" si="204"/>
        <v>#REF!</v>
      </c>
      <c r="L203" s="88" t="e">
        <f t="shared" si="204"/>
        <v>#REF!</v>
      </c>
      <c r="M203" s="88" t="e">
        <f t="shared" si="204"/>
        <v>#REF!</v>
      </c>
      <c r="N203" s="88" t="e">
        <f t="shared" si="204"/>
        <v>#REF!</v>
      </c>
      <c r="O203" s="88" t="e">
        <f t="shared" si="204"/>
        <v>#REF!</v>
      </c>
      <c r="P203" s="88" t="e">
        <f t="shared" si="204"/>
        <v>#REF!</v>
      </c>
      <c r="Q203" s="88" t="e">
        <f t="shared" si="204"/>
        <v>#REF!</v>
      </c>
      <c r="R203" s="74" t="e">
        <f t="shared" si="202"/>
        <v>#REF!</v>
      </c>
      <c r="S203" s="61"/>
      <c r="T203" s="67">
        <v>0.34999999999999987</v>
      </c>
      <c r="U203" s="67">
        <v>0.34938588387166564</v>
      </c>
      <c r="V203" s="67">
        <v>0.34877284528224306</v>
      </c>
      <c r="W203" s="67">
        <v>0.34816088234106346</v>
      </c>
      <c r="X203" s="67">
        <v>0.34754999316077562</v>
      </c>
      <c r="Y203" s="67">
        <v>0.34694017585733994</v>
      </c>
      <c r="Z203" s="67">
        <v>0.34633142855002247</v>
      </c>
      <c r="AA203" s="67">
        <v>0.34572374936138933</v>
      </c>
      <c r="AB203" s="67">
        <v>0.34511713641730069</v>
      </c>
      <c r="AC203" s="67">
        <v>0.34451158784690528</v>
      </c>
      <c r="AD203" s="67">
        <v>0.34390710178263434</v>
      </c>
      <c r="AE203" s="67">
        <v>0.34330367636019604</v>
      </c>
      <c r="AF203" s="67">
        <v>0.34270130971856966</v>
      </c>
      <c r="AG203" s="67">
        <v>0.34209999999999979</v>
      </c>
    </row>
    <row r="204" spans="1:33" ht="15" hidden="1" thickBot="1" x14ac:dyDescent="0.4">
      <c r="A204" s="155"/>
      <c r="B204" s="61" t="s">
        <v>24</v>
      </c>
      <c r="C204" s="41"/>
      <c r="D204" s="88" t="e">
        <f t="shared" ref="D204:Q204" si="205">D202*T204</f>
        <v>#REF!</v>
      </c>
      <c r="E204" s="88" t="e">
        <f t="shared" si="205"/>
        <v>#REF!</v>
      </c>
      <c r="F204" s="88" t="e">
        <f t="shared" si="205"/>
        <v>#REF!</v>
      </c>
      <c r="G204" s="88" t="e">
        <f t="shared" si="205"/>
        <v>#REF!</v>
      </c>
      <c r="H204" s="88" t="e">
        <f t="shared" si="205"/>
        <v>#REF!</v>
      </c>
      <c r="I204" s="88" t="e">
        <f t="shared" si="205"/>
        <v>#REF!</v>
      </c>
      <c r="J204" s="88" t="e">
        <f t="shared" si="205"/>
        <v>#REF!</v>
      </c>
      <c r="K204" s="88" t="e">
        <f t="shared" si="205"/>
        <v>#REF!</v>
      </c>
      <c r="L204" s="88" t="e">
        <f t="shared" si="205"/>
        <v>#REF!</v>
      </c>
      <c r="M204" s="88" t="e">
        <f t="shared" si="205"/>
        <v>#REF!</v>
      </c>
      <c r="N204" s="88" t="e">
        <f t="shared" si="205"/>
        <v>#REF!</v>
      </c>
      <c r="O204" s="88" t="e">
        <f t="shared" si="205"/>
        <v>#REF!</v>
      </c>
      <c r="P204" s="88" t="e">
        <f t="shared" si="205"/>
        <v>#REF!</v>
      </c>
      <c r="Q204" s="88" t="e">
        <f t="shared" si="205"/>
        <v>#REF!</v>
      </c>
      <c r="R204" s="74" t="e">
        <f t="shared" si="202"/>
        <v>#REF!</v>
      </c>
      <c r="S204" s="61"/>
      <c r="T204" s="67">
        <v>0.28000000000000003</v>
      </c>
      <c r="U204" s="67">
        <v>0.28097918830490543</v>
      </c>
      <c r="V204" s="67">
        <v>0.28196180093029821</v>
      </c>
      <c r="W204" s="67">
        <v>0.28294784985137333</v>
      </c>
      <c r="X204" s="67">
        <v>0.28393734708520407</v>
      </c>
      <c r="Y204" s="67">
        <v>0.28493030469088876</v>
      </c>
      <c r="Z204" s="67">
        <v>0.28592673476969749</v>
      </c>
      <c r="AA204" s="67">
        <v>0.28692664946521995</v>
      </c>
      <c r="AB204" s="67">
        <v>0.28793006096351298</v>
      </c>
      <c r="AC204" s="67">
        <v>0.28893698149324931</v>
      </c>
      <c r="AD204" s="67">
        <v>0.28994742332586665</v>
      </c>
      <c r="AE204" s="67">
        <v>0.29096139877571725</v>
      </c>
      <c r="AF204" s="67">
        <v>0.29197892020021765</v>
      </c>
      <c r="AG204" s="67">
        <v>0.29299999999999965</v>
      </c>
    </row>
    <row r="205" spans="1:33" ht="15" hidden="1" thickBot="1" x14ac:dyDescent="0.4">
      <c r="A205" s="155"/>
      <c r="B205" s="61" t="s">
        <v>25</v>
      </c>
      <c r="C205" s="41"/>
      <c r="D205" s="88" t="e">
        <f t="shared" ref="D205:Q205" si="206">D202*T205</f>
        <v>#REF!</v>
      </c>
      <c r="E205" s="88" t="e">
        <f t="shared" si="206"/>
        <v>#REF!</v>
      </c>
      <c r="F205" s="88" t="e">
        <f t="shared" si="206"/>
        <v>#REF!</v>
      </c>
      <c r="G205" s="88" t="e">
        <f t="shared" si="206"/>
        <v>#REF!</v>
      </c>
      <c r="H205" s="88" t="e">
        <f t="shared" si="206"/>
        <v>#REF!</v>
      </c>
      <c r="I205" s="88" t="e">
        <f t="shared" si="206"/>
        <v>#REF!</v>
      </c>
      <c r="J205" s="88" t="e">
        <f t="shared" si="206"/>
        <v>#REF!</v>
      </c>
      <c r="K205" s="88" t="e">
        <f t="shared" si="206"/>
        <v>#REF!</v>
      </c>
      <c r="L205" s="88" t="e">
        <f t="shared" si="206"/>
        <v>#REF!</v>
      </c>
      <c r="M205" s="88" t="e">
        <f t="shared" si="206"/>
        <v>#REF!</v>
      </c>
      <c r="N205" s="88" t="e">
        <f t="shared" si="206"/>
        <v>#REF!</v>
      </c>
      <c r="O205" s="88" t="e">
        <f t="shared" si="206"/>
        <v>#REF!</v>
      </c>
      <c r="P205" s="88" t="e">
        <f t="shared" si="206"/>
        <v>#REF!</v>
      </c>
      <c r="Q205" s="88" t="e">
        <f t="shared" si="206"/>
        <v>#REF!</v>
      </c>
      <c r="R205" s="74" t="e">
        <f t="shared" si="202"/>
        <v>#REF!</v>
      </c>
      <c r="S205" s="61"/>
      <c r="T205" s="67">
        <f>1-SUM(T203:T204)</f>
        <v>0.37000000000000011</v>
      </c>
      <c r="U205" s="67">
        <f t="shared" ref="U205:AG205" si="207">1-SUM(U203:U204)</f>
        <v>0.36963492782342899</v>
      </c>
      <c r="V205" s="67">
        <f t="shared" si="207"/>
        <v>0.36926535378745873</v>
      </c>
      <c r="W205" s="67">
        <f t="shared" si="207"/>
        <v>0.36889126780756321</v>
      </c>
      <c r="X205" s="67">
        <f t="shared" si="207"/>
        <v>0.36851265975402026</v>
      </c>
      <c r="Y205" s="67">
        <f t="shared" si="207"/>
        <v>0.3681295194517713</v>
      </c>
      <c r="Z205" s="67">
        <f t="shared" si="207"/>
        <v>0.36774183668028004</v>
      </c>
      <c r="AA205" s="67">
        <f t="shared" si="207"/>
        <v>0.36734960117339077</v>
      </c>
      <c r="AB205" s="67">
        <f t="shared" si="207"/>
        <v>0.36695280261918639</v>
      </c>
      <c r="AC205" s="67">
        <f t="shared" si="207"/>
        <v>0.36655143065984541</v>
      </c>
      <c r="AD205" s="67">
        <f t="shared" si="207"/>
        <v>0.36614547489149896</v>
      </c>
      <c r="AE205" s="67">
        <f t="shared" si="207"/>
        <v>0.36573492486408665</v>
      </c>
      <c r="AF205" s="67">
        <f t="shared" si="207"/>
        <v>0.36531977008121275</v>
      </c>
      <c r="AG205" s="67">
        <f t="shared" si="207"/>
        <v>0.36490000000000056</v>
      </c>
    </row>
    <row r="206" spans="1:33" ht="15" hidden="1" thickBot="1" x14ac:dyDescent="0.4">
      <c r="A206" s="151"/>
      <c r="B206" s="62" t="s">
        <v>26</v>
      </c>
      <c r="C206" s="51"/>
      <c r="D206" s="89" t="e">
        <f t="shared" ref="D206:Q206" si="208">D191*T206</f>
        <v>#REF!</v>
      </c>
      <c r="E206" s="89" t="e">
        <f t="shared" si="208"/>
        <v>#REF!</v>
      </c>
      <c r="F206" s="89" t="e">
        <f t="shared" si="208"/>
        <v>#REF!</v>
      </c>
      <c r="G206" s="89" t="e">
        <f t="shared" si="208"/>
        <v>#REF!</v>
      </c>
      <c r="H206" s="89" t="e">
        <f t="shared" si="208"/>
        <v>#REF!</v>
      </c>
      <c r="I206" s="89" t="e">
        <f t="shared" si="208"/>
        <v>#REF!</v>
      </c>
      <c r="J206" s="89" t="e">
        <f t="shared" si="208"/>
        <v>#REF!</v>
      </c>
      <c r="K206" s="89" t="e">
        <f t="shared" si="208"/>
        <v>#REF!</v>
      </c>
      <c r="L206" s="89" t="e">
        <f t="shared" si="208"/>
        <v>#REF!</v>
      </c>
      <c r="M206" s="89" t="e">
        <f t="shared" si="208"/>
        <v>#REF!</v>
      </c>
      <c r="N206" s="89" t="e">
        <f t="shared" si="208"/>
        <v>#REF!</v>
      </c>
      <c r="O206" s="89" t="e">
        <f t="shared" si="208"/>
        <v>#REF!</v>
      </c>
      <c r="P206" s="89" t="e">
        <f t="shared" si="208"/>
        <v>#REF!</v>
      </c>
      <c r="Q206" s="89" t="e">
        <f t="shared" si="208"/>
        <v>#REF!</v>
      </c>
      <c r="R206" s="75" t="e">
        <f t="shared" si="202"/>
        <v>#REF!</v>
      </c>
      <c r="S206" s="62"/>
      <c r="T206" s="12">
        <f>1-SUM(T201+T202)</f>
        <v>0.37</v>
      </c>
      <c r="U206" s="12">
        <f t="shared" ref="U206:AG206" si="209">1-SUM(U201+U202)</f>
        <v>0.36753417522645271</v>
      </c>
      <c r="V206" s="12">
        <f t="shared" si="209"/>
        <v>0.36505648803236646</v>
      </c>
      <c r="W206" s="12">
        <f t="shared" si="209"/>
        <v>0.36256687293191459</v>
      </c>
      <c r="X206" s="12">
        <f t="shared" si="209"/>
        <v>0.36006526405167993</v>
      </c>
      <c r="Y206" s="12">
        <f t="shared" si="209"/>
        <v>0.35755159512829038</v>
      </c>
      <c r="Z206" s="12">
        <f t="shared" si="209"/>
        <v>0.35502579950603996</v>
      </c>
      <c r="AA206" s="12">
        <f t="shared" si="209"/>
        <v>0.35248781013449515</v>
      </c>
      <c r="AB206" s="12">
        <f t="shared" si="209"/>
        <v>0.34993755956608608</v>
      </c>
      <c r="AC206" s="12">
        <f t="shared" si="209"/>
        <v>0.3473749799536836</v>
      </c>
      <c r="AD206" s="12">
        <f t="shared" si="209"/>
        <v>0.34480000304816039</v>
      </c>
      <c r="AE206" s="12">
        <f t="shared" si="209"/>
        <v>0.34221256019593804</v>
      </c>
      <c r="AF206" s="12">
        <f t="shared" si="209"/>
        <v>0.33961258233651859</v>
      </c>
      <c r="AG206" s="12">
        <f t="shared" si="209"/>
        <v>0.33699999999999986</v>
      </c>
    </row>
    <row r="207" spans="1:33" ht="15" hidden="1" thickBot="1" x14ac:dyDescent="0.4">
      <c r="A207" s="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21"/>
    </row>
    <row r="208" spans="1:33" ht="15" hidden="1" thickBot="1" x14ac:dyDescent="0.4">
      <c r="A208" s="152" t="s">
        <v>27</v>
      </c>
      <c r="B208" s="54" t="s">
        <v>28</v>
      </c>
      <c r="C208" s="49"/>
      <c r="D208" s="84" t="e">
        <f t="shared" ref="D208:Q208" si="210">D191*T208</f>
        <v>#REF!</v>
      </c>
      <c r="E208" s="84" t="e">
        <f t="shared" si="210"/>
        <v>#REF!</v>
      </c>
      <c r="F208" s="84" t="e">
        <f t="shared" si="210"/>
        <v>#REF!</v>
      </c>
      <c r="G208" s="84" t="e">
        <f t="shared" si="210"/>
        <v>#REF!</v>
      </c>
      <c r="H208" s="84" t="e">
        <f t="shared" si="210"/>
        <v>#REF!</v>
      </c>
      <c r="I208" s="84" t="e">
        <f t="shared" si="210"/>
        <v>#REF!</v>
      </c>
      <c r="J208" s="84" t="e">
        <f t="shared" si="210"/>
        <v>#REF!</v>
      </c>
      <c r="K208" s="84" t="e">
        <f t="shared" si="210"/>
        <v>#REF!</v>
      </c>
      <c r="L208" s="84" t="e">
        <f t="shared" si="210"/>
        <v>#REF!</v>
      </c>
      <c r="M208" s="84" t="e">
        <f t="shared" si="210"/>
        <v>#REF!</v>
      </c>
      <c r="N208" s="84" t="e">
        <f t="shared" si="210"/>
        <v>#REF!</v>
      </c>
      <c r="O208" s="84" t="e">
        <f t="shared" si="210"/>
        <v>#REF!</v>
      </c>
      <c r="P208" s="84" t="e">
        <f t="shared" si="210"/>
        <v>#REF!</v>
      </c>
      <c r="Q208" s="84" t="e">
        <f t="shared" si="210"/>
        <v>#REF!</v>
      </c>
      <c r="R208" s="71" t="e">
        <f>RATE(12,,-E208,Q208)</f>
        <v>#REF!</v>
      </c>
      <c r="S208" s="54"/>
      <c r="T208" s="12">
        <v>0.40099999999999997</v>
      </c>
      <c r="U208" s="12">
        <v>0.40265090533119946</v>
      </c>
      <c r="V208" s="12">
        <v>0.40430860739160734</v>
      </c>
      <c r="W208" s="12">
        <v>0.40597313416316017</v>
      </c>
      <c r="X208" s="12">
        <v>0.40764451374299493</v>
      </c>
      <c r="Y208" s="12">
        <v>0.40932277434392395</v>
      </c>
      <c r="Z208" s="12">
        <v>0.41100794429491083</v>
      </c>
      <c r="AA208" s="12">
        <v>0.4127000520415488</v>
      </c>
      <c r="AB208" s="12">
        <v>0.41439912614654062</v>
      </c>
      <c r="AC208" s="12">
        <v>0.41610519529018092</v>
      </c>
      <c r="AD208" s="12">
        <v>0.41781828827084017</v>
      </c>
      <c r="AE208" s="12">
        <v>0.4195384340054511</v>
      </c>
      <c r="AF208" s="12">
        <v>0.4212656615299965</v>
      </c>
      <c r="AG208" s="12">
        <v>0.42299999999999938</v>
      </c>
    </row>
    <row r="209" spans="1:33" ht="15" hidden="1" thickBot="1" x14ac:dyDescent="0.4">
      <c r="A209" s="154"/>
      <c r="B209" s="55" t="s">
        <v>29</v>
      </c>
      <c r="C209" s="40"/>
      <c r="D209" s="90" t="e">
        <f t="shared" ref="D209:Q209" si="211">D191*T209</f>
        <v>#REF!</v>
      </c>
      <c r="E209" s="90" t="e">
        <f t="shared" si="211"/>
        <v>#REF!</v>
      </c>
      <c r="F209" s="90" t="e">
        <f t="shared" si="211"/>
        <v>#REF!</v>
      </c>
      <c r="G209" s="90" t="e">
        <f t="shared" si="211"/>
        <v>#REF!</v>
      </c>
      <c r="H209" s="90" t="e">
        <f t="shared" si="211"/>
        <v>#REF!</v>
      </c>
      <c r="I209" s="90" t="e">
        <f t="shared" si="211"/>
        <v>#REF!</v>
      </c>
      <c r="J209" s="90" t="e">
        <f t="shared" si="211"/>
        <v>#REF!</v>
      </c>
      <c r="K209" s="90" t="e">
        <f t="shared" si="211"/>
        <v>#REF!</v>
      </c>
      <c r="L209" s="90" t="e">
        <f t="shared" si="211"/>
        <v>#REF!</v>
      </c>
      <c r="M209" s="90" t="e">
        <f t="shared" si="211"/>
        <v>#REF!</v>
      </c>
      <c r="N209" s="90" t="e">
        <f t="shared" si="211"/>
        <v>#REF!</v>
      </c>
      <c r="O209" s="90" t="e">
        <f t="shared" si="211"/>
        <v>#REF!</v>
      </c>
      <c r="P209" s="90" t="e">
        <f t="shared" si="211"/>
        <v>#REF!</v>
      </c>
      <c r="Q209" s="90" t="e">
        <f t="shared" si="211"/>
        <v>#REF!</v>
      </c>
      <c r="R209" s="76" t="e">
        <f>RATE(12,,-E209,Q209)</f>
        <v>#REF!</v>
      </c>
      <c r="S209" s="55"/>
      <c r="T209" s="12">
        <v>0.43099999999999999</v>
      </c>
      <c r="U209" s="12">
        <v>0.43183634674261745</v>
      </c>
      <c r="V209" s="12">
        <v>0.43267431639909548</v>
      </c>
      <c r="W209" s="12">
        <v>0.43351391211866536</v>
      </c>
      <c r="X209" s="12">
        <v>0.43435513705666956</v>
      </c>
      <c r="Y209" s="12">
        <v>0.43519799437457324</v>
      </c>
      <c r="Z209" s="12">
        <v>0.43604248723997657</v>
      </c>
      <c r="AA209" s="12">
        <v>0.43688861882662616</v>
      </c>
      <c r="AB209" s="12">
        <v>0.43773639231442729</v>
      </c>
      <c r="AC209" s="12">
        <v>0.43858581088945586</v>
      </c>
      <c r="AD209" s="12">
        <v>0.43943687774397006</v>
      </c>
      <c r="AE209" s="12">
        <v>0.44028959607642287</v>
      </c>
      <c r="AF209" s="12">
        <v>0.44114396909147369</v>
      </c>
      <c r="AG209" s="12">
        <v>0.44200000000000028</v>
      </c>
    </row>
    <row r="210" spans="1:33" ht="15" hidden="1" thickBot="1" x14ac:dyDescent="0.4">
      <c r="A210" s="153"/>
      <c r="B210" s="56" t="s">
        <v>30</v>
      </c>
      <c r="C210" s="44"/>
      <c r="D210" s="85" t="e">
        <f t="shared" ref="D210:Q210" si="212">D191*T210</f>
        <v>#REF!</v>
      </c>
      <c r="E210" s="85" t="e">
        <f t="shared" si="212"/>
        <v>#REF!</v>
      </c>
      <c r="F210" s="85" t="e">
        <f t="shared" si="212"/>
        <v>#REF!</v>
      </c>
      <c r="G210" s="85" t="e">
        <f t="shared" si="212"/>
        <v>#REF!</v>
      </c>
      <c r="H210" s="85" t="e">
        <f t="shared" si="212"/>
        <v>#REF!</v>
      </c>
      <c r="I210" s="85" t="e">
        <f t="shared" si="212"/>
        <v>#REF!</v>
      </c>
      <c r="J210" s="85" t="e">
        <f t="shared" si="212"/>
        <v>#REF!</v>
      </c>
      <c r="K210" s="85" t="e">
        <f t="shared" si="212"/>
        <v>#REF!</v>
      </c>
      <c r="L210" s="85" t="e">
        <f t="shared" si="212"/>
        <v>#REF!</v>
      </c>
      <c r="M210" s="85" t="e">
        <f t="shared" si="212"/>
        <v>#REF!</v>
      </c>
      <c r="N210" s="85" t="e">
        <f t="shared" si="212"/>
        <v>#REF!</v>
      </c>
      <c r="O210" s="85" t="e">
        <f t="shared" si="212"/>
        <v>#REF!</v>
      </c>
      <c r="P210" s="85" t="e">
        <f t="shared" si="212"/>
        <v>#REF!</v>
      </c>
      <c r="Q210" s="85" t="e">
        <f t="shared" si="212"/>
        <v>#REF!</v>
      </c>
      <c r="R210" s="72" t="e">
        <f>RATE(12,,-E210,Q210)</f>
        <v>#REF!</v>
      </c>
      <c r="S210" s="56"/>
      <c r="T210" s="12">
        <f>1-SUM(T208:T209)</f>
        <v>0.16800000000000004</v>
      </c>
      <c r="U210" s="12">
        <f t="shared" ref="U210:AG210" si="213">1-SUM(U208:U209)</f>
        <v>0.16551274792618309</v>
      </c>
      <c r="V210" s="12">
        <f t="shared" si="213"/>
        <v>0.16301707620929717</v>
      </c>
      <c r="W210" s="12">
        <f t="shared" si="213"/>
        <v>0.16051295371817442</v>
      </c>
      <c r="X210" s="12">
        <f t="shared" si="213"/>
        <v>0.15800034920033545</v>
      </c>
      <c r="Y210" s="12">
        <f t="shared" si="213"/>
        <v>0.15547923128150276</v>
      </c>
      <c r="Z210" s="12">
        <f t="shared" si="213"/>
        <v>0.15294956846511254</v>
      </c>
      <c r="AA210" s="12">
        <f t="shared" si="213"/>
        <v>0.15041132913182498</v>
      </c>
      <c r="AB210" s="12">
        <f t="shared" si="213"/>
        <v>0.14786448153903209</v>
      </c>
      <c r="AC210" s="12">
        <f t="shared" si="213"/>
        <v>0.14530899382036322</v>
      </c>
      <c r="AD210" s="12">
        <f t="shared" si="213"/>
        <v>0.14274483398518978</v>
      </c>
      <c r="AE210" s="12">
        <f t="shared" si="213"/>
        <v>0.14017196991812608</v>
      </c>
      <c r="AF210" s="12">
        <f t="shared" si="213"/>
        <v>0.13759036937852986</v>
      </c>
      <c r="AG210" s="12">
        <f t="shared" si="213"/>
        <v>0.13500000000000034</v>
      </c>
    </row>
    <row r="211" spans="1:33" ht="15.5" x14ac:dyDescent="0.35">
      <c r="A211" s="42"/>
      <c r="B211" s="43"/>
      <c r="C211" s="93"/>
      <c r="D211" s="91">
        <v>2023</v>
      </c>
      <c r="E211" s="65">
        <v>2024</v>
      </c>
      <c r="F211" s="65">
        <v>2025</v>
      </c>
      <c r="G211" s="65">
        <v>2026</v>
      </c>
      <c r="H211" s="65">
        <v>2027</v>
      </c>
      <c r="I211" s="65">
        <v>2028</v>
      </c>
      <c r="J211" s="65">
        <v>2029</v>
      </c>
      <c r="K211" s="65">
        <v>2030</v>
      </c>
      <c r="L211" s="65">
        <v>2031</v>
      </c>
      <c r="M211" s="65">
        <v>2032</v>
      </c>
      <c r="N211" s="65">
        <v>2033</v>
      </c>
      <c r="O211" s="65">
        <v>2034</v>
      </c>
      <c r="P211" s="65">
        <v>2035</v>
      </c>
      <c r="Q211" s="65">
        <v>2036</v>
      </c>
      <c r="R211" s="66" t="s">
        <v>84</v>
      </c>
    </row>
    <row r="212" spans="1:33" ht="16" thickBot="1" x14ac:dyDescent="0.4">
      <c r="A212" s="1"/>
      <c r="C212" s="21"/>
      <c r="D212" s="92">
        <f>'Market Analysis '!C43</f>
        <v>292.54875000000004</v>
      </c>
      <c r="E212" s="92">
        <f>'Market Analysis '!D43</f>
        <v>334.96831875000004</v>
      </c>
      <c r="F212" s="92">
        <f>'Market Analysis '!E43</f>
        <v>383.72992851409771</v>
      </c>
      <c r="G212" s="92">
        <f>'Market Analysis '!F43</f>
        <v>439.80970481723318</v>
      </c>
      <c r="H212" s="92">
        <f>'Market Analysis '!G43</f>
        <v>504.33822518758092</v>
      </c>
      <c r="I212" s="92">
        <f>'Market Analysis '!H43</f>
        <v>578.62561229089795</v>
      </c>
      <c r="J212" s="92">
        <f>'Market Analysis '!I43</f>
        <v>664.19080831653218</v>
      </c>
      <c r="K212" s="92">
        <f>'Market Analysis '!J43</f>
        <v>762.79574447056962</v>
      </c>
      <c r="L212" s="92">
        <f>'Market Analysis '!K43</f>
        <v>876.48524418972374</v>
      </c>
      <c r="M212" s="92">
        <f>'Market Analysis '!L43</f>
        <v>1007.6336457483749</v>
      </c>
      <c r="N212" s="92">
        <f>'Market Analysis '!M43</f>
        <v>1158.9993033646538</v>
      </c>
      <c r="O212" s="92">
        <f>'Market Analysis '!N43</f>
        <v>1333.7883305537873</v>
      </c>
      <c r="P212" s="92">
        <f>'Market Analysis '!O43</f>
        <v>1535.7291910670442</v>
      </c>
      <c r="Q212" s="92">
        <f>'Market Analysis '!P43</f>
        <v>1769.1600281092349</v>
      </c>
      <c r="R212" s="68">
        <f>RATE(12,,-E212,Q212)</f>
        <v>0.14876258460859076</v>
      </c>
      <c r="T212" s="65">
        <v>2023</v>
      </c>
      <c r="U212" s="65">
        <v>2024</v>
      </c>
      <c r="V212" s="65">
        <v>2025</v>
      </c>
      <c r="W212" s="65">
        <v>2026</v>
      </c>
      <c r="X212" s="65">
        <v>2027</v>
      </c>
      <c r="Y212" s="65">
        <v>2028</v>
      </c>
      <c r="Z212" s="65">
        <v>2029</v>
      </c>
      <c r="AA212" s="65">
        <v>2030</v>
      </c>
      <c r="AB212" s="65">
        <v>2031</v>
      </c>
      <c r="AC212" s="65">
        <v>2032</v>
      </c>
      <c r="AD212" s="65">
        <v>2033</v>
      </c>
      <c r="AE212" s="65">
        <v>2034</v>
      </c>
      <c r="AF212" s="65">
        <v>2035</v>
      </c>
      <c r="AG212" s="65">
        <v>2036</v>
      </c>
    </row>
    <row r="213" spans="1:33" s="121" customFormat="1" x14ac:dyDescent="0.35">
      <c r="A213" s="147" t="s">
        <v>59</v>
      </c>
      <c r="B213" s="118" t="s">
        <v>60</v>
      </c>
      <c r="C213" s="119"/>
      <c r="D213" s="120">
        <f>D212*T213</f>
        <v>102.39206249999999</v>
      </c>
      <c r="E213" s="120">
        <f t="shared" ref="E213" si="214">E212*U213</f>
        <v>118.44935408685913</v>
      </c>
      <c r="F213" s="120">
        <f>F212*V213</f>
        <v>137.0930867824901</v>
      </c>
      <c r="G213" s="120">
        <f t="shared" ref="G213:Q213" si="215">G212*W213</f>
        <v>158.75068561069898</v>
      </c>
      <c r="H213" s="120">
        <f t="shared" si="215"/>
        <v>183.92196834269842</v>
      </c>
      <c r="I213" s="120">
        <f t="shared" si="215"/>
        <v>213.19170000320406</v>
      </c>
      <c r="J213" s="120">
        <f t="shared" si="215"/>
        <v>247.24437478921817</v>
      </c>
      <c r="K213" s="120">
        <f t="shared" si="215"/>
        <v>286.88162937787376</v>
      </c>
      <c r="L213" s="120">
        <f t="shared" si="215"/>
        <v>333.04276644251712</v>
      </c>
      <c r="M213" s="120">
        <f t="shared" si="215"/>
        <v>386.8289561934119</v>
      </c>
      <c r="N213" s="120">
        <f t="shared" si="215"/>
        <v>449.53178964196354</v>
      </c>
      <c r="O213" s="120">
        <f t="shared" si="215"/>
        <v>522.66698332333272</v>
      </c>
      <c r="P213" s="120">
        <f t="shared" si="215"/>
        <v>608.01418531477998</v>
      </c>
      <c r="Q213" s="120">
        <f t="shared" si="215"/>
        <v>707.66401124369418</v>
      </c>
      <c r="R213" s="68">
        <f>RATE(9,,-H213,Q213)</f>
        <v>0.16150611454488054</v>
      </c>
      <c r="S213" s="118" t="s">
        <v>60</v>
      </c>
      <c r="T213" s="116">
        <v>0.34999999999999992</v>
      </c>
      <c r="U213" s="116">
        <v>0.35361360300841621</v>
      </c>
      <c r="V213" s="116">
        <v>0.35726451495026795</v>
      </c>
      <c r="W213" s="116">
        <v>0.36095312102462412</v>
      </c>
      <c r="X213" s="116">
        <v>0.36467981040757214</v>
      </c>
      <c r="Y213" s="116">
        <v>0.36844497629327921</v>
      </c>
      <c r="Z213" s="116">
        <v>0.37224901593547705</v>
      </c>
      <c r="AA213" s="116">
        <v>0.37609233068937542</v>
      </c>
      <c r="AB213" s="116">
        <v>0.37997532605400802</v>
      </c>
      <c r="AC213" s="116">
        <v>0.38389841171501571</v>
      </c>
      <c r="AD213" s="116">
        <v>0.38786200158787171</v>
      </c>
      <c r="AE213" s="116">
        <v>0.39186651386155258</v>
      </c>
      <c r="AF213" s="116">
        <v>0.39591237104266019</v>
      </c>
      <c r="AG213" s="116">
        <v>0.40000000000000013</v>
      </c>
    </row>
    <row r="214" spans="1:33" s="117" customFormat="1" x14ac:dyDescent="0.35">
      <c r="A214" s="148"/>
      <c r="B214" s="113" t="s">
        <v>61</v>
      </c>
      <c r="C214" s="114"/>
      <c r="D214" s="115">
        <f>D212*T214</f>
        <v>87.764625000000024</v>
      </c>
      <c r="E214" s="115">
        <f t="shared" ref="E214:Q214" si="216">E212*U214</f>
        <v>100.54187132195905</v>
      </c>
      <c r="F214" s="115">
        <f t="shared" si="216"/>
        <v>115.23671764119646</v>
      </c>
      <c r="G214" s="115">
        <f t="shared" si="216"/>
        <v>132.14538209179651</v>
      </c>
      <c r="H214" s="115">
        <f t="shared" si="216"/>
        <v>151.61111600249023</v>
      </c>
      <c r="I214" s="115">
        <f t="shared" si="216"/>
        <v>174.03187055667604</v>
      </c>
      <c r="J214" s="115">
        <f t="shared" si="216"/>
        <v>199.86924501448826</v>
      </c>
      <c r="K214" s="115">
        <f t="shared" si="216"/>
        <v>229.65893596566875</v>
      </c>
      <c r="L214" s="115">
        <f t="shared" si="216"/>
        <v>264.02294555108892</v>
      </c>
      <c r="M214" s="115">
        <f t="shared" si="216"/>
        <v>303.68385195586745</v>
      </c>
      <c r="N214" s="115">
        <f t="shared" si="216"/>
        <v>349.48149900140623</v>
      </c>
      <c r="O214" s="115">
        <f t="shared" si="216"/>
        <v>402.3925248469202</v>
      </c>
      <c r="P214" s="115">
        <f t="shared" si="216"/>
        <v>463.55322443421994</v>
      </c>
      <c r="Q214" s="115">
        <f t="shared" si="216"/>
        <v>534.28632848898951</v>
      </c>
      <c r="R214" s="68">
        <f>RATE(9,,-H214,Q214)</f>
        <v>0.1502243503979559</v>
      </c>
      <c r="S214" s="113" t="s">
        <v>61</v>
      </c>
      <c r="T214" s="116">
        <v>0.30000000000000004</v>
      </c>
      <c r="U214" s="116">
        <v>0.30015337479422161</v>
      </c>
      <c r="V214" s="116">
        <v>0.30030682800120145</v>
      </c>
      <c r="W214" s="116">
        <v>0.30046035966102813</v>
      </c>
      <c r="X214" s="116">
        <v>0.30061396981381056</v>
      </c>
      <c r="Y214" s="116">
        <v>0.30076765849967829</v>
      </c>
      <c r="Z214" s="116">
        <v>0.30092142575878128</v>
      </c>
      <c r="AA214" s="116">
        <v>0.30107527163128989</v>
      </c>
      <c r="AB214" s="116">
        <v>0.30122919615739541</v>
      </c>
      <c r="AC214" s="116">
        <v>0.30138319937730923</v>
      </c>
      <c r="AD214" s="116">
        <v>0.30153728133126367</v>
      </c>
      <c r="AE214" s="116">
        <v>0.30169144205951126</v>
      </c>
      <c r="AF214" s="116">
        <v>0.3018456816023255</v>
      </c>
      <c r="AG214" s="116">
        <v>0.30200000000000032</v>
      </c>
    </row>
    <row r="215" spans="1:33" s="117" customFormat="1" x14ac:dyDescent="0.35">
      <c r="A215" s="148"/>
      <c r="B215" s="113" t="s">
        <v>62</v>
      </c>
      <c r="C215" s="114"/>
      <c r="D215" s="115">
        <f>D212*T215</f>
        <v>43.882312500000005</v>
      </c>
      <c r="E215" s="115">
        <f t="shared" ref="E215:Q215" si="217">E212*U215</f>
        <v>50.321843668106396</v>
      </c>
      <c r="F215" s="115">
        <f t="shared" si="217"/>
        <v>57.7351149934006</v>
      </c>
      <c r="G215" s="115">
        <f t="shared" si="217"/>
        <v>66.273624431422988</v>
      </c>
      <c r="H215" s="115">
        <f t="shared" si="217"/>
        <v>76.113089644959047</v>
      </c>
      <c r="I215" s="115">
        <f t="shared" si="217"/>
        <v>87.457421872591254</v>
      </c>
      <c r="J215" s="115">
        <f t="shared" si="217"/>
        <v>100.54336825749444</v>
      </c>
      <c r="K215" s="115">
        <f t="shared" si="217"/>
        <v>115.64593780490928</v>
      </c>
      <c r="L215" s="115">
        <f t="shared" si="217"/>
        <v>133.08474644171366</v>
      </c>
      <c r="M215" s="115">
        <f t="shared" si="217"/>
        <v>153.23144061691937</v>
      </c>
      <c r="N215" s="115">
        <f t="shared" si="217"/>
        <v>176.51838718195629</v>
      </c>
      <c r="O215" s="115">
        <f t="shared" si="217"/>
        <v>203.44885072527671</v>
      </c>
      <c r="P215" s="115">
        <f t="shared" si="217"/>
        <v>234.60891905923424</v>
      </c>
      <c r="Q215" s="115">
        <f t="shared" si="217"/>
        <v>270.68148430071255</v>
      </c>
      <c r="R215" s="68">
        <f>RATE(9,,-H215,Q215)</f>
        <v>0.15138915126465277</v>
      </c>
      <c r="S215" s="113" t="s">
        <v>62</v>
      </c>
      <c r="T215" s="116">
        <v>0.15</v>
      </c>
      <c r="U215" s="116">
        <v>0.15022866597023929</v>
      </c>
      <c r="V215" s="116">
        <v>0.15045768052798492</v>
      </c>
      <c r="W215" s="116">
        <v>0.15068704420463749</v>
      </c>
      <c r="X215" s="116">
        <v>0.15091675753240782</v>
      </c>
      <c r="Y215" s="116">
        <v>0.15114682104431795</v>
      </c>
      <c r="Z215" s="116">
        <v>0.15137723527420252</v>
      </c>
      <c r="AA215" s="116">
        <v>0.15160800075670999</v>
      </c>
      <c r="AB215" s="116">
        <v>0.15183911802730382</v>
      </c>
      <c r="AC215" s="116">
        <v>0.1520705876222638</v>
      </c>
      <c r="AD215" s="116">
        <v>0.15230241007868719</v>
      </c>
      <c r="AE215" s="116">
        <v>0.15253458593449007</v>
      </c>
      <c r="AF215" s="116">
        <v>0.15276711572840845</v>
      </c>
      <c r="AG215" s="116">
        <v>0.15299999999999978</v>
      </c>
    </row>
    <row r="216" spans="1:33" s="117" customFormat="1" x14ac:dyDescent="0.35">
      <c r="A216" s="148"/>
      <c r="B216" s="113" t="s">
        <v>63</v>
      </c>
      <c r="C216" s="114"/>
      <c r="D216" s="115">
        <f>D212*T216</f>
        <v>35.105850000000011</v>
      </c>
      <c r="E216" s="115">
        <f t="shared" ref="E216:Q216" si="218">E212*U216</f>
        <v>40.247339609544873</v>
      </c>
      <c r="F216" s="115">
        <f t="shared" si="218"/>
        <v>46.164838057779392</v>
      </c>
      <c r="G216" s="115">
        <f t="shared" si="218"/>
        <v>52.978865104403113</v>
      </c>
      <c r="H216" s="115">
        <f t="shared" si="218"/>
        <v>60.829175105007373</v>
      </c>
      <c r="I216" s="115">
        <f t="shared" si="218"/>
        <v>69.877907816775902</v>
      </c>
      <c r="J216" s="115">
        <f t="shared" si="218"/>
        <v>80.313268387225293</v>
      </c>
      <c r="K216" s="115">
        <f t="shared" si="218"/>
        <v>92.353827561679068</v>
      </c>
      <c r="L216" s="115">
        <f t="shared" si="218"/>
        <v>106.25354917217166</v>
      </c>
      <c r="M216" s="115">
        <f t="shared" si="218"/>
        <v>122.30767088266806</v>
      </c>
      <c r="N216" s="115">
        <f t="shared" si="218"/>
        <v>140.85958649355726</v>
      </c>
      <c r="O216" s="115">
        <f t="shared" si="218"/>
        <v>162.30890448271336</v>
      </c>
      <c r="P216" s="115">
        <f t="shared" si="218"/>
        <v>187.12088863016422</v>
      </c>
      <c r="Q216" s="115">
        <f t="shared" si="218"/>
        <v>215.83752342932638</v>
      </c>
      <c r="R216" s="68">
        <f>RATE(9,,-H216,Q216)</f>
        <v>0.15109927458461414</v>
      </c>
      <c r="S216" s="113" t="s">
        <v>63</v>
      </c>
      <c r="T216" s="116">
        <v>0.12000000000000002</v>
      </c>
      <c r="U216" s="116">
        <v>0.12015267521339246</v>
      </c>
      <c r="V216" s="116">
        <v>0.12030554467445809</v>
      </c>
      <c r="W216" s="116">
        <v>0.12045860863033696</v>
      </c>
      <c r="X216" s="116">
        <v>0.12061186732848356</v>
      </c>
      <c r="Y216" s="116">
        <v>0.12076532101666719</v>
      </c>
      <c r="Z216" s="116">
        <v>0.1209189699429724</v>
      </c>
      <c r="AA216" s="116">
        <v>0.12107281435579939</v>
      </c>
      <c r="AB216" s="116">
        <v>0.12122685450386435</v>
      </c>
      <c r="AC216" s="116">
        <v>0.12138109063619994</v>
      </c>
      <c r="AD216" s="116">
        <v>0.12153552300215566</v>
      </c>
      <c r="AE216" s="116">
        <v>0.12169015185139827</v>
      </c>
      <c r="AF216" s="116">
        <v>0.12184497743391219</v>
      </c>
      <c r="AG216" s="116">
        <v>0.12199999999999984</v>
      </c>
    </row>
    <row r="217" spans="1:33" s="117" customFormat="1" x14ac:dyDescent="0.35">
      <c r="A217" s="148"/>
      <c r="B217" s="113" t="s">
        <v>64</v>
      </c>
      <c r="C217" s="114"/>
      <c r="D217" s="115">
        <f>D212*T217</f>
        <v>23.403900000000025</v>
      </c>
      <c r="E217" s="115">
        <f t="shared" ref="E217:G217" si="219">E212*U217</f>
        <v>25.407910063530572</v>
      </c>
      <c r="F217" s="115">
        <f t="shared" si="219"/>
        <v>27.500171039231155</v>
      </c>
      <c r="G217" s="115">
        <f t="shared" si="219"/>
        <v>29.66114757891161</v>
      </c>
      <c r="H217" s="115">
        <f>H212*X217</f>
        <v>31.862876092425758</v>
      </c>
      <c r="I217" s="115">
        <f t="shared" ref="I217:Q217" si="220">I212*Y217</f>
        <v>34.066712041650725</v>
      </c>
      <c r="J217" s="115">
        <f t="shared" si="220"/>
        <v>36.220551868106021</v>
      </c>
      <c r="K217" s="115">
        <f t="shared" si="220"/>
        <v>38.255413760438728</v>
      </c>
      <c r="L217" s="115">
        <f t="shared" si="220"/>
        <v>40.081236582232449</v>
      </c>
      <c r="M217" s="115">
        <f t="shared" si="220"/>
        <v>41.581726099508046</v>
      </c>
      <c r="N217" s="115">
        <f t="shared" si="220"/>
        <v>42.608041045770584</v>
      </c>
      <c r="O217" s="115">
        <f t="shared" si="220"/>
        <v>42.971067175544192</v>
      </c>
      <c r="P217" s="115">
        <f t="shared" si="220"/>
        <v>42.431973628645885</v>
      </c>
      <c r="Q217" s="115">
        <f t="shared" si="220"/>
        <v>40.690680646512241</v>
      </c>
      <c r="R217" s="68">
        <f>RATE(9,,-H217,Q217)</f>
        <v>2.7545611709030998E-2</v>
      </c>
      <c r="S217" s="113" t="s">
        <v>64</v>
      </c>
      <c r="T217" s="116">
        <f>1-SUM(T213:T216)</f>
        <v>8.0000000000000071E-2</v>
      </c>
      <c r="U217" s="116">
        <f>1-SUM(U213:U216)</f>
        <v>7.585168101373041E-2</v>
      </c>
      <c r="V217" s="116">
        <f t="shared" ref="V217:AG217" si="221">1-SUM(V213:V216)</f>
        <v>7.1665431846087646E-2</v>
      </c>
      <c r="W217" s="116">
        <f t="shared" si="221"/>
        <v>6.7440866479373307E-2</v>
      </c>
      <c r="X217" s="116">
        <f t="shared" si="221"/>
        <v>6.3177594917725788E-2</v>
      </c>
      <c r="Y217" s="116">
        <f t="shared" si="221"/>
        <v>5.887522314605742E-2</v>
      </c>
      <c r="Z217" s="116">
        <f t="shared" si="221"/>
        <v>5.4533353088566772E-2</v>
      </c>
      <c r="AA217" s="116">
        <f t="shared" si="221"/>
        <v>5.0151582566825281E-2</v>
      </c>
      <c r="AB217" s="116">
        <f t="shared" si="221"/>
        <v>4.5729505257428471E-2</v>
      </c>
      <c r="AC217" s="116">
        <f t="shared" si="221"/>
        <v>4.126671064921128E-2</v>
      </c>
      <c r="AD217" s="116">
        <f t="shared" si="221"/>
        <v>3.6762784000021864E-2</v>
      </c>
      <c r="AE217" s="116">
        <f t="shared" si="221"/>
        <v>3.2217306293047754E-2</v>
      </c>
      <c r="AF217" s="116">
        <f t="shared" si="221"/>
        <v>2.7629854192693704E-2</v>
      </c>
      <c r="AG217" s="116">
        <f t="shared" si="221"/>
        <v>2.2999999999999909E-2</v>
      </c>
    </row>
    <row r="218" spans="1:33" x14ac:dyDescent="0.35">
      <c r="A218" s="1"/>
      <c r="D218" s="81" t="b">
        <f>D212=SUM(D213:D217)</f>
        <v>1</v>
      </c>
      <c r="E218" s="81" t="b">
        <f t="shared" ref="E218:Q218" si="222">E212=SUM(E213:E217)</f>
        <v>1</v>
      </c>
      <c r="F218" s="81" t="b">
        <f t="shared" si="222"/>
        <v>1</v>
      </c>
      <c r="G218" s="81" t="b">
        <f t="shared" si="222"/>
        <v>1</v>
      </c>
      <c r="H218" s="81" t="b">
        <f t="shared" si="222"/>
        <v>1</v>
      </c>
      <c r="I218" s="81" t="b">
        <f t="shared" si="222"/>
        <v>1</v>
      </c>
      <c r="J218" s="81" t="b">
        <f t="shared" si="222"/>
        <v>1</v>
      </c>
      <c r="K218" s="81" t="b">
        <f t="shared" si="222"/>
        <v>1</v>
      </c>
      <c r="L218" s="81" t="b">
        <f t="shared" si="222"/>
        <v>1</v>
      </c>
      <c r="M218" s="81" t="b">
        <f t="shared" si="222"/>
        <v>1</v>
      </c>
      <c r="N218" s="81" t="b">
        <f t="shared" si="222"/>
        <v>1</v>
      </c>
      <c r="O218" s="81" t="b">
        <f t="shared" si="222"/>
        <v>1</v>
      </c>
      <c r="P218" s="81" t="b">
        <f t="shared" si="222"/>
        <v>1</v>
      </c>
      <c r="Q218" s="81" t="b">
        <f t="shared" si="222"/>
        <v>1</v>
      </c>
      <c r="R218" s="21"/>
    </row>
    <row r="219" spans="1:33" s="117" customFormat="1" x14ac:dyDescent="0.35">
      <c r="A219" s="149" t="s">
        <v>65</v>
      </c>
      <c r="B219" s="122" t="s">
        <v>66</v>
      </c>
      <c r="C219" s="123"/>
      <c r="D219" s="124">
        <f>D212*T219</f>
        <v>204.78412500000005</v>
      </c>
      <c r="E219" s="124">
        <f t="shared" ref="E219:Q219" si="223">E212*U219</f>
        <v>234.60623430100853</v>
      </c>
      <c r="F219" s="124">
        <f t="shared" si="223"/>
        <v>268.90523871108746</v>
      </c>
      <c r="G219" s="124">
        <f t="shared" si="223"/>
        <v>308.37287779645379</v>
      </c>
      <c r="H219" s="124">
        <f t="shared" si="223"/>
        <v>353.81075183983467</v>
      </c>
      <c r="I219" s="124">
        <f t="shared" si="223"/>
        <v>406.14823394227153</v>
      </c>
      <c r="J219" s="124">
        <f t="shared" si="223"/>
        <v>466.46337699676525</v>
      </c>
      <c r="K219" s="124">
        <f t="shared" si="223"/>
        <v>536.00732852011561</v>
      </c>
      <c r="L219" s="124">
        <f t="shared" si="223"/>
        <v>616.23285626582799</v>
      </c>
      <c r="M219" s="124">
        <f t="shared" si="223"/>
        <v>708.82769360287682</v>
      </c>
      <c r="N219" s="124">
        <f t="shared" si="223"/>
        <v>815.75353878693704</v>
      </c>
      <c r="O219" s="124">
        <f t="shared" si="223"/>
        <v>939.29168997989893</v>
      </c>
      <c r="P219" s="124">
        <f t="shared" si="223"/>
        <v>1082.0964723557913</v>
      </c>
      <c r="Q219" s="124">
        <f t="shared" si="223"/>
        <v>1247.2578198170129</v>
      </c>
      <c r="R219" s="68">
        <f>RATE(9,,-H219,Q219)</f>
        <v>0.15026619499820731</v>
      </c>
      <c r="S219" s="122" t="s">
        <v>66</v>
      </c>
      <c r="T219" s="116">
        <v>0.70000000000000007</v>
      </c>
      <c r="U219" s="116">
        <v>0.70038335319736411</v>
      </c>
      <c r="V219" s="116">
        <v>0.70076691633711929</v>
      </c>
      <c r="W219" s="116">
        <v>0.70115068953424042</v>
      </c>
      <c r="X219" s="116">
        <v>0.70153467290376448</v>
      </c>
      <c r="Y219" s="116">
        <v>0.70191886656079228</v>
      </c>
      <c r="Z219" s="116">
        <v>0.70230327062048659</v>
      </c>
      <c r="AA219" s="116">
        <v>0.70268788519807479</v>
      </c>
      <c r="AB219" s="116">
        <v>0.70307271040884567</v>
      </c>
      <c r="AC219" s="116">
        <v>0.70345774636815217</v>
      </c>
      <c r="AD219" s="116">
        <v>0.70384299319141008</v>
      </c>
      <c r="AE219" s="116">
        <v>0.70422845099409903</v>
      </c>
      <c r="AF219" s="116">
        <v>0.70461411989176093</v>
      </c>
      <c r="AG219" s="116">
        <v>0.70500000000000129</v>
      </c>
    </row>
    <row r="220" spans="1:33" s="117" customFormat="1" x14ac:dyDescent="0.35">
      <c r="A220" s="149"/>
      <c r="B220" s="122" t="s">
        <v>67</v>
      </c>
      <c r="C220" s="123"/>
      <c r="D220" s="124">
        <f>D212*T220</f>
        <v>58.509750000000018</v>
      </c>
      <c r="E220" s="124">
        <f t="shared" ref="E220:Q220" si="224">E212*U220</f>
        <v>67.044961003780401</v>
      </c>
      <c r="F220" s="124">
        <f t="shared" si="224"/>
        <v>76.863559972295505</v>
      </c>
      <c r="G220" s="124">
        <f t="shared" si="224"/>
        <v>88.164153903342736</v>
      </c>
      <c r="H220" s="124">
        <f t="shared" si="224"/>
        <v>101.17693871213096</v>
      </c>
      <c r="I220" s="124">
        <f t="shared" si="224"/>
        <v>116.16885688145321</v>
      </c>
      <c r="J220" s="124">
        <f t="shared" si="224"/>
        <v>133.44961863080883</v>
      </c>
      <c r="K220" s="124">
        <f t="shared" si="224"/>
        <v>153.37873470795734</v>
      </c>
      <c r="L220" s="124">
        <f t="shared" si="224"/>
        <v>176.37373490444611</v>
      </c>
      <c r="M220" s="124">
        <f t="shared" si="224"/>
        <v>202.91977706174578</v>
      </c>
      <c r="N220" s="124">
        <f t="shared" si="224"/>
        <v>233.58088752287347</v>
      </c>
      <c r="O220" s="124">
        <f t="shared" si="224"/>
        <v>269.01311671227757</v>
      </c>
      <c r="P220" s="124">
        <f t="shared" si="224"/>
        <v>309.9799440018171</v>
      </c>
      <c r="Q220" s="124">
        <f t="shared" si="224"/>
        <v>357.37032567806602</v>
      </c>
      <c r="R220" s="68">
        <f>RATE(9,,-H220,Q220)</f>
        <v>0.15051687974480882</v>
      </c>
      <c r="S220" s="122" t="s">
        <v>67</v>
      </c>
      <c r="T220" s="116">
        <v>0.20000000000000004</v>
      </c>
      <c r="U220" s="116">
        <v>0.2001531406133327</v>
      </c>
      <c r="V220" s="116">
        <v>0.2003063984869026</v>
      </c>
      <c r="W220" s="116">
        <v>0.20045977371049628</v>
      </c>
      <c r="X220" s="116">
        <v>0.20061326637396906</v>
      </c>
      <c r="Y220" s="116">
        <v>0.2007668765672449</v>
      </c>
      <c r="Z220" s="116">
        <v>0.20092060438031684</v>
      </c>
      <c r="AA220" s="116">
        <v>0.20107444990324672</v>
      </c>
      <c r="AB220" s="116">
        <v>0.20122841322616528</v>
      </c>
      <c r="AC220" s="116">
        <v>0.20138249443927231</v>
      </c>
      <c r="AD220" s="116">
        <v>0.20153669363283677</v>
      </c>
      <c r="AE220" s="116">
        <v>0.2016910108971966</v>
      </c>
      <c r="AF220" s="116">
        <v>0.20184544632275897</v>
      </c>
      <c r="AG220" s="116">
        <v>0.20200000000000032</v>
      </c>
    </row>
    <row r="221" spans="1:33" s="117" customFormat="1" x14ac:dyDescent="0.35">
      <c r="A221" s="149"/>
      <c r="B221" s="122" t="s">
        <v>68</v>
      </c>
      <c r="C221" s="123"/>
      <c r="D221" s="124">
        <f>D212*T221</f>
        <v>29.254874999999966</v>
      </c>
      <c r="E221" s="124">
        <f t="shared" ref="E221:L221" si="225">E212*U221</f>
        <v>33.317123445211124</v>
      </c>
      <c r="F221" s="124">
        <f t="shared" si="225"/>
        <v>37.961129830714739</v>
      </c>
      <c r="G221" s="124">
        <f t="shared" si="225"/>
        <v>43.272673117436668</v>
      </c>
      <c r="H221" s="124">
        <f t="shared" si="225"/>
        <v>49.350534635615276</v>
      </c>
      <c r="I221" s="124">
        <f t="shared" si="225"/>
        <v>56.308521467173215</v>
      </c>
      <c r="J221" s="124">
        <f t="shared" si="225"/>
        <v>64.277812688958093</v>
      </c>
      <c r="K221" s="124">
        <f t="shared" si="225"/>
        <v>73.409681242496646</v>
      </c>
      <c r="L221" s="124">
        <f t="shared" si="225"/>
        <v>83.878653019449644</v>
      </c>
      <c r="M221" s="124">
        <f>M212*AC221</f>
        <v>95.886175083752249</v>
      </c>
      <c r="N221" s="124">
        <f t="shared" ref="N221:Q221" si="226">N212*AD221</f>
        <v>109.66487705484326</v>
      </c>
      <c r="O221" s="124">
        <f t="shared" si="226"/>
        <v>125.48352386161085</v>
      </c>
      <c r="P221" s="124">
        <f t="shared" si="226"/>
        <v>143.65277470943585</v>
      </c>
      <c r="Q221" s="124">
        <f t="shared" si="226"/>
        <v>164.53188261415605</v>
      </c>
      <c r="R221" s="68">
        <f>RATE(9,,-H221,Q221)</f>
        <v>0.14315854560621957</v>
      </c>
      <c r="S221" s="122" t="s">
        <v>68</v>
      </c>
      <c r="T221" s="116">
        <f>1-SUM(T219:T220)</f>
        <v>9.9999999999999867E-2</v>
      </c>
      <c r="U221" s="116">
        <f t="shared" ref="U221:AG221" si="227">1-SUM(U219:U220)</f>
        <v>9.9463506189303219E-2</v>
      </c>
      <c r="V221" s="116">
        <f t="shared" si="227"/>
        <v>9.8926685175978135E-2</v>
      </c>
      <c r="W221" s="116">
        <f t="shared" si="227"/>
        <v>9.8389536755263296E-2</v>
      </c>
      <c r="X221" s="116">
        <f t="shared" si="227"/>
        <v>9.7852060722266487E-2</v>
      </c>
      <c r="Y221" s="116">
        <f t="shared" si="227"/>
        <v>9.7314256871962823E-2</v>
      </c>
      <c r="Z221" s="116">
        <f t="shared" si="227"/>
        <v>9.6776124999196522E-2</v>
      </c>
      <c r="AA221" s="116">
        <f t="shared" si="227"/>
        <v>9.6237664898678466E-2</v>
      </c>
      <c r="AB221" s="116">
        <f t="shared" si="227"/>
        <v>9.5698876364989083E-2</v>
      </c>
      <c r="AC221" s="116">
        <f t="shared" si="227"/>
        <v>9.5159759192575466E-2</v>
      </c>
      <c r="AD221" s="116">
        <f t="shared" si="227"/>
        <v>9.4620313175753146E-2</v>
      </c>
      <c r="AE221" s="116">
        <f t="shared" si="227"/>
        <v>9.4080538108704426E-2</v>
      </c>
      <c r="AF221" s="116">
        <f t="shared" si="227"/>
        <v>9.3540433785480159E-2</v>
      </c>
      <c r="AG221" s="116">
        <f t="shared" si="227"/>
        <v>9.2999999999998417E-2</v>
      </c>
    </row>
    <row r="222" spans="1:33" x14ac:dyDescent="0.35">
      <c r="A222" s="1"/>
      <c r="D222" s="81" t="b">
        <f>D212=SUM(D219:D221)</f>
        <v>1</v>
      </c>
      <c r="E222" s="81" t="b">
        <f t="shared" ref="E222:Q222" si="228">E212=SUM(E219:E221)</f>
        <v>1</v>
      </c>
      <c r="F222" s="81" t="b">
        <f t="shared" si="228"/>
        <v>1</v>
      </c>
      <c r="G222" s="81" t="b">
        <f t="shared" si="228"/>
        <v>1</v>
      </c>
      <c r="H222" s="81" t="b">
        <f t="shared" si="228"/>
        <v>1</v>
      </c>
      <c r="I222" s="81" t="b">
        <f t="shared" si="228"/>
        <v>1</v>
      </c>
      <c r="J222" s="81" t="b">
        <f t="shared" si="228"/>
        <v>1</v>
      </c>
      <c r="K222" s="81" t="b">
        <f t="shared" si="228"/>
        <v>1</v>
      </c>
      <c r="L222" s="81" t="b">
        <f t="shared" si="228"/>
        <v>1</v>
      </c>
      <c r="M222" s="81" t="b">
        <f t="shared" si="228"/>
        <v>1</v>
      </c>
      <c r="N222" s="81" t="b">
        <f t="shared" si="228"/>
        <v>1</v>
      </c>
      <c r="O222" s="81" t="b">
        <f t="shared" si="228"/>
        <v>1</v>
      </c>
      <c r="P222" s="81" t="b">
        <f t="shared" si="228"/>
        <v>1</v>
      </c>
      <c r="Q222" s="81" t="b">
        <f t="shared" si="228"/>
        <v>0</v>
      </c>
      <c r="R222" s="21"/>
    </row>
    <row r="223" spans="1:33" s="117" customFormat="1" x14ac:dyDescent="0.35">
      <c r="A223" s="149" t="s">
        <v>69</v>
      </c>
      <c r="B223" s="125" t="s">
        <v>70</v>
      </c>
      <c r="C223" s="126"/>
      <c r="D223" s="127">
        <f>D212*T223</f>
        <v>122.87047500000001</v>
      </c>
      <c r="E223" s="127">
        <f t="shared" ref="E223:Q223" si="229">E212*U223</f>
        <v>140.71243239673305</v>
      </c>
      <c r="F223" s="127">
        <f t="shared" si="229"/>
        <v>161.22554596865646</v>
      </c>
      <c r="G223" s="127">
        <f t="shared" si="229"/>
        <v>184.82147775707116</v>
      </c>
      <c r="H223" s="127">
        <f t="shared" si="229"/>
        <v>211.97710784623013</v>
      </c>
      <c r="I223" s="127">
        <f t="shared" si="229"/>
        <v>243.24514264423954</v>
      </c>
      <c r="J223" s="127">
        <f t="shared" si="229"/>
        <v>279.26649283019793</v>
      </c>
      <c r="K223" s="127">
        <f t="shared" si="229"/>
        <v>320.78472342991836</v>
      </c>
      <c r="L223" s="127">
        <f t="shared" si="229"/>
        <v>368.66293139875739</v>
      </c>
      <c r="M223" s="127">
        <f t="shared" si="229"/>
        <v>423.90346847473666</v>
      </c>
      <c r="N223" s="127">
        <f t="shared" si="229"/>
        <v>487.67100064974682</v>
      </c>
      <c r="O223" s="127">
        <f t="shared" si="229"/>
        <v>561.31948244600017</v>
      </c>
      <c r="P223" s="127">
        <f t="shared" si="229"/>
        <v>646.4237267188455</v>
      </c>
      <c r="Q223" s="127">
        <f t="shared" si="229"/>
        <v>744.81637183398755</v>
      </c>
      <c r="R223" s="68">
        <f>RATE(9,,-H223,Q223)</f>
        <v>0.14984692460093496</v>
      </c>
      <c r="S223" s="125" t="s">
        <v>70</v>
      </c>
      <c r="T223" s="116">
        <v>0.42</v>
      </c>
      <c r="U223" s="116">
        <v>0.42007683867486062</v>
      </c>
      <c r="V223" s="116">
        <v>0.4201536914072973</v>
      </c>
      <c r="W223" s="116">
        <v>0.42023055819988187</v>
      </c>
      <c r="X223" s="116">
        <v>0.42030743905518658</v>
      </c>
      <c r="Y223" s="116">
        <v>0.42038433397578434</v>
      </c>
      <c r="Z223" s="116">
        <v>0.42046124296424836</v>
      </c>
      <c r="AA223" s="116">
        <v>0.42053816602315214</v>
      </c>
      <c r="AB223" s="116">
        <v>0.42061510315507006</v>
      </c>
      <c r="AC223" s="116">
        <v>0.42069205436257667</v>
      </c>
      <c r="AD223" s="116">
        <v>0.4207690196482472</v>
      </c>
      <c r="AE223" s="116">
        <v>0.42084599901465702</v>
      </c>
      <c r="AF223" s="116">
        <v>0.42092299246438242</v>
      </c>
      <c r="AG223" s="137">
        <v>0.42099999999999982</v>
      </c>
    </row>
    <row r="224" spans="1:33" s="117" customFormat="1" x14ac:dyDescent="0.35">
      <c r="A224" s="149"/>
      <c r="B224" s="125" t="s">
        <v>71</v>
      </c>
      <c r="C224" s="126"/>
      <c r="D224" s="127">
        <f>D212*T224</f>
        <v>67.286212500000033</v>
      </c>
      <c r="E224" s="127">
        <f t="shared" ref="E224:Q224" si="230">E212*U224</f>
        <v>77.094041221825009</v>
      </c>
      <c r="F224" s="127">
        <f t="shared" si="230"/>
        <v>88.375522241614149</v>
      </c>
      <c r="G224" s="127">
        <f t="shared" si="230"/>
        <v>101.35854576988359</v>
      </c>
      <c r="H224" s="127">
        <f t="shared" si="230"/>
        <v>116.30722413374571</v>
      </c>
      <c r="I224" s="127">
        <f t="shared" si="230"/>
        <v>133.52780210235295</v>
      </c>
      <c r="J224" s="127">
        <f t="shared" si="230"/>
        <v>153.37555613672404</v>
      </c>
      <c r="K224" s="127">
        <f t="shared" si="230"/>
        <v>176.26285207516159</v>
      </c>
      <c r="L224" s="127">
        <f t="shared" si="230"/>
        <v>202.66856050440128</v>
      </c>
      <c r="M224" s="127">
        <f t="shared" si="230"/>
        <v>233.14906414119</v>
      </c>
      <c r="N224" s="127">
        <f t="shared" si="230"/>
        <v>268.35113293741</v>
      </c>
      <c r="O224" s="127">
        <f t="shared" si="230"/>
        <v>309.02699148556059</v>
      </c>
      <c r="P224" s="127">
        <f t="shared" si="230"/>
        <v>356.05196101989873</v>
      </c>
      <c r="Q224" s="127">
        <f t="shared" si="230"/>
        <v>410.44512652134279</v>
      </c>
      <c r="R224" s="68">
        <f>RATE(9,,-H224,Q224)</f>
        <v>0.1504025180233052</v>
      </c>
      <c r="S224" s="125" t="s">
        <v>71</v>
      </c>
      <c r="T224" s="116">
        <v>0.23000000000000007</v>
      </c>
      <c r="U224" s="116">
        <v>0.230153232131076</v>
      </c>
      <c r="V224" s="116">
        <v>0.23030656634948232</v>
      </c>
      <c r="W224" s="116">
        <v>0.23046000272323239</v>
      </c>
      <c r="X224" s="116">
        <v>0.23061354132038475</v>
      </c>
      <c r="Y224" s="116">
        <v>0.23076718220904338</v>
      </c>
      <c r="Z224" s="116">
        <v>0.23092092545735762</v>
      </c>
      <c r="AA224" s="116">
        <v>0.23107477113352223</v>
      </c>
      <c r="AB224" s="116">
        <v>0.23122871930577729</v>
      </c>
      <c r="AC224" s="116">
        <v>0.23138277004240856</v>
      </c>
      <c r="AD224" s="116">
        <v>0.23153692341174703</v>
      </c>
      <c r="AE224" s="116">
        <v>0.23169117948216938</v>
      </c>
      <c r="AF224" s="116">
        <v>0.23184553832209787</v>
      </c>
      <c r="AG224" s="137">
        <v>0.23200000000000018</v>
      </c>
    </row>
    <row r="225" spans="1:33" s="117" customFormat="1" x14ac:dyDescent="0.35">
      <c r="A225" s="149"/>
      <c r="B225" s="125" t="s">
        <v>72</v>
      </c>
      <c r="C225" s="126"/>
      <c r="D225" s="127">
        <f>D212*T225</f>
        <v>58.509750000000004</v>
      </c>
      <c r="E225" s="127">
        <f t="shared" ref="E225:Q225" si="231">E212*U225</f>
        <v>67.019371271807415</v>
      </c>
      <c r="F225" s="127">
        <f t="shared" si="231"/>
        <v>76.804896576808062</v>
      </c>
      <c r="G225" s="127">
        <f t="shared" si="231"/>
        <v>88.063240902441848</v>
      </c>
      <c r="H225" s="127">
        <f t="shared" si="231"/>
        <v>101.02255820239509</v>
      </c>
      <c r="I225" s="127">
        <f t="shared" si="231"/>
        <v>115.94732930737501</v>
      </c>
      <c r="J225" s="127">
        <f t="shared" si="231"/>
        <v>133.14429965898097</v>
      </c>
      <c r="K225" s="127">
        <f t="shared" si="231"/>
        <v>152.96941228875937</v>
      </c>
      <c r="L225" s="127">
        <f t="shared" si="231"/>
        <v>175.83590693579234</v>
      </c>
      <c r="M225" s="127">
        <f t="shared" si="231"/>
        <v>202.22378623019191</v>
      </c>
      <c r="N225" s="127">
        <f t="shared" si="231"/>
        <v>232.69088530193432</v>
      </c>
      <c r="O225" s="127">
        <f t="shared" si="231"/>
        <v>267.88582299600074</v>
      </c>
      <c r="P225" s="127">
        <f t="shared" si="231"/>
        <v>308.56316226317074</v>
      </c>
      <c r="Q225" s="127">
        <f t="shared" si="231"/>
        <v>355.60116564995576</v>
      </c>
      <c r="R225" s="68">
        <f>RATE(9,,-H225,Q225)</f>
        <v>0.15007775026897277</v>
      </c>
      <c r="S225" s="125" t="s">
        <v>72</v>
      </c>
      <c r="T225" s="116">
        <v>0.19999999999999998</v>
      </c>
      <c r="U225" s="116">
        <v>0.20007674612901705</v>
      </c>
      <c r="V225" s="116">
        <v>0.20015352170787573</v>
      </c>
      <c r="W225" s="116">
        <v>0.2002303267478768</v>
      </c>
      <c r="X225" s="116">
        <v>0.20030716126032544</v>
      </c>
      <c r="Y225" s="116">
        <v>0.20038402525653101</v>
      </c>
      <c r="Z225" s="116">
        <v>0.20046091874780753</v>
      </c>
      <c r="AA225" s="116">
        <v>0.20053784174547304</v>
      </c>
      <c r="AB225" s="116">
        <v>0.20061479426085005</v>
      </c>
      <c r="AC225" s="116">
        <v>0.20069177630526541</v>
      </c>
      <c r="AD225" s="116">
        <v>0.20076878789005037</v>
      </c>
      <c r="AE225" s="116">
        <v>0.20084582902654041</v>
      </c>
      <c r="AF225" s="116">
        <v>0.20092289972607549</v>
      </c>
      <c r="AG225" s="137">
        <v>0.20099999999999973</v>
      </c>
    </row>
    <row r="226" spans="1:33" s="117" customFormat="1" x14ac:dyDescent="0.35">
      <c r="A226" s="149"/>
      <c r="B226" s="125" t="s">
        <v>73</v>
      </c>
      <c r="C226" s="126"/>
      <c r="D226" s="127">
        <f>D212*T226</f>
        <v>29.254875000000002</v>
      </c>
      <c r="E226" s="127">
        <f t="shared" ref="E226:Q226" si="232">E212*U226</f>
        <v>33.547895778737598</v>
      </c>
      <c r="F226" s="127">
        <f t="shared" si="232"/>
        <v>38.490076662267064</v>
      </c>
      <c r="G226" s="127">
        <f t="shared" si="232"/>
        <v>44.182416287615325</v>
      </c>
      <c r="H226" s="127">
        <f t="shared" si="232"/>
        <v>50.742059763306031</v>
      </c>
      <c r="I226" s="127">
        <f t="shared" si="232"/>
        <v>58.304947915060836</v>
      </c>
      <c r="J226" s="127">
        <f t="shared" si="232"/>
        <v>67.028912171662952</v>
      </c>
      <c r="K226" s="127">
        <f t="shared" si="232"/>
        <v>77.097291869939525</v>
      </c>
      <c r="L226" s="127">
        <f t="shared" si="232"/>
        <v>88.723164294475794</v>
      </c>
      <c r="M226" s="127">
        <f t="shared" si="232"/>
        <v>102.15429374461291</v>
      </c>
      <c r="N226" s="127">
        <f t="shared" si="232"/>
        <v>117.67892478797084</v>
      </c>
      <c r="O226" s="127">
        <f t="shared" si="232"/>
        <v>135.63256715018449</v>
      </c>
      <c r="P226" s="127">
        <f t="shared" si="232"/>
        <v>156.40594603948949</v>
      </c>
      <c r="Q226" s="127">
        <f t="shared" si="232"/>
        <v>180.45432286714171</v>
      </c>
      <c r="R226" s="68">
        <f>RATE(9,,-H226,Q226)</f>
        <v>0.15138915126465285</v>
      </c>
      <c r="S226" s="125" t="s">
        <v>73</v>
      </c>
      <c r="T226" s="116">
        <v>9.9999999999999992E-2</v>
      </c>
      <c r="U226" s="116">
        <v>0.10015244398015953</v>
      </c>
      <c r="V226" s="116">
        <v>0.10030512035198993</v>
      </c>
      <c r="W226" s="116">
        <v>0.10045802946975833</v>
      </c>
      <c r="X226" s="116">
        <v>0.10061117168827188</v>
      </c>
      <c r="Y226" s="116">
        <v>0.10076454736287864</v>
      </c>
      <c r="Z226" s="116">
        <v>0.10091815684946834</v>
      </c>
      <c r="AA226" s="116">
        <v>0.10107200050447333</v>
      </c>
      <c r="AB226" s="116">
        <v>0.10122607868486923</v>
      </c>
      <c r="AC226" s="116">
        <v>0.10138039174817587</v>
      </c>
      <c r="AD226" s="116">
        <v>0.10153494005245813</v>
      </c>
      <c r="AE226" s="116">
        <v>0.10168972395632671</v>
      </c>
      <c r="AF226" s="116">
        <v>0.10184474381893897</v>
      </c>
      <c r="AG226" s="137">
        <v>0.10199999999999985</v>
      </c>
    </row>
    <row r="227" spans="1:33" s="117" customFormat="1" x14ac:dyDescent="0.35">
      <c r="A227" s="149"/>
      <c r="B227" s="125" t="s">
        <v>74</v>
      </c>
      <c r="C227" s="126"/>
      <c r="D227" s="127">
        <f>D212*T227</f>
        <v>14.627437500000015</v>
      </c>
      <c r="E227" s="127">
        <f t="shared" ref="E227:Q227" si="233">E212*U227</f>
        <v>16.594578080896934</v>
      </c>
      <c r="F227" s="127">
        <f t="shared" si="233"/>
        <v>18.833887064751991</v>
      </c>
      <c r="G227" s="127">
        <f t="shared" si="233"/>
        <v>21.384024100221239</v>
      </c>
      <c r="H227" s="127">
        <f t="shared" si="233"/>
        <v>24.289275241903926</v>
      </c>
      <c r="I227" s="127">
        <f t="shared" si="233"/>
        <v>27.600390321869632</v>
      </c>
      <c r="J227" s="127">
        <f t="shared" si="233"/>
        <v>31.375547518966211</v>
      </c>
      <c r="K227" s="127">
        <f t="shared" si="233"/>
        <v>35.681464806790821</v>
      </c>
      <c r="L227" s="127">
        <f t="shared" si="233"/>
        <v>40.594681056296871</v>
      </c>
      <c r="M227" s="127">
        <f t="shared" si="233"/>
        <v>46.203033157643446</v>
      </c>
      <c r="N227" s="127">
        <f t="shared" si="233"/>
        <v>52.607359687591796</v>
      </c>
      <c r="O227" s="127">
        <f t="shared" si="233"/>
        <v>59.923466476041312</v>
      </c>
      <c r="P227" s="127">
        <f t="shared" si="233"/>
        <v>68.284395025639668</v>
      </c>
      <c r="Q227" s="127">
        <f t="shared" si="233"/>
        <v>77.843041236806997</v>
      </c>
      <c r="R227" s="68">
        <f>RATE(9,,-H227,Q227)</f>
        <v>0.13815282864687151</v>
      </c>
      <c r="S227" s="125" t="s">
        <v>74</v>
      </c>
      <c r="T227" s="116">
        <f>1-SUM(T223:T226)</f>
        <v>5.0000000000000044E-2</v>
      </c>
      <c r="U227" s="116">
        <f t="shared" ref="U227:AG227" si="234">1-SUM(U223:U226)</f>
        <v>4.9540739084886765E-2</v>
      </c>
      <c r="V227" s="116">
        <f t="shared" si="234"/>
        <v>4.9081100183354764E-2</v>
      </c>
      <c r="W227" s="116">
        <f t="shared" si="234"/>
        <v>4.8621082859250597E-2</v>
      </c>
      <c r="X227" s="116">
        <f t="shared" si="234"/>
        <v>4.8160686675831288E-2</v>
      </c>
      <c r="Y227" s="116">
        <f t="shared" si="234"/>
        <v>4.7699911195762668E-2</v>
      </c>
      <c r="Z227" s="116">
        <f t="shared" si="234"/>
        <v>4.7238755981118041E-2</v>
      </c>
      <c r="AA227" s="116">
        <f t="shared" si="234"/>
        <v>4.6777220593379298E-2</v>
      </c>
      <c r="AB227" s="116">
        <f t="shared" si="234"/>
        <v>4.631530459343336E-2</v>
      </c>
      <c r="AC227" s="116">
        <f t="shared" si="234"/>
        <v>4.5853007541573509E-2</v>
      </c>
      <c r="AD227" s="116">
        <f t="shared" si="234"/>
        <v>4.5390328997497287E-2</v>
      </c>
      <c r="AE227" s="116">
        <f t="shared" si="234"/>
        <v>4.4927268520306485E-2</v>
      </c>
      <c r="AF227" s="116">
        <f t="shared" si="234"/>
        <v>4.4463825668505264E-2</v>
      </c>
      <c r="AG227" s="116">
        <f t="shared" si="234"/>
        <v>4.4000000000000372E-2</v>
      </c>
    </row>
    <row r="228" spans="1:33" x14ac:dyDescent="0.35">
      <c r="A228" s="2"/>
      <c r="D228" s="81" t="b">
        <f>D212=SUM(D223:D227)</f>
        <v>1</v>
      </c>
      <c r="E228" s="81" t="b">
        <f t="shared" ref="E228:Q228" si="235">E212=SUM(E223:E227)</f>
        <v>1</v>
      </c>
      <c r="F228" s="81" t="b">
        <f t="shared" si="235"/>
        <v>1</v>
      </c>
      <c r="G228" s="81" t="b">
        <f t="shared" si="235"/>
        <v>1</v>
      </c>
      <c r="H228" s="81" t="b">
        <f t="shared" si="235"/>
        <v>1</v>
      </c>
      <c r="I228" s="81" t="b">
        <f t="shared" si="235"/>
        <v>1</v>
      </c>
      <c r="J228" s="81" t="b">
        <f t="shared" si="235"/>
        <v>1</v>
      </c>
      <c r="K228" s="81" t="b">
        <f t="shared" si="235"/>
        <v>1</v>
      </c>
      <c r="L228" s="81" t="b">
        <f t="shared" si="235"/>
        <v>1</v>
      </c>
      <c r="M228" s="81" t="b">
        <f t="shared" si="235"/>
        <v>1</v>
      </c>
      <c r="N228" s="81" t="b">
        <f t="shared" si="235"/>
        <v>1</v>
      </c>
      <c r="O228" s="81" t="b">
        <f t="shared" si="235"/>
        <v>1</v>
      </c>
      <c r="P228" s="81" t="b">
        <f t="shared" si="235"/>
        <v>1</v>
      </c>
      <c r="Q228" s="81" t="b">
        <f t="shared" si="235"/>
        <v>1</v>
      </c>
      <c r="R228" s="21"/>
    </row>
    <row r="229" spans="1:33" s="117" customFormat="1" x14ac:dyDescent="0.35">
      <c r="A229" s="149" t="s">
        <v>75</v>
      </c>
      <c r="B229" s="128" t="s">
        <v>76</v>
      </c>
      <c r="C229" s="129"/>
      <c r="D229" s="130">
        <f>D212*T229</f>
        <v>64.360725000000016</v>
      </c>
      <c r="E229" s="130">
        <f t="shared" ref="E229:P229" si="236">E212*U229</f>
        <v>73.820532055521767</v>
      </c>
      <c r="F229" s="130">
        <f t="shared" si="236"/>
        <v>84.712961966813992</v>
      </c>
      <c r="G229" s="130">
        <f t="shared" si="236"/>
        <v>97.261230382083141</v>
      </c>
      <c r="H229" s="130">
        <f t="shared" si="236"/>
        <v>111.7242874365763</v>
      </c>
      <c r="I229" s="130">
        <f t="shared" si="236"/>
        <v>128.40268869137847</v>
      </c>
      <c r="J229" s="130">
        <f t="shared" si="236"/>
        <v>147.6454549031649</v>
      </c>
      <c r="K229" s="130">
        <f t="shared" si="236"/>
        <v>169.85809119836443</v>
      </c>
      <c r="L229" s="130">
        <f t="shared" si="236"/>
        <v>195.51196633396376</v>
      </c>
      <c r="M229" s="130">
        <f t="shared" si="236"/>
        <v>225.15528826991661</v>
      </c>
      <c r="N229" s="130">
        <f t="shared" si="236"/>
        <v>259.42595425678871</v>
      </c>
      <c r="O229" s="130">
        <f t="shared" si="236"/>
        <v>299.06660324749129</v>
      </c>
      <c r="P229" s="130">
        <f t="shared" si="236"/>
        <v>344.94225708920624</v>
      </c>
      <c r="Q229" s="130">
        <f>Q212*AG229</f>
        <v>398.06100632457816</v>
      </c>
      <c r="R229" s="68">
        <f t="shared" ref="R229:R234" si="237">RATE(9,,-H229,Q229)</f>
        <v>0.1516256734157243</v>
      </c>
      <c r="S229" s="134" t="s">
        <v>76</v>
      </c>
      <c r="T229" s="116">
        <v>0.22000000000000003</v>
      </c>
      <c r="U229" s="116">
        <v>0.22038063877502673</v>
      </c>
      <c r="V229" s="116">
        <v>0.22076193612222184</v>
      </c>
      <c r="W229" s="116">
        <v>0.22114389318103134</v>
      </c>
      <c r="X229" s="116">
        <v>0.22152651109287255</v>
      </c>
      <c r="Y229" s="116">
        <v>0.22190979100113767</v>
      </c>
      <c r="Z229" s="116">
        <v>0.22229373405119721</v>
      </c>
      <c r="AA229" s="116">
        <v>0.22267834139040343</v>
      </c>
      <c r="AB229" s="116">
        <v>0.2230636141680935</v>
      </c>
      <c r="AC229" s="116">
        <v>0.22344955353559337</v>
      </c>
      <c r="AD229" s="116">
        <v>0.22383616064622086</v>
      </c>
      <c r="AE229" s="116">
        <v>0.22422343665528938</v>
      </c>
      <c r="AF229" s="116">
        <v>0.22461138272011094</v>
      </c>
      <c r="AG229" s="116">
        <v>0.22500000000000017</v>
      </c>
    </row>
    <row r="230" spans="1:33" s="117" customFormat="1" x14ac:dyDescent="0.35">
      <c r="A230" s="149"/>
      <c r="B230" s="128" t="s">
        <v>77</v>
      </c>
      <c r="C230" s="129"/>
      <c r="D230" s="130">
        <f>D212*T230</f>
        <v>111.16852500000002</v>
      </c>
      <c r="E230" s="130">
        <f t="shared" ref="E230:Q230" si="238">E212*U230</f>
        <v>127.28796112500001</v>
      </c>
      <c r="F230" s="130">
        <f t="shared" si="238"/>
        <v>145.81737283535713</v>
      </c>
      <c r="G230" s="130">
        <f t="shared" si="238"/>
        <v>167.12768783054861</v>
      </c>
      <c r="H230" s="130">
        <f t="shared" si="238"/>
        <v>191.64852557128074</v>
      </c>
      <c r="I230" s="130">
        <f t="shared" si="238"/>
        <v>219.87773267054123</v>
      </c>
      <c r="J230" s="130">
        <f t="shared" si="238"/>
        <v>252.39250716028224</v>
      </c>
      <c r="K230" s="130">
        <f t="shared" si="238"/>
        <v>289.86238289881646</v>
      </c>
      <c r="L230" s="130">
        <f t="shared" si="238"/>
        <v>333.06439279209502</v>
      </c>
      <c r="M230" s="130">
        <f t="shared" si="238"/>
        <v>382.90078538438246</v>
      </c>
      <c r="N230" s="130">
        <f t="shared" si="238"/>
        <v>440.41973527856845</v>
      </c>
      <c r="O230" s="130">
        <f t="shared" si="238"/>
        <v>506.83956561043919</v>
      </c>
      <c r="P230" s="130">
        <f t="shared" si="238"/>
        <v>583.57709260547676</v>
      </c>
      <c r="Q230" s="130">
        <f t="shared" si="238"/>
        <v>672.28081068150925</v>
      </c>
      <c r="R230" s="68">
        <f t="shared" si="237"/>
        <v>0.14963659947504246</v>
      </c>
      <c r="S230" s="134" t="s">
        <v>77</v>
      </c>
      <c r="T230" s="116">
        <v>0.38</v>
      </c>
      <c r="U230" s="116">
        <v>0.38</v>
      </c>
      <c r="V230" s="116">
        <v>0.38</v>
      </c>
      <c r="W230" s="116">
        <v>0.38</v>
      </c>
      <c r="X230" s="116">
        <v>0.38</v>
      </c>
      <c r="Y230" s="116">
        <v>0.38</v>
      </c>
      <c r="Z230" s="116">
        <v>0.38</v>
      </c>
      <c r="AA230" s="116">
        <v>0.38</v>
      </c>
      <c r="AB230" s="116">
        <v>0.38</v>
      </c>
      <c r="AC230" s="116">
        <v>0.38</v>
      </c>
      <c r="AD230" s="116">
        <v>0.38</v>
      </c>
      <c r="AE230" s="116">
        <v>0.38</v>
      </c>
      <c r="AF230" s="116">
        <v>0.38</v>
      </c>
      <c r="AG230" s="116">
        <v>0.38</v>
      </c>
    </row>
    <row r="231" spans="1:33" s="117" customFormat="1" x14ac:dyDescent="0.35">
      <c r="A231" s="149"/>
      <c r="B231" s="128" t="s">
        <v>78</v>
      </c>
      <c r="C231" s="129"/>
      <c r="D231" s="132">
        <f>D212*T231</f>
        <v>49.733287500000003</v>
      </c>
      <c r="E231" s="132">
        <f t="shared" ref="E231:Q231" si="239">E212*U231</f>
        <v>57.219919645404346</v>
      </c>
      <c r="F231" s="132">
        <f t="shared" si="239"/>
        <v>65.866376391674294</v>
      </c>
      <c r="G231" s="132">
        <f t="shared" si="239"/>
        <v>75.857320101291592</v>
      </c>
      <c r="H231" s="132">
        <f t="shared" si="239"/>
        <v>87.407593228249937</v>
      </c>
      <c r="I231" s="132">
        <f t="shared" si="239"/>
        <v>100.76727594542658</v>
      </c>
      <c r="J231" s="132">
        <f t="shared" si="239"/>
        <v>116.22761199151834</v>
      </c>
      <c r="K231" s="132">
        <f t="shared" si="239"/>
        <v>134.12795527593221</v>
      </c>
      <c r="L231" s="132">
        <f t="shared" si="239"/>
        <v>154.86391718559494</v>
      </c>
      <c r="M231" s="132">
        <f t="shared" si="239"/>
        <v>178.89692697452855</v>
      </c>
      <c r="N231" s="132">
        <f t="shared" si="239"/>
        <v>206.76545602842353</v>
      </c>
      <c r="O231" s="132">
        <f t="shared" si="239"/>
        <v>239.09820230596279</v>
      </c>
      <c r="P231" s="132">
        <f t="shared" si="239"/>
        <v>276.62958520557856</v>
      </c>
      <c r="Q231" s="132">
        <f t="shared" si="239"/>
        <v>320.21796508777095</v>
      </c>
      <c r="R231" s="68">
        <f t="shared" si="237"/>
        <v>0.15519465329554702</v>
      </c>
      <c r="S231" s="134" t="s">
        <v>78</v>
      </c>
      <c r="T231" s="116">
        <v>0.16999999999999998</v>
      </c>
      <c r="U231" s="116">
        <v>0.17082188506343435</v>
      </c>
      <c r="V231" s="116">
        <v>0.17164774362720694</v>
      </c>
      <c r="W231" s="116">
        <v>0.17247759490167405</v>
      </c>
      <c r="X231" s="116">
        <v>0.17331145819006682</v>
      </c>
      <c r="Y231" s="116">
        <v>0.17414935288894001</v>
      </c>
      <c r="Z231" s="116">
        <v>0.17499129848862341</v>
      </c>
      <c r="AA231" s="116">
        <v>0.17583731457367507</v>
      </c>
      <c r="AB231" s="116">
        <v>0.17668742082333691</v>
      </c>
      <c r="AC231" s="116">
        <v>0.17754163701199244</v>
      </c>
      <c r="AD231" s="116">
        <v>0.17839998300962681</v>
      </c>
      <c r="AE231" s="116">
        <v>0.17926247878228888</v>
      </c>
      <c r="AF231" s="116">
        <v>0.18012914439255584</v>
      </c>
      <c r="AG231" s="116">
        <v>0.18099999999999969</v>
      </c>
    </row>
    <row r="232" spans="1:33" s="117" customFormat="1" x14ac:dyDescent="0.35">
      <c r="A232" s="149"/>
      <c r="B232" s="128" t="s">
        <v>79</v>
      </c>
      <c r="C232" s="129"/>
      <c r="D232" s="132">
        <f>D212*T232</f>
        <v>40.956825000000009</v>
      </c>
      <c r="E232" s="132">
        <f t="shared" ref="E232:Q232" si="240">E212*U232</f>
        <v>46.921246860201705</v>
      </c>
      <c r="F232" s="132">
        <f t="shared" si="240"/>
        <v>53.781047742217496</v>
      </c>
      <c r="G232" s="132">
        <f t="shared" si="240"/>
        <v>61.674575559290766</v>
      </c>
      <c r="H232" s="132">
        <f t="shared" si="240"/>
        <v>70.762150367966953</v>
      </c>
      <c r="I232" s="132">
        <f t="shared" si="240"/>
        <v>81.229646788454303</v>
      </c>
      <c r="J232" s="132">
        <f t="shared" si="240"/>
        <v>93.292675399353044</v>
      </c>
      <c r="K232" s="132">
        <f t="shared" si="240"/>
        <v>107.20146570402312</v>
      </c>
      <c r="L232" s="132">
        <f t="shared" si="240"/>
        <v>123.2465712531656</v>
      </c>
      <c r="M232" s="132">
        <f t="shared" si="240"/>
        <v>141.76553872057534</v>
      </c>
      <c r="N232" s="132">
        <f t="shared" si="240"/>
        <v>163.15070775738744</v>
      </c>
      <c r="O232" s="132">
        <f t="shared" si="240"/>
        <v>187.85833799597981</v>
      </c>
      <c r="P232" s="132">
        <f t="shared" si="240"/>
        <v>216.41929447115825</v>
      </c>
      <c r="Q232" s="132">
        <f t="shared" si="240"/>
        <v>249.45156396340258</v>
      </c>
      <c r="R232" s="68">
        <f t="shared" si="237"/>
        <v>0.15026619499820723</v>
      </c>
      <c r="S232" s="134" t="s">
        <v>79</v>
      </c>
      <c r="T232" s="116">
        <v>0.14000000000000001</v>
      </c>
      <c r="U232" s="116">
        <v>0.14007667063947282</v>
      </c>
      <c r="V232" s="116">
        <v>0.14015338326742385</v>
      </c>
      <c r="W232" s="116">
        <v>0.1402301379068481</v>
      </c>
      <c r="X232" s="116">
        <v>0.14030693458075291</v>
      </c>
      <c r="Y232" s="116">
        <v>0.14038377331215846</v>
      </c>
      <c r="Z232" s="116">
        <v>0.14046065412409731</v>
      </c>
      <c r="AA232" s="116">
        <v>0.14053757703961495</v>
      </c>
      <c r="AB232" s="116">
        <v>0.14061454208176913</v>
      </c>
      <c r="AC232" s="116">
        <v>0.14069154927363042</v>
      </c>
      <c r="AD232" s="116">
        <v>0.14076859863828203</v>
      </c>
      <c r="AE232" s="116">
        <v>0.14084569019881982</v>
      </c>
      <c r="AF232" s="116">
        <v>0.14092282397835218</v>
      </c>
      <c r="AG232" s="116">
        <v>0.14100000000000026</v>
      </c>
    </row>
    <row r="233" spans="1:33" s="117" customFormat="1" x14ac:dyDescent="0.35">
      <c r="A233" s="149"/>
      <c r="B233" s="128" t="s">
        <v>80</v>
      </c>
      <c r="C233" s="129"/>
      <c r="D233" s="132">
        <f>D212*T233</f>
        <v>11.701950000000011</v>
      </c>
      <c r="E233" s="132">
        <f t="shared" ref="E233:Q233" si="241">E212*U233</f>
        <v>12.425014357452609</v>
      </c>
      <c r="F233" s="132">
        <f t="shared" si="241"/>
        <v>13.199333830908033</v>
      </c>
      <c r="G233" s="132">
        <f t="shared" si="241"/>
        <v>14.028922721071982</v>
      </c>
      <c r="H233" s="132">
        <f t="shared" si="241"/>
        <v>14.918136440736065</v>
      </c>
      <c r="I233" s="132">
        <f t="shared" si="241"/>
        <v>15.871702589022453</v>
      </c>
      <c r="J233" s="132">
        <f t="shared" si="241"/>
        <v>16.894755034699955</v>
      </c>
      <c r="K233" s="132">
        <f t="shared" si="241"/>
        <v>17.992871316325076</v>
      </c>
      <c r="L233" s="132">
        <f t="shared" si="241"/>
        <v>19.172113700038253</v>
      </c>
      <c r="M233" s="132">
        <f t="shared" si="241"/>
        <v>20.43907427264233</v>
      </c>
      <c r="N233" s="132">
        <f t="shared" si="241"/>
        <v>21.800924488544222</v>
      </c>
      <c r="O233" s="132">
        <f t="shared" si="241"/>
        <v>23.265469634741411</v>
      </c>
      <c r="P233" s="132">
        <f t="shared" si="241"/>
        <v>24.841208728832072</v>
      </c>
      <c r="Q233" s="132">
        <f t="shared" si="241"/>
        <v>26.53740042163853</v>
      </c>
      <c r="R233" s="68">
        <f t="shared" si="237"/>
        <v>6.6089720636858251E-2</v>
      </c>
      <c r="S233" s="134" t="s">
        <v>80</v>
      </c>
      <c r="T233" s="116">
        <v>4.0000000000000029E-2</v>
      </c>
      <c r="U233" s="116">
        <v>3.7093103024844219E-2</v>
      </c>
      <c r="V233" s="116">
        <v>3.4397457300292665E-2</v>
      </c>
      <c r="W233" s="116">
        <v>3.1897710685810869E-2</v>
      </c>
      <c r="X233" s="116">
        <v>2.9579626718136409E-2</v>
      </c>
      <c r="Y233" s="116">
        <v>2.7430003532306693E-2</v>
      </c>
      <c r="Z233" s="116">
        <v>2.543659867489231E-2</v>
      </c>
      <c r="AA233" s="116">
        <v>2.3588059381234896E-2</v>
      </c>
      <c r="AB233" s="116">
        <v>2.1873857919607213E-2</v>
      </c>
      <c r="AC233" s="116">
        <v>2.0284231634069862E-2</v>
      </c>
      <c r="AD233" s="116">
        <v>1.8810127344558929E-2</v>
      </c>
      <c r="AE233" s="116">
        <v>1.7443149787554083E-2</v>
      </c>
      <c r="AF233" s="116">
        <v>1.617551380368832E-2</v>
      </c>
      <c r="AG233" s="116">
        <v>1.5000000000000005E-2</v>
      </c>
    </row>
    <row r="234" spans="1:33" s="117" customFormat="1" x14ac:dyDescent="0.35">
      <c r="A234" s="149"/>
      <c r="B234" s="128" t="s">
        <v>81</v>
      </c>
      <c r="C234" s="129"/>
      <c r="D234" s="132">
        <f>D212*T234</f>
        <v>5.8509750000000018</v>
      </c>
      <c r="E234" s="132">
        <f t="shared" ref="E234:Q234" si="242">E212*U234</f>
        <v>6.7486636217599196</v>
      </c>
      <c r="F234" s="132">
        <f t="shared" si="242"/>
        <v>7.7879611039777235</v>
      </c>
      <c r="G234" s="132">
        <f t="shared" si="242"/>
        <v>8.9918066975346491</v>
      </c>
      <c r="H234" s="132">
        <f t="shared" si="242"/>
        <v>10.386951224994188</v>
      </c>
      <c r="I234" s="132">
        <f t="shared" si="242"/>
        <v>12.004606049127064</v>
      </c>
      <c r="J234" s="132">
        <f t="shared" si="242"/>
        <v>13.881205160657236</v>
      </c>
      <c r="K234" s="132">
        <f t="shared" si="242"/>
        <v>16.059300553813404</v>
      </c>
      <c r="L234" s="132">
        <f t="shared" si="242"/>
        <v>18.588614733662322</v>
      </c>
      <c r="M234" s="132">
        <f t="shared" si="242"/>
        <v>21.527278558678034</v>
      </c>
      <c r="N234" s="132">
        <f t="shared" si="242"/>
        <v>24.943287795523503</v>
      </c>
      <c r="O234" s="132">
        <f t="shared" si="242"/>
        <v>28.916217905732747</v>
      </c>
      <c r="P234" s="132">
        <f t="shared" si="242"/>
        <v>33.539243881185598</v>
      </c>
      <c r="Q234" s="132">
        <f t="shared" si="242"/>
        <v>38.921520618403179</v>
      </c>
      <c r="R234" s="68">
        <f t="shared" si="237"/>
        <v>0.15809619340619641</v>
      </c>
      <c r="S234" s="134" t="s">
        <v>81</v>
      </c>
      <c r="T234" s="116">
        <v>2.0000000000000004E-2</v>
      </c>
      <c r="U234" s="116">
        <v>2.0147169878464571E-2</v>
      </c>
      <c r="V234" s="116">
        <v>2.0295422705585511E-2</v>
      </c>
      <c r="W234" s="116">
        <v>2.0444766450233912E-2</v>
      </c>
      <c r="X234" s="116">
        <v>2.0595209139919784E-2</v>
      </c>
      <c r="Y234" s="116">
        <v>2.0746758861223506E-2</v>
      </c>
      <c r="Z234" s="116">
        <v>2.0899423760230504E-2</v>
      </c>
      <c r="AA234" s="116">
        <v>2.1053212042969137E-2</v>
      </c>
      <c r="AB234" s="116">
        <v>2.1208131975851766E-2</v>
      </c>
      <c r="AC234" s="116">
        <v>2.1364191886119096E-2</v>
      </c>
      <c r="AD234" s="116">
        <v>2.1521400162287797E-2</v>
      </c>
      <c r="AE234" s="116">
        <v>2.1679765254601358E-2</v>
      </c>
      <c r="AF234" s="116">
        <v>2.1839295675484361E-2</v>
      </c>
      <c r="AG234" s="116">
        <v>2.2000000000000006E-2</v>
      </c>
    </row>
    <row r="235" spans="1:33" s="117" customFormat="1" x14ac:dyDescent="0.35">
      <c r="A235" s="149"/>
      <c r="B235" s="128" t="s">
        <v>82</v>
      </c>
      <c r="C235" s="129"/>
      <c r="D235" s="132">
        <f>D212*T235</f>
        <v>8.7764624999999761</v>
      </c>
      <c r="E235" s="132">
        <f t="shared" ref="E235:Q235" si="243">E212*U235</f>
        <v>10.544981084659661</v>
      </c>
      <c r="F235" s="132">
        <f t="shared" si="243"/>
        <v>12.564874643149064</v>
      </c>
      <c r="G235" s="132">
        <f t="shared" si="243"/>
        <v>14.868161525412447</v>
      </c>
      <c r="H235" s="132">
        <f t="shared" si="243"/>
        <v>17.490580917776693</v>
      </c>
      <c r="I235" s="132">
        <f t="shared" si="243"/>
        <v>20.471959556947855</v>
      </c>
      <c r="J235" s="132">
        <f t="shared" si="243"/>
        <v>23.856598666856446</v>
      </c>
      <c r="K235" s="132">
        <f t="shared" si="243"/>
        <v>27.693677523294976</v>
      </c>
      <c r="L235" s="132">
        <f t="shared" si="243"/>
        <v>32.037668191203863</v>
      </c>
      <c r="M235" s="132">
        <f t="shared" si="243"/>
        <v>36.948753567651622</v>
      </c>
      <c r="N235" s="132">
        <f t="shared" si="243"/>
        <v>42.493237759418079</v>
      </c>
      <c r="O235" s="132">
        <f t="shared" si="243"/>
        <v>48.743933853439898</v>
      </c>
      <c r="P235" s="132">
        <f t="shared" si="243"/>
        <v>55.780509085606518</v>
      </c>
      <c r="Q235" s="132">
        <f t="shared" si="243"/>
        <v>63.68976101193212</v>
      </c>
      <c r="R235" s="68">
        <f>RATE(9,,-H235,Q235)</f>
        <v>0.15441728444167913</v>
      </c>
      <c r="S235" s="134" t="s">
        <v>82</v>
      </c>
      <c r="T235" s="116">
        <f>1-SUM(T229:T234)</f>
        <v>2.9999999999999916E-2</v>
      </c>
      <c r="U235" s="116">
        <f t="shared" ref="U235:AG235" si="244">1-SUM(U229:U234)</f>
        <v>3.1480532618757273E-2</v>
      </c>
      <c r="V235" s="116">
        <f t="shared" si="244"/>
        <v>3.2744056977269231E-2</v>
      </c>
      <c r="W235" s="116">
        <f t="shared" si="244"/>
        <v>3.380589687440172E-2</v>
      </c>
      <c r="X235" s="116">
        <f t="shared" si="244"/>
        <v>3.468026027825144E-2</v>
      </c>
      <c r="Y235" s="116">
        <f t="shared" si="244"/>
        <v>3.5380320404233667E-2</v>
      </c>
      <c r="Z235" s="116">
        <f t="shared" si="244"/>
        <v>3.5918290900959216E-2</v>
      </c>
      <c r="AA235" s="116">
        <f t="shared" si="244"/>
        <v>3.6305495572102608E-2</v>
      </c>
      <c r="AB235" s="116">
        <f t="shared" si="244"/>
        <v>3.655243303134148E-2</v>
      </c>
      <c r="AC235" s="116">
        <f t="shared" si="244"/>
        <v>3.6668836658594883E-2</v>
      </c>
      <c r="AD235" s="116">
        <f t="shared" si="244"/>
        <v>3.6663730199023692E-2</v>
      </c>
      <c r="AE235" s="116">
        <f t="shared" si="244"/>
        <v>3.6545479321446361E-2</v>
      </c>
      <c r="AF235" s="116">
        <f t="shared" si="244"/>
        <v>3.6321839429808267E-2</v>
      </c>
      <c r="AG235" s="116">
        <f t="shared" si="244"/>
        <v>3.599999999999981E-2</v>
      </c>
    </row>
    <row r="236" spans="1:33" x14ac:dyDescent="0.35">
      <c r="D236" t="b">
        <f>D212=SUM(D229:D235)</f>
        <v>1</v>
      </c>
      <c r="E236" t="b">
        <f t="shared" ref="E236:Q236" si="245">E212=SUM(E229:E235)</f>
        <v>1</v>
      </c>
      <c r="F236" t="b">
        <f t="shared" si="245"/>
        <v>1</v>
      </c>
      <c r="G236" t="b">
        <f t="shared" si="245"/>
        <v>1</v>
      </c>
      <c r="H236" t="b">
        <f t="shared" si="245"/>
        <v>1</v>
      </c>
      <c r="I236" t="b">
        <f t="shared" si="245"/>
        <v>1</v>
      </c>
      <c r="J236" t="b">
        <f t="shared" si="245"/>
        <v>1</v>
      </c>
      <c r="K236" t="b">
        <f t="shared" si="245"/>
        <v>1</v>
      </c>
      <c r="L236" t="b">
        <f t="shared" si="245"/>
        <v>1</v>
      </c>
      <c r="M236" t="b">
        <f t="shared" si="245"/>
        <v>1</v>
      </c>
      <c r="N236" t="b">
        <f t="shared" si="245"/>
        <v>1</v>
      </c>
      <c r="O236" t="b">
        <f t="shared" si="245"/>
        <v>1</v>
      </c>
      <c r="P236" t="b">
        <f t="shared" si="245"/>
        <v>1</v>
      </c>
      <c r="Q236" t="b">
        <f t="shared" si="245"/>
        <v>1</v>
      </c>
    </row>
    <row r="237" spans="1:33" ht="25" hidden="1" x14ac:dyDescent="0.5">
      <c r="A237" s="146" t="s">
        <v>95</v>
      </c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63"/>
    </row>
    <row r="238" spans="1:33" ht="23.5" hidden="1" thickBot="1" x14ac:dyDescent="0.55000000000000004">
      <c r="A238" s="63"/>
      <c r="B238" s="63"/>
      <c r="C238" s="63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</row>
    <row r="239" spans="1:33" ht="16" hidden="1" thickBot="1" x14ac:dyDescent="0.4">
      <c r="A239" s="42"/>
      <c r="B239" s="43"/>
      <c r="C239" s="93"/>
      <c r="D239" s="91">
        <v>2023</v>
      </c>
      <c r="E239" s="65">
        <v>2024</v>
      </c>
      <c r="F239" s="65">
        <v>2025</v>
      </c>
      <c r="G239" s="65">
        <v>2026</v>
      </c>
      <c r="H239" s="65">
        <v>2027</v>
      </c>
      <c r="I239" s="65">
        <v>2028</v>
      </c>
      <c r="J239" s="65">
        <v>2029</v>
      </c>
      <c r="K239" s="65">
        <v>2030</v>
      </c>
      <c r="L239" s="65">
        <v>2031</v>
      </c>
      <c r="M239" s="65">
        <v>2032</v>
      </c>
      <c r="N239" s="65">
        <v>2033</v>
      </c>
      <c r="O239" s="65">
        <v>2034</v>
      </c>
      <c r="P239" s="65">
        <v>2035</v>
      </c>
      <c r="Q239" s="65">
        <v>2036</v>
      </c>
      <c r="R239" s="66" t="s">
        <v>13</v>
      </c>
    </row>
    <row r="240" spans="1:33" ht="16" hidden="1" thickBot="1" x14ac:dyDescent="0.4">
      <c r="A240" s="25"/>
      <c r="B240" s="94"/>
      <c r="C240" s="95"/>
      <c r="D240" s="92" t="e">
        <f>#REF!</f>
        <v>#REF!</v>
      </c>
      <c r="E240" s="92" t="e">
        <f>#REF!</f>
        <v>#REF!</v>
      </c>
      <c r="F240" s="92" t="e">
        <f>#REF!</f>
        <v>#REF!</v>
      </c>
      <c r="G240" s="92" t="e">
        <f>#REF!</f>
        <v>#REF!</v>
      </c>
      <c r="H240" s="92" t="e">
        <f>#REF!</f>
        <v>#REF!</v>
      </c>
      <c r="I240" s="92" t="e">
        <f>#REF!</f>
        <v>#REF!</v>
      </c>
      <c r="J240" s="92" t="e">
        <f>#REF!</f>
        <v>#REF!</v>
      </c>
      <c r="K240" s="92" t="e">
        <f>#REF!</f>
        <v>#REF!</v>
      </c>
      <c r="L240" s="92" t="e">
        <f>#REF!</f>
        <v>#REF!</v>
      </c>
      <c r="M240" s="92" t="e">
        <f>#REF!</f>
        <v>#REF!</v>
      </c>
      <c r="N240" s="92" t="e">
        <f>#REF!</f>
        <v>#REF!</v>
      </c>
      <c r="O240" s="92" t="e">
        <f>#REF!</f>
        <v>#REF!</v>
      </c>
      <c r="P240" s="92" t="e">
        <f>#REF!</f>
        <v>#REF!</v>
      </c>
      <c r="Q240" s="92" t="e">
        <f>#REF!</f>
        <v>#REF!</v>
      </c>
      <c r="R240" s="68" t="e">
        <f>RATE(12,,-E240,Q240)</f>
        <v>#REF!</v>
      </c>
      <c r="T240" s="65">
        <v>2023</v>
      </c>
      <c r="U240" s="65">
        <v>2024</v>
      </c>
      <c r="V240" s="65">
        <v>2025</v>
      </c>
      <c r="W240" s="65">
        <v>2026</v>
      </c>
      <c r="X240" s="65">
        <v>2027</v>
      </c>
      <c r="Y240" s="65">
        <v>2028</v>
      </c>
      <c r="Z240" s="65">
        <v>2029</v>
      </c>
      <c r="AA240" s="65">
        <v>2030</v>
      </c>
      <c r="AB240" s="65">
        <v>2031</v>
      </c>
      <c r="AC240" s="65">
        <v>2032</v>
      </c>
      <c r="AD240" s="65">
        <v>2033</v>
      </c>
      <c r="AE240" s="65">
        <v>2034</v>
      </c>
      <c r="AF240" s="65">
        <v>2035</v>
      </c>
      <c r="AG240" s="65">
        <v>2036</v>
      </c>
    </row>
    <row r="241" spans="1:33" ht="15" hidden="1" thickBot="1" x14ac:dyDescent="0.4">
      <c r="A241" s="150" t="s">
        <v>49</v>
      </c>
      <c r="B241" s="52" t="s">
        <v>34</v>
      </c>
      <c r="C241" s="45"/>
      <c r="D241" s="79" t="e">
        <f t="shared" ref="D241:Q241" si="246">D240*T241</f>
        <v>#REF!</v>
      </c>
      <c r="E241" s="79" t="e">
        <f t="shared" si="246"/>
        <v>#REF!</v>
      </c>
      <c r="F241" s="79" t="e">
        <f t="shared" si="246"/>
        <v>#REF!</v>
      </c>
      <c r="G241" s="79" t="e">
        <f t="shared" si="246"/>
        <v>#REF!</v>
      </c>
      <c r="H241" s="79" t="e">
        <f t="shared" si="246"/>
        <v>#REF!</v>
      </c>
      <c r="I241" s="79" t="e">
        <f t="shared" si="246"/>
        <v>#REF!</v>
      </c>
      <c r="J241" s="79" t="e">
        <f t="shared" si="246"/>
        <v>#REF!</v>
      </c>
      <c r="K241" s="79" t="e">
        <f t="shared" si="246"/>
        <v>#REF!</v>
      </c>
      <c r="L241" s="79" t="e">
        <f t="shared" si="246"/>
        <v>#REF!</v>
      </c>
      <c r="M241" s="79" t="e">
        <f t="shared" si="246"/>
        <v>#REF!</v>
      </c>
      <c r="N241" s="79" t="e">
        <f t="shared" si="246"/>
        <v>#REF!</v>
      </c>
      <c r="O241" s="79" t="e">
        <f t="shared" si="246"/>
        <v>#REF!</v>
      </c>
      <c r="P241" s="79" t="e">
        <f t="shared" si="246"/>
        <v>#REF!</v>
      </c>
      <c r="Q241" s="79" t="e">
        <f t="shared" si="246"/>
        <v>#REF!</v>
      </c>
      <c r="R241" s="77" t="e">
        <f>RATE(12,,-E241,Q241)</f>
        <v>#REF!</v>
      </c>
      <c r="S241" s="52"/>
      <c r="T241" s="12">
        <v>0.56000000000000005</v>
      </c>
      <c r="U241" s="12">
        <v>0.56092161367703952</v>
      </c>
      <c r="V241" s="12">
        <v>0.56184474408938223</v>
      </c>
      <c r="W241" s="12">
        <v>0.56276939373317769</v>
      </c>
      <c r="X241" s="12">
        <v>0.56369556510868446</v>
      </c>
      <c r="Y241" s="12">
        <v>0.56462326072027491</v>
      </c>
      <c r="Z241" s="12">
        <v>0.56555248307644368</v>
      </c>
      <c r="AA241" s="12">
        <v>0.56648323468981299</v>
      </c>
      <c r="AB241" s="12">
        <v>0.56741551807714108</v>
      </c>
      <c r="AC241" s="12">
        <v>0.56834933575932756</v>
      </c>
      <c r="AD241" s="12">
        <v>0.56928469026142059</v>
      </c>
      <c r="AE241" s="12">
        <v>0.57022158411262425</v>
      </c>
      <c r="AF241" s="12">
        <v>0.57116001984630527</v>
      </c>
      <c r="AG241" s="12">
        <v>0.57209999999999905</v>
      </c>
    </row>
    <row r="242" spans="1:33" ht="15" hidden="1" thickBot="1" x14ac:dyDescent="0.4">
      <c r="A242" s="151"/>
      <c r="B242" s="53" t="s">
        <v>35</v>
      </c>
      <c r="C242" s="46"/>
      <c r="D242" s="80" t="e">
        <f t="shared" ref="D242:Q242" si="247">D240*T242</f>
        <v>#REF!</v>
      </c>
      <c r="E242" s="80" t="e">
        <f t="shared" si="247"/>
        <v>#REF!</v>
      </c>
      <c r="F242" s="80" t="e">
        <f t="shared" si="247"/>
        <v>#REF!</v>
      </c>
      <c r="G242" s="80" t="e">
        <f t="shared" si="247"/>
        <v>#REF!</v>
      </c>
      <c r="H242" s="80" t="e">
        <f t="shared" si="247"/>
        <v>#REF!</v>
      </c>
      <c r="I242" s="80" t="e">
        <f t="shared" si="247"/>
        <v>#REF!</v>
      </c>
      <c r="J242" s="80" t="e">
        <f t="shared" si="247"/>
        <v>#REF!</v>
      </c>
      <c r="K242" s="80" t="e">
        <f t="shared" si="247"/>
        <v>#REF!</v>
      </c>
      <c r="L242" s="80" t="e">
        <f t="shared" si="247"/>
        <v>#REF!</v>
      </c>
      <c r="M242" s="80" t="e">
        <f t="shared" si="247"/>
        <v>#REF!</v>
      </c>
      <c r="N242" s="80" t="e">
        <f t="shared" si="247"/>
        <v>#REF!</v>
      </c>
      <c r="O242" s="80" t="e">
        <f t="shared" si="247"/>
        <v>#REF!</v>
      </c>
      <c r="P242" s="80" t="e">
        <f t="shared" si="247"/>
        <v>#REF!</v>
      </c>
      <c r="Q242" s="80" t="e">
        <f t="shared" si="247"/>
        <v>#REF!</v>
      </c>
      <c r="R242" s="78" t="e">
        <f>RATE(12,,-E242,Q242)</f>
        <v>#REF!</v>
      </c>
      <c r="S242" s="53"/>
      <c r="T242" s="12">
        <f>1-T241</f>
        <v>0.43999999999999995</v>
      </c>
      <c r="U242" s="12">
        <f t="shared" ref="U242:AG242" si="248">1-U241</f>
        <v>0.43907838632296048</v>
      </c>
      <c r="V242" s="12">
        <f t="shared" si="248"/>
        <v>0.43815525591061777</v>
      </c>
      <c r="W242" s="12">
        <f t="shared" si="248"/>
        <v>0.43723060626682231</v>
      </c>
      <c r="X242" s="12">
        <f t="shared" si="248"/>
        <v>0.43630443489131554</v>
      </c>
      <c r="Y242" s="12">
        <f t="shared" si="248"/>
        <v>0.43537673927972509</v>
      </c>
      <c r="Z242" s="12">
        <f t="shared" si="248"/>
        <v>0.43444751692355632</v>
      </c>
      <c r="AA242" s="12">
        <f t="shared" si="248"/>
        <v>0.43351676531018701</v>
      </c>
      <c r="AB242" s="12">
        <f t="shared" si="248"/>
        <v>0.43258448192285892</v>
      </c>
      <c r="AC242" s="12">
        <f t="shared" si="248"/>
        <v>0.43165066424067244</v>
      </c>
      <c r="AD242" s="12">
        <f t="shared" si="248"/>
        <v>0.43071530973857941</v>
      </c>
      <c r="AE242" s="12">
        <f t="shared" si="248"/>
        <v>0.42977841588737575</v>
      </c>
      <c r="AF242" s="12">
        <f t="shared" si="248"/>
        <v>0.42883998015369473</v>
      </c>
      <c r="AG242" s="12">
        <f t="shared" si="248"/>
        <v>0.42790000000000095</v>
      </c>
    </row>
    <row r="243" spans="1:33" ht="15" hidden="1" thickBot="1" x14ac:dyDescent="0.4">
      <c r="A243" s="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21"/>
    </row>
    <row r="244" spans="1:33" ht="15" hidden="1" thickBot="1" x14ac:dyDescent="0.4">
      <c r="A244" s="150" t="s">
        <v>15</v>
      </c>
      <c r="B244" s="57" t="s">
        <v>16</v>
      </c>
      <c r="C244" s="47"/>
      <c r="D244" s="82" t="e">
        <f t="shared" ref="D244:Q244" si="249">D240*T244</f>
        <v>#REF!</v>
      </c>
      <c r="E244" s="82" t="e">
        <f t="shared" si="249"/>
        <v>#REF!</v>
      </c>
      <c r="F244" s="82" t="e">
        <f t="shared" si="249"/>
        <v>#REF!</v>
      </c>
      <c r="G244" s="82" t="e">
        <f t="shared" si="249"/>
        <v>#REF!</v>
      </c>
      <c r="H244" s="82" t="e">
        <f t="shared" si="249"/>
        <v>#REF!</v>
      </c>
      <c r="I244" s="82" t="e">
        <f t="shared" si="249"/>
        <v>#REF!</v>
      </c>
      <c r="J244" s="82" t="e">
        <f t="shared" si="249"/>
        <v>#REF!</v>
      </c>
      <c r="K244" s="82" t="e">
        <f t="shared" si="249"/>
        <v>#REF!</v>
      </c>
      <c r="L244" s="82" t="e">
        <f t="shared" si="249"/>
        <v>#REF!</v>
      </c>
      <c r="M244" s="82" t="e">
        <f t="shared" si="249"/>
        <v>#REF!</v>
      </c>
      <c r="N244" s="82" t="e">
        <f t="shared" si="249"/>
        <v>#REF!</v>
      </c>
      <c r="O244" s="82" t="e">
        <f t="shared" si="249"/>
        <v>#REF!</v>
      </c>
      <c r="P244" s="82" t="e">
        <f t="shared" si="249"/>
        <v>#REF!</v>
      </c>
      <c r="Q244" s="82" t="e">
        <f t="shared" si="249"/>
        <v>#REF!</v>
      </c>
      <c r="R244" s="69" t="e">
        <f>RATE(12,,-E244,Q244)</f>
        <v>#REF!</v>
      </c>
      <c r="S244" s="57"/>
      <c r="T244" s="12">
        <v>0.47099999999999992</v>
      </c>
      <c r="U244" s="12">
        <v>0.47038461538461535</v>
      </c>
      <c r="V244" s="12">
        <v>0.46976923076923072</v>
      </c>
      <c r="W244" s="12">
        <v>0.46915384615384609</v>
      </c>
      <c r="X244" s="12">
        <v>0.46853846153846151</v>
      </c>
      <c r="Y244" s="12">
        <v>0.46792307692307689</v>
      </c>
      <c r="Z244" s="12">
        <v>0.46730769230769226</v>
      </c>
      <c r="AA244" s="12">
        <v>0.46669230769230763</v>
      </c>
      <c r="AB244" s="12">
        <v>0.46607692307692306</v>
      </c>
      <c r="AC244" s="12">
        <v>0.46546153846153843</v>
      </c>
      <c r="AD244" s="12">
        <v>0.4648461538461538</v>
      </c>
      <c r="AE244" s="12">
        <v>0.46423076923076922</v>
      </c>
      <c r="AF244" s="12">
        <v>0.4636153846153846</v>
      </c>
      <c r="AG244" s="12">
        <v>0.46299999999999997</v>
      </c>
    </row>
    <row r="245" spans="1:33" ht="15" hidden="1" thickBot="1" x14ac:dyDescent="0.4">
      <c r="A245" s="151"/>
      <c r="B245" s="58" t="s">
        <v>17</v>
      </c>
      <c r="C245" s="48"/>
      <c r="D245" s="83" t="e">
        <f t="shared" ref="D245:Q245" si="250">D240*T245</f>
        <v>#REF!</v>
      </c>
      <c r="E245" s="83" t="e">
        <f t="shared" si="250"/>
        <v>#REF!</v>
      </c>
      <c r="F245" s="83" t="e">
        <f t="shared" si="250"/>
        <v>#REF!</v>
      </c>
      <c r="G245" s="83" t="e">
        <f t="shared" si="250"/>
        <v>#REF!</v>
      </c>
      <c r="H245" s="83" t="e">
        <f t="shared" si="250"/>
        <v>#REF!</v>
      </c>
      <c r="I245" s="83" t="e">
        <f t="shared" si="250"/>
        <v>#REF!</v>
      </c>
      <c r="J245" s="83" t="e">
        <f t="shared" si="250"/>
        <v>#REF!</v>
      </c>
      <c r="K245" s="83" t="e">
        <f t="shared" si="250"/>
        <v>#REF!</v>
      </c>
      <c r="L245" s="83" t="e">
        <f t="shared" si="250"/>
        <v>#REF!</v>
      </c>
      <c r="M245" s="83" t="e">
        <f t="shared" si="250"/>
        <v>#REF!</v>
      </c>
      <c r="N245" s="83" t="e">
        <f t="shared" si="250"/>
        <v>#REF!</v>
      </c>
      <c r="O245" s="83" t="e">
        <f t="shared" si="250"/>
        <v>#REF!</v>
      </c>
      <c r="P245" s="83" t="e">
        <f t="shared" si="250"/>
        <v>#REF!</v>
      </c>
      <c r="Q245" s="83" t="e">
        <f t="shared" si="250"/>
        <v>#REF!</v>
      </c>
      <c r="R245" s="70" t="e">
        <f>RATE(12,,-E245,Q245)</f>
        <v>#REF!</v>
      </c>
      <c r="S245" s="58"/>
      <c r="T245" s="12">
        <f>1-T244</f>
        <v>0.52900000000000014</v>
      </c>
      <c r="U245" s="12">
        <f t="shared" ref="U245:AG245" si="251">1-U244</f>
        <v>0.5296153846153846</v>
      </c>
      <c r="V245" s="12">
        <f t="shared" si="251"/>
        <v>0.53023076923076928</v>
      </c>
      <c r="W245" s="12">
        <f t="shared" si="251"/>
        <v>0.53084615384615397</v>
      </c>
      <c r="X245" s="12">
        <f t="shared" si="251"/>
        <v>0.53146153846153843</v>
      </c>
      <c r="Y245" s="12">
        <f t="shared" si="251"/>
        <v>0.53207692307692311</v>
      </c>
      <c r="Z245" s="12">
        <f t="shared" si="251"/>
        <v>0.5326923076923078</v>
      </c>
      <c r="AA245" s="12">
        <f t="shared" si="251"/>
        <v>0.53330769230769237</v>
      </c>
      <c r="AB245" s="12">
        <f t="shared" si="251"/>
        <v>0.53392307692307694</v>
      </c>
      <c r="AC245" s="12">
        <f t="shared" si="251"/>
        <v>0.53453846153846163</v>
      </c>
      <c r="AD245" s="12">
        <f t="shared" si="251"/>
        <v>0.5351538461538462</v>
      </c>
      <c r="AE245" s="12">
        <f t="shared" si="251"/>
        <v>0.53576923076923078</v>
      </c>
      <c r="AF245" s="12">
        <f t="shared" si="251"/>
        <v>0.53638461538461546</v>
      </c>
      <c r="AG245" s="12">
        <f t="shared" si="251"/>
        <v>0.53700000000000003</v>
      </c>
    </row>
    <row r="246" spans="1:33" ht="15" hidden="1" thickBot="1" x14ac:dyDescent="0.4">
      <c r="A246" s="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21"/>
    </row>
    <row r="247" spans="1:33" ht="15" hidden="1" thickBot="1" x14ac:dyDescent="0.4">
      <c r="A247" s="150" t="s">
        <v>18</v>
      </c>
      <c r="B247" s="54" t="s">
        <v>19</v>
      </c>
      <c r="C247" s="49"/>
      <c r="D247" s="84" t="e">
        <f t="shared" ref="D247:Q247" si="252">D240*T247</f>
        <v>#REF!</v>
      </c>
      <c r="E247" s="84" t="e">
        <f t="shared" si="252"/>
        <v>#REF!</v>
      </c>
      <c r="F247" s="84" t="e">
        <f t="shared" si="252"/>
        <v>#REF!</v>
      </c>
      <c r="G247" s="84" t="e">
        <f t="shared" si="252"/>
        <v>#REF!</v>
      </c>
      <c r="H247" s="84" t="e">
        <f t="shared" si="252"/>
        <v>#REF!</v>
      </c>
      <c r="I247" s="84" t="e">
        <f t="shared" si="252"/>
        <v>#REF!</v>
      </c>
      <c r="J247" s="84" t="e">
        <f t="shared" si="252"/>
        <v>#REF!</v>
      </c>
      <c r="K247" s="84" t="e">
        <f t="shared" si="252"/>
        <v>#REF!</v>
      </c>
      <c r="L247" s="84" t="e">
        <f t="shared" si="252"/>
        <v>#REF!</v>
      </c>
      <c r="M247" s="84" t="e">
        <f t="shared" si="252"/>
        <v>#REF!</v>
      </c>
      <c r="N247" s="84" t="e">
        <f t="shared" si="252"/>
        <v>#REF!</v>
      </c>
      <c r="O247" s="84" t="e">
        <f t="shared" si="252"/>
        <v>#REF!</v>
      </c>
      <c r="P247" s="84" t="e">
        <f t="shared" si="252"/>
        <v>#REF!</v>
      </c>
      <c r="Q247" s="84" t="e">
        <f t="shared" si="252"/>
        <v>#REF!</v>
      </c>
      <c r="R247" s="71" t="e">
        <f>RATE(12,,-E247,Q247)</f>
        <v>#REF!</v>
      </c>
      <c r="S247" s="54"/>
      <c r="T247" s="12">
        <v>0.40099999999999997</v>
      </c>
      <c r="U247" s="12">
        <v>0.40265090533119946</v>
      </c>
      <c r="V247" s="12">
        <v>0.40430860739160734</v>
      </c>
      <c r="W247" s="12">
        <v>0.40597313416316017</v>
      </c>
      <c r="X247" s="12">
        <v>0.40764451374299493</v>
      </c>
      <c r="Y247" s="12">
        <v>0.40932277434392395</v>
      </c>
      <c r="Z247" s="12">
        <v>0.41100794429491083</v>
      </c>
      <c r="AA247" s="12">
        <v>0.4127000520415488</v>
      </c>
      <c r="AB247" s="12">
        <v>0.41439912614654062</v>
      </c>
      <c r="AC247" s="12">
        <v>0.41610519529018092</v>
      </c>
      <c r="AD247" s="12">
        <v>0.41781828827084017</v>
      </c>
      <c r="AE247" s="12">
        <v>0.4195384340054511</v>
      </c>
      <c r="AF247" s="12">
        <v>0.4212656615299965</v>
      </c>
      <c r="AG247" s="12">
        <v>0.42299999999999938</v>
      </c>
    </row>
    <row r="248" spans="1:33" ht="15" hidden="1" thickBot="1" x14ac:dyDescent="0.4">
      <c r="A248" s="151"/>
      <c r="B248" s="56" t="s">
        <v>20</v>
      </c>
      <c r="C248" s="44"/>
      <c r="D248" s="85" t="e">
        <f t="shared" ref="D248:Q248" si="253">D240*T248</f>
        <v>#REF!</v>
      </c>
      <c r="E248" s="85" t="e">
        <f t="shared" si="253"/>
        <v>#REF!</v>
      </c>
      <c r="F248" s="85" t="e">
        <f t="shared" si="253"/>
        <v>#REF!</v>
      </c>
      <c r="G248" s="85" t="e">
        <f t="shared" si="253"/>
        <v>#REF!</v>
      </c>
      <c r="H248" s="85" t="e">
        <f t="shared" si="253"/>
        <v>#REF!</v>
      </c>
      <c r="I248" s="85" t="e">
        <f t="shared" si="253"/>
        <v>#REF!</v>
      </c>
      <c r="J248" s="85" t="e">
        <f t="shared" si="253"/>
        <v>#REF!</v>
      </c>
      <c r="K248" s="85" t="e">
        <f t="shared" si="253"/>
        <v>#REF!</v>
      </c>
      <c r="L248" s="85" t="e">
        <f t="shared" si="253"/>
        <v>#REF!</v>
      </c>
      <c r="M248" s="85" t="e">
        <f t="shared" si="253"/>
        <v>#REF!</v>
      </c>
      <c r="N248" s="85" t="e">
        <f t="shared" si="253"/>
        <v>#REF!</v>
      </c>
      <c r="O248" s="85" t="e">
        <f t="shared" si="253"/>
        <v>#REF!</v>
      </c>
      <c r="P248" s="85" t="e">
        <f t="shared" si="253"/>
        <v>#REF!</v>
      </c>
      <c r="Q248" s="85" t="e">
        <f t="shared" si="253"/>
        <v>#REF!</v>
      </c>
      <c r="R248" s="72" t="e">
        <f>RATE(12,,-E248,Q248)</f>
        <v>#REF!</v>
      </c>
      <c r="S248" s="56"/>
      <c r="T248" s="12">
        <f>1-T247</f>
        <v>0.59899999999999998</v>
      </c>
      <c r="U248" s="12">
        <f t="shared" ref="U248:AG248" si="254">1-U247</f>
        <v>0.59734909466880048</v>
      </c>
      <c r="V248" s="12">
        <f t="shared" si="254"/>
        <v>0.59569139260839266</v>
      </c>
      <c r="W248" s="12">
        <f t="shared" si="254"/>
        <v>0.59402686583683983</v>
      </c>
      <c r="X248" s="12">
        <f t="shared" si="254"/>
        <v>0.59235548625700507</v>
      </c>
      <c r="Y248" s="12">
        <f t="shared" si="254"/>
        <v>0.59067722565607605</v>
      </c>
      <c r="Z248" s="12">
        <f t="shared" si="254"/>
        <v>0.58899205570508917</v>
      </c>
      <c r="AA248" s="12">
        <f t="shared" si="254"/>
        <v>0.5872999479584512</v>
      </c>
      <c r="AB248" s="12">
        <f t="shared" si="254"/>
        <v>0.58560087385345938</v>
      </c>
      <c r="AC248" s="12">
        <f t="shared" si="254"/>
        <v>0.58389480470981914</v>
      </c>
      <c r="AD248" s="12">
        <f t="shared" si="254"/>
        <v>0.58218171172915989</v>
      </c>
      <c r="AE248" s="12">
        <f t="shared" si="254"/>
        <v>0.5804615659945489</v>
      </c>
      <c r="AF248" s="12">
        <f t="shared" si="254"/>
        <v>0.57873433847000344</v>
      </c>
      <c r="AG248" s="12">
        <f t="shared" si="254"/>
        <v>0.57700000000000062</v>
      </c>
    </row>
    <row r="249" spans="1:33" ht="15" hidden="1" thickBot="1" x14ac:dyDescent="0.4">
      <c r="A249" s="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21"/>
    </row>
    <row r="250" spans="1:33" ht="15" hidden="1" thickBot="1" x14ac:dyDescent="0.4">
      <c r="A250" s="150" t="s">
        <v>14</v>
      </c>
      <c r="B250" s="59" t="s">
        <v>21</v>
      </c>
      <c r="C250" s="50"/>
      <c r="D250" s="86" t="e">
        <f t="shared" ref="D250:Q250" si="255">D240*T250</f>
        <v>#REF!</v>
      </c>
      <c r="E250" s="86" t="e">
        <f t="shared" si="255"/>
        <v>#REF!</v>
      </c>
      <c r="F250" s="86" t="e">
        <f t="shared" si="255"/>
        <v>#REF!</v>
      </c>
      <c r="G250" s="86" t="e">
        <f t="shared" si="255"/>
        <v>#REF!</v>
      </c>
      <c r="H250" s="86" t="e">
        <f t="shared" si="255"/>
        <v>#REF!</v>
      </c>
      <c r="I250" s="86" t="e">
        <f t="shared" si="255"/>
        <v>#REF!</v>
      </c>
      <c r="J250" s="86" t="e">
        <f t="shared" si="255"/>
        <v>#REF!</v>
      </c>
      <c r="K250" s="86" t="e">
        <f t="shared" si="255"/>
        <v>#REF!</v>
      </c>
      <c r="L250" s="86" t="e">
        <f t="shared" si="255"/>
        <v>#REF!</v>
      </c>
      <c r="M250" s="86" t="e">
        <f t="shared" si="255"/>
        <v>#REF!</v>
      </c>
      <c r="N250" s="86" t="e">
        <f t="shared" si="255"/>
        <v>#REF!</v>
      </c>
      <c r="O250" s="86" t="e">
        <f t="shared" si="255"/>
        <v>#REF!</v>
      </c>
      <c r="P250" s="86" t="e">
        <f t="shared" si="255"/>
        <v>#REF!</v>
      </c>
      <c r="Q250" s="86" t="e">
        <f t="shared" si="255"/>
        <v>#REF!</v>
      </c>
      <c r="R250" s="73" t="e">
        <f t="shared" ref="R250:R255" si="256">RATE(12,,-E250,Q250)</f>
        <v>#REF!</v>
      </c>
      <c r="S250" s="59"/>
      <c r="T250" s="12">
        <v>0.25</v>
      </c>
      <c r="U250" s="12">
        <v>0.25155593539307364</v>
      </c>
      <c r="V250" s="12">
        <v>0.25312155452593693</v>
      </c>
      <c r="W250" s="12">
        <v>0.25469691766768382</v>
      </c>
      <c r="X250" s="12">
        <v>0.25628208546250747</v>
      </c>
      <c r="Y250" s="12">
        <v>0.2578771189320348</v>
      </c>
      <c r="Z250" s="12">
        <v>0.25948207947767565</v>
      </c>
      <c r="AA250" s="12">
        <v>0.2610970288829863</v>
      </c>
      <c r="AB250" s="12">
        <v>0.26272202931604799</v>
      </c>
      <c r="AC250" s="12">
        <v>0.26435714333185978</v>
      </c>
      <c r="AD250" s="12">
        <v>0.26600243387474731</v>
      </c>
      <c r="AE250" s="12">
        <v>0.26765796428078514</v>
      </c>
      <c r="AF250" s="12">
        <v>0.26932379828023517</v>
      </c>
      <c r="AG250" s="12">
        <v>0.27100000000000013</v>
      </c>
    </row>
    <row r="251" spans="1:33" ht="15" hidden="1" thickBot="1" x14ac:dyDescent="0.4">
      <c r="A251" s="155"/>
      <c r="B251" s="60" t="s">
        <v>22</v>
      </c>
      <c r="C251" s="41"/>
      <c r="D251" s="87" t="e">
        <f t="shared" ref="D251:Q251" si="257">D240*T251</f>
        <v>#REF!</v>
      </c>
      <c r="E251" s="87" t="e">
        <f t="shared" si="257"/>
        <v>#REF!</v>
      </c>
      <c r="F251" s="87" t="e">
        <f t="shared" si="257"/>
        <v>#REF!</v>
      </c>
      <c r="G251" s="87" t="e">
        <f t="shared" si="257"/>
        <v>#REF!</v>
      </c>
      <c r="H251" s="87" t="e">
        <f t="shared" si="257"/>
        <v>#REF!</v>
      </c>
      <c r="I251" s="87" t="e">
        <f t="shared" si="257"/>
        <v>#REF!</v>
      </c>
      <c r="J251" s="87" t="e">
        <f t="shared" si="257"/>
        <v>#REF!</v>
      </c>
      <c r="K251" s="87" t="e">
        <f t="shared" si="257"/>
        <v>#REF!</v>
      </c>
      <c r="L251" s="87" t="e">
        <f t="shared" si="257"/>
        <v>#REF!</v>
      </c>
      <c r="M251" s="87" t="e">
        <f t="shared" si="257"/>
        <v>#REF!</v>
      </c>
      <c r="N251" s="87" t="e">
        <f t="shared" si="257"/>
        <v>#REF!</v>
      </c>
      <c r="O251" s="87" t="e">
        <f t="shared" si="257"/>
        <v>#REF!</v>
      </c>
      <c r="P251" s="87" t="e">
        <f t="shared" si="257"/>
        <v>#REF!</v>
      </c>
      <c r="Q251" s="87" t="e">
        <f t="shared" si="257"/>
        <v>#REF!</v>
      </c>
      <c r="R251" s="74" t="e">
        <f t="shared" si="256"/>
        <v>#REF!</v>
      </c>
      <c r="S251" s="60"/>
      <c r="T251" s="12">
        <v>0.38</v>
      </c>
      <c r="U251" s="12">
        <v>0.38090988938047371</v>
      </c>
      <c r="V251" s="12">
        <v>0.38182195744169661</v>
      </c>
      <c r="W251" s="12">
        <v>0.38273620940040159</v>
      </c>
      <c r="X251" s="12">
        <v>0.38365265048581265</v>
      </c>
      <c r="Y251" s="12">
        <v>0.38457128593967477</v>
      </c>
      <c r="Z251" s="12">
        <v>0.38549212101628438</v>
      </c>
      <c r="AA251" s="12">
        <v>0.38641516098251855</v>
      </c>
      <c r="AB251" s="12">
        <v>0.38734041111786593</v>
      </c>
      <c r="AC251" s="12">
        <v>0.38826787671445667</v>
      </c>
      <c r="AD251" s="12">
        <v>0.38919756307709236</v>
      </c>
      <c r="AE251" s="12">
        <v>0.39012947552327681</v>
      </c>
      <c r="AF251" s="12">
        <v>0.3910636193832463</v>
      </c>
      <c r="AG251" s="12">
        <v>0.39200000000000002</v>
      </c>
    </row>
    <row r="252" spans="1:33" ht="15" hidden="1" thickBot="1" x14ac:dyDescent="0.4">
      <c r="A252" s="155"/>
      <c r="B252" s="61" t="s">
        <v>23</v>
      </c>
      <c r="C252" s="41"/>
      <c r="D252" s="88" t="e">
        <f t="shared" ref="D252:Q252" si="258">D251*T252</f>
        <v>#REF!</v>
      </c>
      <c r="E252" s="88" t="e">
        <f t="shared" si="258"/>
        <v>#REF!</v>
      </c>
      <c r="F252" s="88" t="e">
        <f t="shared" si="258"/>
        <v>#REF!</v>
      </c>
      <c r="G252" s="88" t="e">
        <f t="shared" si="258"/>
        <v>#REF!</v>
      </c>
      <c r="H252" s="88" t="e">
        <f t="shared" si="258"/>
        <v>#REF!</v>
      </c>
      <c r="I252" s="88" t="e">
        <f t="shared" si="258"/>
        <v>#REF!</v>
      </c>
      <c r="J252" s="88" t="e">
        <f t="shared" si="258"/>
        <v>#REF!</v>
      </c>
      <c r="K252" s="88" t="e">
        <f t="shared" si="258"/>
        <v>#REF!</v>
      </c>
      <c r="L252" s="88" t="e">
        <f t="shared" si="258"/>
        <v>#REF!</v>
      </c>
      <c r="M252" s="88" t="e">
        <f t="shared" si="258"/>
        <v>#REF!</v>
      </c>
      <c r="N252" s="88" t="e">
        <f t="shared" si="258"/>
        <v>#REF!</v>
      </c>
      <c r="O252" s="88" t="e">
        <f t="shared" si="258"/>
        <v>#REF!</v>
      </c>
      <c r="P252" s="88" t="e">
        <f t="shared" si="258"/>
        <v>#REF!</v>
      </c>
      <c r="Q252" s="88" t="e">
        <f t="shared" si="258"/>
        <v>#REF!</v>
      </c>
      <c r="R252" s="74" t="e">
        <f t="shared" si="256"/>
        <v>#REF!</v>
      </c>
      <c r="S252" s="61"/>
      <c r="T252" s="67">
        <v>0.34999999999999987</v>
      </c>
      <c r="U252" s="67">
        <v>0.34938588387166564</v>
      </c>
      <c r="V252" s="67">
        <v>0.34877284528224306</v>
      </c>
      <c r="W252" s="67">
        <v>0.34816088234106346</v>
      </c>
      <c r="X252" s="67">
        <v>0.34754999316077562</v>
      </c>
      <c r="Y252" s="67">
        <v>0.34694017585733994</v>
      </c>
      <c r="Z252" s="67">
        <v>0.34633142855002247</v>
      </c>
      <c r="AA252" s="67">
        <v>0.34572374936138933</v>
      </c>
      <c r="AB252" s="67">
        <v>0.34511713641730069</v>
      </c>
      <c r="AC252" s="67">
        <v>0.34451158784690528</v>
      </c>
      <c r="AD252" s="67">
        <v>0.34390710178263434</v>
      </c>
      <c r="AE252" s="67">
        <v>0.34330367636019604</v>
      </c>
      <c r="AF252" s="67">
        <v>0.34270130971856966</v>
      </c>
      <c r="AG252" s="67">
        <v>0.34209999999999979</v>
      </c>
    </row>
    <row r="253" spans="1:33" ht="15" hidden="1" thickBot="1" x14ac:dyDescent="0.4">
      <c r="A253" s="155"/>
      <c r="B253" s="61" t="s">
        <v>24</v>
      </c>
      <c r="C253" s="41"/>
      <c r="D253" s="88" t="e">
        <f t="shared" ref="D253:Q253" si="259">D251*T253</f>
        <v>#REF!</v>
      </c>
      <c r="E253" s="88" t="e">
        <f t="shared" si="259"/>
        <v>#REF!</v>
      </c>
      <c r="F253" s="88" t="e">
        <f t="shared" si="259"/>
        <v>#REF!</v>
      </c>
      <c r="G253" s="88" t="e">
        <f t="shared" si="259"/>
        <v>#REF!</v>
      </c>
      <c r="H253" s="88" t="e">
        <f t="shared" si="259"/>
        <v>#REF!</v>
      </c>
      <c r="I253" s="88" t="e">
        <f t="shared" si="259"/>
        <v>#REF!</v>
      </c>
      <c r="J253" s="88" t="e">
        <f t="shared" si="259"/>
        <v>#REF!</v>
      </c>
      <c r="K253" s="88" t="e">
        <f t="shared" si="259"/>
        <v>#REF!</v>
      </c>
      <c r="L253" s="88" t="e">
        <f t="shared" si="259"/>
        <v>#REF!</v>
      </c>
      <c r="M253" s="88" t="e">
        <f t="shared" si="259"/>
        <v>#REF!</v>
      </c>
      <c r="N253" s="88" t="e">
        <f t="shared" si="259"/>
        <v>#REF!</v>
      </c>
      <c r="O253" s="88" t="e">
        <f t="shared" si="259"/>
        <v>#REF!</v>
      </c>
      <c r="P253" s="88" t="e">
        <f t="shared" si="259"/>
        <v>#REF!</v>
      </c>
      <c r="Q253" s="88" t="e">
        <f t="shared" si="259"/>
        <v>#REF!</v>
      </c>
      <c r="R253" s="74" t="e">
        <f t="shared" si="256"/>
        <v>#REF!</v>
      </c>
      <c r="S253" s="61"/>
      <c r="T253" s="67">
        <v>0.28000000000000003</v>
      </c>
      <c r="U253" s="67">
        <v>0.28097918830490543</v>
      </c>
      <c r="V253" s="67">
        <v>0.28196180093029821</v>
      </c>
      <c r="W253" s="67">
        <v>0.28294784985137333</v>
      </c>
      <c r="X253" s="67">
        <v>0.28393734708520407</v>
      </c>
      <c r="Y253" s="67">
        <v>0.28493030469088876</v>
      </c>
      <c r="Z253" s="67">
        <v>0.28592673476969749</v>
      </c>
      <c r="AA253" s="67">
        <v>0.28692664946521995</v>
      </c>
      <c r="AB253" s="67">
        <v>0.28793006096351298</v>
      </c>
      <c r="AC253" s="67">
        <v>0.28893698149324931</v>
      </c>
      <c r="AD253" s="67">
        <v>0.28994742332586665</v>
      </c>
      <c r="AE253" s="67">
        <v>0.29096139877571725</v>
      </c>
      <c r="AF253" s="67">
        <v>0.29197892020021765</v>
      </c>
      <c r="AG253" s="67">
        <v>0.29299999999999965</v>
      </c>
    </row>
    <row r="254" spans="1:33" ht="15" hidden="1" thickBot="1" x14ac:dyDescent="0.4">
      <c r="A254" s="155"/>
      <c r="B254" s="61" t="s">
        <v>25</v>
      </c>
      <c r="C254" s="41"/>
      <c r="D254" s="88" t="e">
        <f t="shared" ref="D254:Q254" si="260">D251*T254</f>
        <v>#REF!</v>
      </c>
      <c r="E254" s="88" t="e">
        <f t="shared" si="260"/>
        <v>#REF!</v>
      </c>
      <c r="F254" s="88" t="e">
        <f t="shared" si="260"/>
        <v>#REF!</v>
      </c>
      <c r="G254" s="88" t="e">
        <f t="shared" si="260"/>
        <v>#REF!</v>
      </c>
      <c r="H254" s="88" t="e">
        <f t="shared" si="260"/>
        <v>#REF!</v>
      </c>
      <c r="I254" s="88" t="e">
        <f t="shared" si="260"/>
        <v>#REF!</v>
      </c>
      <c r="J254" s="88" t="e">
        <f t="shared" si="260"/>
        <v>#REF!</v>
      </c>
      <c r="K254" s="88" t="e">
        <f t="shared" si="260"/>
        <v>#REF!</v>
      </c>
      <c r="L254" s="88" t="e">
        <f t="shared" si="260"/>
        <v>#REF!</v>
      </c>
      <c r="M254" s="88" t="e">
        <f t="shared" si="260"/>
        <v>#REF!</v>
      </c>
      <c r="N254" s="88" t="e">
        <f t="shared" si="260"/>
        <v>#REF!</v>
      </c>
      <c r="O254" s="88" t="e">
        <f t="shared" si="260"/>
        <v>#REF!</v>
      </c>
      <c r="P254" s="88" t="e">
        <f t="shared" si="260"/>
        <v>#REF!</v>
      </c>
      <c r="Q254" s="88" t="e">
        <f t="shared" si="260"/>
        <v>#REF!</v>
      </c>
      <c r="R254" s="74" t="e">
        <f t="shared" si="256"/>
        <v>#REF!</v>
      </c>
      <c r="S254" s="61"/>
      <c r="T254" s="67">
        <f>1-SUM(T252:T253)</f>
        <v>0.37000000000000011</v>
      </c>
      <c r="U254" s="67">
        <f t="shared" ref="U254:AG254" si="261">1-SUM(U252:U253)</f>
        <v>0.36963492782342899</v>
      </c>
      <c r="V254" s="67">
        <f t="shared" si="261"/>
        <v>0.36926535378745873</v>
      </c>
      <c r="W254" s="67">
        <f t="shared" si="261"/>
        <v>0.36889126780756321</v>
      </c>
      <c r="X254" s="67">
        <f t="shared" si="261"/>
        <v>0.36851265975402026</v>
      </c>
      <c r="Y254" s="67">
        <f t="shared" si="261"/>
        <v>0.3681295194517713</v>
      </c>
      <c r="Z254" s="67">
        <f t="shared" si="261"/>
        <v>0.36774183668028004</v>
      </c>
      <c r="AA254" s="67">
        <f t="shared" si="261"/>
        <v>0.36734960117339077</v>
      </c>
      <c r="AB254" s="67">
        <f t="shared" si="261"/>
        <v>0.36695280261918639</v>
      </c>
      <c r="AC254" s="67">
        <f t="shared" si="261"/>
        <v>0.36655143065984541</v>
      </c>
      <c r="AD254" s="67">
        <f t="shared" si="261"/>
        <v>0.36614547489149896</v>
      </c>
      <c r="AE254" s="67">
        <f t="shared" si="261"/>
        <v>0.36573492486408665</v>
      </c>
      <c r="AF254" s="67">
        <f t="shared" si="261"/>
        <v>0.36531977008121275</v>
      </c>
      <c r="AG254" s="67">
        <f t="shared" si="261"/>
        <v>0.36490000000000056</v>
      </c>
    </row>
    <row r="255" spans="1:33" ht="15" hidden="1" thickBot="1" x14ac:dyDescent="0.4">
      <c r="A255" s="151"/>
      <c r="B255" s="62" t="s">
        <v>26</v>
      </c>
      <c r="C255" s="51"/>
      <c r="D255" s="89" t="e">
        <f t="shared" ref="D255:Q255" si="262">D240*T255</f>
        <v>#REF!</v>
      </c>
      <c r="E255" s="89" t="e">
        <f t="shared" si="262"/>
        <v>#REF!</v>
      </c>
      <c r="F255" s="89" t="e">
        <f t="shared" si="262"/>
        <v>#REF!</v>
      </c>
      <c r="G255" s="89" t="e">
        <f t="shared" si="262"/>
        <v>#REF!</v>
      </c>
      <c r="H255" s="89" t="e">
        <f t="shared" si="262"/>
        <v>#REF!</v>
      </c>
      <c r="I255" s="89" t="e">
        <f t="shared" si="262"/>
        <v>#REF!</v>
      </c>
      <c r="J255" s="89" t="e">
        <f t="shared" si="262"/>
        <v>#REF!</v>
      </c>
      <c r="K255" s="89" t="e">
        <f t="shared" si="262"/>
        <v>#REF!</v>
      </c>
      <c r="L255" s="89" t="e">
        <f t="shared" si="262"/>
        <v>#REF!</v>
      </c>
      <c r="M255" s="89" t="e">
        <f t="shared" si="262"/>
        <v>#REF!</v>
      </c>
      <c r="N255" s="89" t="e">
        <f t="shared" si="262"/>
        <v>#REF!</v>
      </c>
      <c r="O255" s="89" t="e">
        <f t="shared" si="262"/>
        <v>#REF!</v>
      </c>
      <c r="P255" s="89" t="e">
        <f t="shared" si="262"/>
        <v>#REF!</v>
      </c>
      <c r="Q255" s="89" t="e">
        <f t="shared" si="262"/>
        <v>#REF!</v>
      </c>
      <c r="R255" s="75" t="e">
        <f t="shared" si="256"/>
        <v>#REF!</v>
      </c>
      <c r="S255" s="62"/>
      <c r="T255" s="12">
        <f>1-SUM(T250+T251)</f>
        <v>0.37</v>
      </c>
      <c r="U255" s="12">
        <f t="shared" ref="U255:AG255" si="263">1-SUM(U250+U251)</f>
        <v>0.36753417522645271</v>
      </c>
      <c r="V255" s="12">
        <f t="shared" si="263"/>
        <v>0.36505648803236646</v>
      </c>
      <c r="W255" s="12">
        <f t="shared" si="263"/>
        <v>0.36256687293191459</v>
      </c>
      <c r="X255" s="12">
        <f t="shared" si="263"/>
        <v>0.36006526405167993</v>
      </c>
      <c r="Y255" s="12">
        <f t="shared" si="263"/>
        <v>0.35755159512829038</v>
      </c>
      <c r="Z255" s="12">
        <f t="shared" si="263"/>
        <v>0.35502579950603996</v>
      </c>
      <c r="AA255" s="12">
        <f t="shared" si="263"/>
        <v>0.35248781013449515</v>
      </c>
      <c r="AB255" s="12">
        <f t="shared" si="263"/>
        <v>0.34993755956608608</v>
      </c>
      <c r="AC255" s="12">
        <f t="shared" si="263"/>
        <v>0.3473749799536836</v>
      </c>
      <c r="AD255" s="12">
        <f t="shared" si="263"/>
        <v>0.34480000304816039</v>
      </c>
      <c r="AE255" s="12">
        <f t="shared" si="263"/>
        <v>0.34221256019593804</v>
      </c>
      <c r="AF255" s="12">
        <f t="shared" si="263"/>
        <v>0.33961258233651859</v>
      </c>
      <c r="AG255" s="12">
        <f t="shared" si="263"/>
        <v>0.33699999999999986</v>
      </c>
    </row>
    <row r="256" spans="1:33" ht="15" hidden="1" thickBot="1" x14ac:dyDescent="0.4">
      <c r="A256" s="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21"/>
    </row>
    <row r="257" spans="1:33" ht="15" hidden="1" thickBot="1" x14ac:dyDescent="0.4">
      <c r="A257" s="152" t="s">
        <v>27</v>
      </c>
      <c r="B257" s="54" t="s">
        <v>28</v>
      </c>
      <c r="C257" s="49"/>
      <c r="D257" s="84" t="e">
        <f t="shared" ref="D257:Q257" si="264">D240*T257</f>
        <v>#REF!</v>
      </c>
      <c r="E257" s="84" t="e">
        <f t="shared" si="264"/>
        <v>#REF!</v>
      </c>
      <c r="F257" s="84" t="e">
        <f t="shared" si="264"/>
        <v>#REF!</v>
      </c>
      <c r="G257" s="84" t="e">
        <f t="shared" si="264"/>
        <v>#REF!</v>
      </c>
      <c r="H257" s="84" t="e">
        <f t="shared" si="264"/>
        <v>#REF!</v>
      </c>
      <c r="I257" s="84" t="e">
        <f t="shared" si="264"/>
        <v>#REF!</v>
      </c>
      <c r="J257" s="84" t="e">
        <f t="shared" si="264"/>
        <v>#REF!</v>
      </c>
      <c r="K257" s="84" t="e">
        <f t="shared" si="264"/>
        <v>#REF!</v>
      </c>
      <c r="L257" s="84" t="e">
        <f t="shared" si="264"/>
        <v>#REF!</v>
      </c>
      <c r="M257" s="84" t="e">
        <f t="shared" si="264"/>
        <v>#REF!</v>
      </c>
      <c r="N257" s="84" t="e">
        <f t="shared" si="264"/>
        <v>#REF!</v>
      </c>
      <c r="O257" s="84" t="e">
        <f t="shared" si="264"/>
        <v>#REF!</v>
      </c>
      <c r="P257" s="84" t="e">
        <f t="shared" si="264"/>
        <v>#REF!</v>
      </c>
      <c r="Q257" s="84" t="e">
        <f t="shared" si="264"/>
        <v>#REF!</v>
      </c>
      <c r="R257" s="71" t="e">
        <f>RATE(12,,-E257,Q257)</f>
        <v>#REF!</v>
      </c>
      <c r="S257" s="54"/>
      <c r="T257" s="12">
        <v>0.40099999999999997</v>
      </c>
      <c r="U257" s="12">
        <v>0.40265090533119946</v>
      </c>
      <c r="V257" s="12">
        <v>0.40430860739160734</v>
      </c>
      <c r="W257" s="12">
        <v>0.40597313416316017</v>
      </c>
      <c r="X257" s="12">
        <v>0.40764451374299493</v>
      </c>
      <c r="Y257" s="12">
        <v>0.40932277434392395</v>
      </c>
      <c r="Z257" s="12">
        <v>0.41100794429491083</v>
      </c>
      <c r="AA257" s="12">
        <v>0.4127000520415488</v>
      </c>
      <c r="AB257" s="12">
        <v>0.41439912614654062</v>
      </c>
      <c r="AC257" s="12">
        <v>0.41610519529018092</v>
      </c>
      <c r="AD257" s="12">
        <v>0.41781828827084017</v>
      </c>
      <c r="AE257" s="12">
        <v>0.4195384340054511</v>
      </c>
      <c r="AF257" s="12">
        <v>0.4212656615299965</v>
      </c>
      <c r="AG257" s="12">
        <v>0.42299999999999938</v>
      </c>
    </row>
    <row r="258" spans="1:33" ht="15" hidden="1" thickBot="1" x14ac:dyDescent="0.4">
      <c r="A258" s="154"/>
      <c r="B258" s="55" t="s">
        <v>29</v>
      </c>
      <c r="C258" s="40"/>
      <c r="D258" s="90" t="e">
        <f t="shared" ref="D258:Q258" si="265">D240*T258</f>
        <v>#REF!</v>
      </c>
      <c r="E258" s="90" t="e">
        <f t="shared" si="265"/>
        <v>#REF!</v>
      </c>
      <c r="F258" s="90" t="e">
        <f t="shared" si="265"/>
        <v>#REF!</v>
      </c>
      <c r="G258" s="90" t="e">
        <f t="shared" si="265"/>
        <v>#REF!</v>
      </c>
      <c r="H258" s="90" t="e">
        <f t="shared" si="265"/>
        <v>#REF!</v>
      </c>
      <c r="I258" s="90" t="e">
        <f t="shared" si="265"/>
        <v>#REF!</v>
      </c>
      <c r="J258" s="90" t="e">
        <f t="shared" si="265"/>
        <v>#REF!</v>
      </c>
      <c r="K258" s="90" t="e">
        <f t="shared" si="265"/>
        <v>#REF!</v>
      </c>
      <c r="L258" s="90" t="e">
        <f t="shared" si="265"/>
        <v>#REF!</v>
      </c>
      <c r="M258" s="90" t="e">
        <f t="shared" si="265"/>
        <v>#REF!</v>
      </c>
      <c r="N258" s="90" t="e">
        <f t="shared" si="265"/>
        <v>#REF!</v>
      </c>
      <c r="O258" s="90" t="e">
        <f t="shared" si="265"/>
        <v>#REF!</v>
      </c>
      <c r="P258" s="90" t="e">
        <f t="shared" si="265"/>
        <v>#REF!</v>
      </c>
      <c r="Q258" s="90" t="e">
        <f t="shared" si="265"/>
        <v>#REF!</v>
      </c>
      <c r="R258" s="76" t="e">
        <f>RATE(12,,-E258,Q258)</f>
        <v>#REF!</v>
      </c>
      <c r="S258" s="55"/>
      <c r="T258" s="12">
        <v>0.43099999999999999</v>
      </c>
      <c r="U258" s="12">
        <v>0.43183634674261745</v>
      </c>
      <c r="V258" s="12">
        <v>0.43267431639909548</v>
      </c>
      <c r="W258" s="12">
        <v>0.43351391211866536</v>
      </c>
      <c r="X258" s="12">
        <v>0.43435513705666956</v>
      </c>
      <c r="Y258" s="12">
        <v>0.43519799437457324</v>
      </c>
      <c r="Z258" s="12">
        <v>0.43604248723997657</v>
      </c>
      <c r="AA258" s="12">
        <v>0.43688861882662616</v>
      </c>
      <c r="AB258" s="12">
        <v>0.43773639231442729</v>
      </c>
      <c r="AC258" s="12">
        <v>0.43858581088945586</v>
      </c>
      <c r="AD258" s="12">
        <v>0.43943687774397006</v>
      </c>
      <c r="AE258" s="12">
        <v>0.44028959607642287</v>
      </c>
      <c r="AF258" s="12">
        <v>0.44114396909147369</v>
      </c>
      <c r="AG258" s="12">
        <v>0.44200000000000028</v>
      </c>
    </row>
    <row r="259" spans="1:33" ht="15" hidden="1" thickBot="1" x14ac:dyDescent="0.4">
      <c r="A259" s="153"/>
      <c r="B259" s="56" t="s">
        <v>30</v>
      </c>
      <c r="C259" s="44"/>
      <c r="D259" s="85" t="e">
        <f t="shared" ref="D259:Q259" si="266">D240*T259</f>
        <v>#REF!</v>
      </c>
      <c r="E259" s="85" t="e">
        <f t="shared" si="266"/>
        <v>#REF!</v>
      </c>
      <c r="F259" s="85" t="e">
        <f t="shared" si="266"/>
        <v>#REF!</v>
      </c>
      <c r="G259" s="85" t="e">
        <f t="shared" si="266"/>
        <v>#REF!</v>
      </c>
      <c r="H259" s="85" t="e">
        <f t="shared" si="266"/>
        <v>#REF!</v>
      </c>
      <c r="I259" s="85" t="e">
        <f t="shared" si="266"/>
        <v>#REF!</v>
      </c>
      <c r="J259" s="85" t="e">
        <f t="shared" si="266"/>
        <v>#REF!</v>
      </c>
      <c r="K259" s="85" t="e">
        <f t="shared" si="266"/>
        <v>#REF!</v>
      </c>
      <c r="L259" s="85" t="e">
        <f t="shared" si="266"/>
        <v>#REF!</v>
      </c>
      <c r="M259" s="85" t="e">
        <f t="shared" si="266"/>
        <v>#REF!</v>
      </c>
      <c r="N259" s="85" t="e">
        <f t="shared" si="266"/>
        <v>#REF!</v>
      </c>
      <c r="O259" s="85" t="e">
        <f t="shared" si="266"/>
        <v>#REF!</v>
      </c>
      <c r="P259" s="85" t="e">
        <f t="shared" si="266"/>
        <v>#REF!</v>
      </c>
      <c r="Q259" s="85" t="e">
        <f t="shared" si="266"/>
        <v>#REF!</v>
      </c>
      <c r="R259" s="72" t="e">
        <f>RATE(12,,-E259,Q259)</f>
        <v>#REF!</v>
      </c>
      <c r="S259" s="56"/>
      <c r="T259" s="12">
        <f>1-SUM(T257:T258)</f>
        <v>0.16800000000000004</v>
      </c>
      <c r="U259" s="12">
        <f t="shared" ref="U259:AG259" si="267">1-SUM(U257:U258)</f>
        <v>0.16551274792618309</v>
      </c>
      <c r="V259" s="12">
        <f t="shared" si="267"/>
        <v>0.16301707620929717</v>
      </c>
      <c r="W259" s="12">
        <f t="shared" si="267"/>
        <v>0.16051295371817442</v>
      </c>
      <c r="X259" s="12">
        <f t="shared" si="267"/>
        <v>0.15800034920033545</v>
      </c>
      <c r="Y259" s="12">
        <f t="shared" si="267"/>
        <v>0.15547923128150276</v>
      </c>
      <c r="Z259" s="12">
        <f t="shared" si="267"/>
        <v>0.15294956846511254</v>
      </c>
      <c r="AA259" s="12">
        <f t="shared" si="267"/>
        <v>0.15041132913182498</v>
      </c>
      <c r="AB259" s="12">
        <f t="shared" si="267"/>
        <v>0.14786448153903209</v>
      </c>
      <c r="AC259" s="12">
        <f t="shared" si="267"/>
        <v>0.14530899382036322</v>
      </c>
      <c r="AD259" s="12">
        <f t="shared" si="267"/>
        <v>0.14274483398518978</v>
      </c>
      <c r="AE259" s="12">
        <f t="shared" si="267"/>
        <v>0.14017196991812608</v>
      </c>
      <c r="AF259" s="12">
        <f t="shared" si="267"/>
        <v>0.13759036937852986</v>
      </c>
      <c r="AG259" s="12">
        <f t="shared" si="267"/>
        <v>0.13500000000000034</v>
      </c>
    </row>
    <row r="260" spans="1:33" ht="15.5" hidden="1" x14ac:dyDescent="0.35">
      <c r="A260" s="42"/>
      <c r="B260" s="43"/>
      <c r="C260" s="93"/>
      <c r="D260" s="91">
        <v>2023</v>
      </c>
      <c r="E260" s="65">
        <v>2024</v>
      </c>
      <c r="F260" s="65">
        <v>2025</v>
      </c>
      <c r="G260" s="65">
        <v>2026</v>
      </c>
      <c r="H260" s="65">
        <v>2027</v>
      </c>
      <c r="I260" s="65">
        <v>2028</v>
      </c>
      <c r="J260" s="65">
        <v>2029</v>
      </c>
      <c r="K260" s="65">
        <v>2030</v>
      </c>
      <c r="L260" s="65">
        <v>2031</v>
      </c>
      <c r="M260" s="65">
        <v>2032</v>
      </c>
      <c r="N260" s="65">
        <v>2033</v>
      </c>
      <c r="O260" s="65">
        <v>2034</v>
      </c>
      <c r="P260" s="65">
        <v>2035</v>
      </c>
      <c r="Q260" s="65">
        <v>2036</v>
      </c>
      <c r="R260" s="66" t="s">
        <v>84</v>
      </c>
    </row>
    <row r="261" spans="1:33" ht="16" hidden="1" thickBot="1" x14ac:dyDescent="0.4">
      <c r="A261" s="1"/>
      <c r="C261" s="21"/>
      <c r="D261" s="92">
        <f>'Market Analysis '!C55</f>
        <v>289.10699999999991</v>
      </c>
      <c r="E261" s="92">
        <f>'Market Analysis '!D55</f>
        <v>319.75234199999994</v>
      </c>
      <c r="F261" s="92">
        <f>'Market Analysis '!E55</f>
        <v>353.8019627601592</v>
      </c>
      <c r="G261" s="92">
        <f>'Market Analysis '!F55</f>
        <v>391.65070593929204</v>
      </c>
      <c r="H261" s="92">
        <f>'Market Analysis '!G55</f>
        <v>433.74108319069478</v>
      </c>
      <c r="I261" s="92">
        <f>'Market Analysis '!H55</f>
        <v>480.56924864076598</v>
      </c>
      <c r="J261" s="92">
        <f>'Market Analysis '!I55</f>
        <v>532.69174903289843</v>
      </c>
      <c r="K261" s="92">
        <f>'Market Analysis '!J55</f>
        <v>590.73315364993289</v>
      </c>
      <c r="L261" s="92">
        <f>'Market Analysis '!K55</f>
        <v>655.39468255140514</v>
      </c>
      <c r="M261" s="92">
        <f>'Market Analysis '!L55</f>
        <v>727.46396814377056</v>
      </c>
      <c r="N261" s="92">
        <f>'Market Analysis '!M55</f>
        <v>807.82610394526262</v>
      </c>
      <c r="O261" s="92">
        <f>'Market Analysis '!N55</f>
        <v>897.47615596022433</v>
      </c>
      <c r="P261" s="92">
        <f>'Market Analysis '!O55</f>
        <v>997.5333367415933</v>
      </c>
      <c r="Q261" s="92">
        <f>'Market Analysis '!P55</f>
        <v>1109.2570704566517</v>
      </c>
      <c r="R261" s="68">
        <f>RATE(12,,-E261,Q261)</f>
        <v>0.10922131370362276</v>
      </c>
      <c r="T261" s="65">
        <v>2023</v>
      </c>
      <c r="U261" s="65">
        <v>2024</v>
      </c>
      <c r="V261" s="65">
        <v>2025</v>
      </c>
      <c r="W261" s="65">
        <v>2026</v>
      </c>
      <c r="X261" s="65">
        <v>2027</v>
      </c>
      <c r="Y261" s="65">
        <v>2028</v>
      </c>
      <c r="Z261" s="65">
        <v>2029</v>
      </c>
      <c r="AA261" s="65">
        <v>2030</v>
      </c>
      <c r="AB261" s="65">
        <v>2031</v>
      </c>
      <c r="AC261" s="65">
        <v>2032</v>
      </c>
      <c r="AD261" s="65">
        <v>2033</v>
      </c>
      <c r="AE261" s="65">
        <v>2034</v>
      </c>
      <c r="AF261" s="65">
        <v>2035</v>
      </c>
      <c r="AG261" s="65">
        <v>2036</v>
      </c>
    </row>
    <row r="262" spans="1:33" s="121" customFormat="1" hidden="1" x14ac:dyDescent="0.35">
      <c r="A262" s="147" t="s">
        <v>59</v>
      </c>
      <c r="B262" s="118" t="s">
        <v>60</v>
      </c>
      <c r="C262" s="119"/>
      <c r="D262" s="120">
        <f>D261*T262</f>
        <v>101.18744999999994</v>
      </c>
      <c r="E262" s="120">
        <f t="shared" ref="E262" si="268">E261*U262</f>
        <v>113.06877772499931</v>
      </c>
      <c r="F262" s="120">
        <f>F261*V262</f>
        <v>126.40088661396103</v>
      </c>
      <c r="G262" s="120">
        <f t="shared" ref="G262:Q262" si="269">G261*W262</f>
        <v>141.36754466028475</v>
      </c>
      <c r="H262" s="120">
        <f t="shared" si="269"/>
        <v>158.17661598395753</v>
      </c>
      <c r="I262" s="120">
        <f t="shared" si="269"/>
        <v>177.06332542272602</v>
      </c>
      <c r="J262" s="120">
        <f t="shared" si="269"/>
        <v>198.29397937444455</v>
      </c>
      <c r="K262" s="120">
        <f t="shared" si="269"/>
        <v>222.17020857168819</v>
      </c>
      <c r="L262" s="120">
        <f t="shared" si="269"/>
        <v>249.03380819653324</v>
      </c>
      <c r="M262" s="120">
        <f t="shared" si="269"/>
        <v>279.2722619502963</v>
      </c>
      <c r="N262" s="120">
        <f t="shared" si="269"/>
        <v>313.32504961114165</v>
      </c>
      <c r="O262" s="120">
        <f t="shared" si="269"/>
        <v>351.69085251000018</v>
      </c>
      <c r="P262" s="120">
        <f t="shared" si="269"/>
        <v>394.9357885434606</v>
      </c>
      <c r="Q262" s="120">
        <f t="shared" si="269"/>
        <v>443.70282818266082</v>
      </c>
      <c r="R262" s="68">
        <f>RATE(9,,-H262,Q262)</f>
        <v>0.12143011107497727</v>
      </c>
      <c r="S262" s="118" t="s">
        <v>60</v>
      </c>
      <c r="T262" s="116">
        <v>0.34999999999999992</v>
      </c>
      <c r="U262" s="116">
        <v>0.35361360300841621</v>
      </c>
      <c r="V262" s="116">
        <v>0.35726451495026795</v>
      </c>
      <c r="W262" s="116">
        <v>0.36095312102462412</v>
      </c>
      <c r="X262" s="116">
        <v>0.36467981040757214</v>
      </c>
      <c r="Y262" s="116">
        <v>0.36844497629327921</v>
      </c>
      <c r="Z262" s="116">
        <v>0.37224901593547705</v>
      </c>
      <c r="AA262" s="116">
        <v>0.37609233068937542</v>
      </c>
      <c r="AB262" s="116">
        <v>0.37997532605400802</v>
      </c>
      <c r="AC262" s="116">
        <v>0.38389841171501571</v>
      </c>
      <c r="AD262" s="116">
        <v>0.38786200158787171</v>
      </c>
      <c r="AE262" s="116">
        <v>0.39186651386155258</v>
      </c>
      <c r="AF262" s="116">
        <v>0.39591237104266019</v>
      </c>
      <c r="AG262" s="116">
        <v>0.40000000000000013</v>
      </c>
    </row>
    <row r="263" spans="1:33" s="117" customFormat="1" hidden="1" x14ac:dyDescent="0.35">
      <c r="A263" s="148"/>
      <c r="B263" s="113" t="s">
        <v>61</v>
      </c>
      <c r="C263" s="114"/>
      <c r="D263" s="115">
        <f>D261*T263</f>
        <v>86.732099999999988</v>
      </c>
      <c r="E263" s="115">
        <f t="shared" ref="E263:Q263" si="270">E261*U263</f>
        <v>95.974744549656108</v>
      </c>
      <c r="F263" s="115">
        <f t="shared" si="270"/>
        <v>106.2491451771026</v>
      </c>
      <c r="G263" s="115">
        <f t="shared" si="270"/>
        <v>117.67551196801526</v>
      </c>
      <c r="H263" s="115">
        <f t="shared" si="270"/>
        <v>130.38862888929702</v>
      </c>
      <c r="I263" s="115">
        <f t="shared" si="270"/>
        <v>144.53968766063289</v>
      </c>
      <c r="J263" s="115">
        <f t="shared" si="270"/>
        <v>160.2983606089187</v>
      </c>
      <c r="K263" s="115">
        <f t="shared" si="270"/>
        <v>177.85514469676204</v>
      </c>
      <c r="L263" s="115">
        <f t="shared" si="270"/>
        <v>197.42401339079112</v>
      </c>
      <c r="M263" s="115">
        <f t="shared" si="270"/>
        <v>219.24541815088253</v>
      </c>
      <c r="N263" s="115">
        <f t="shared" si="270"/>
        <v>243.58968717208131</v>
      </c>
      <c r="O263" s="115">
        <f t="shared" si="270"/>
        <v>270.76087570566693</v>
      </c>
      <c r="P263" s="115">
        <f t="shared" si="270"/>
        <v>301.1011299498083</v>
      </c>
      <c r="Q263" s="115">
        <f t="shared" si="270"/>
        <v>334.99563527790917</v>
      </c>
      <c r="R263" s="68">
        <f>RATE(9,,-H263,Q263)</f>
        <v>0.11053760705842891</v>
      </c>
      <c r="S263" s="113" t="s">
        <v>61</v>
      </c>
      <c r="T263" s="116">
        <v>0.30000000000000004</v>
      </c>
      <c r="U263" s="116">
        <v>0.30015337479422161</v>
      </c>
      <c r="V263" s="116">
        <v>0.30030682800120145</v>
      </c>
      <c r="W263" s="116">
        <v>0.30046035966102813</v>
      </c>
      <c r="X263" s="116">
        <v>0.30061396981381056</v>
      </c>
      <c r="Y263" s="116">
        <v>0.30076765849967829</v>
      </c>
      <c r="Z263" s="116">
        <v>0.30092142575878128</v>
      </c>
      <c r="AA263" s="116">
        <v>0.30107527163128989</v>
      </c>
      <c r="AB263" s="116">
        <v>0.30122919615739541</v>
      </c>
      <c r="AC263" s="116">
        <v>0.30138319937730923</v>
      </c>
      <c r="AD263" s="116">
        <v>0.30153728133126367</v>
      </c>
      <c r="AE263" s="116">
        <v>0.30169144205951126</v>
      </c>
      <c r="AF263" s="116">
        <v>0.3018456816023255</v>
      </c>
      <c r="AG263" s="116">
        <v>0.30200000000000032</v>
      </c>
    </row>
    <row r="264" spans="1:33" s="117" customFormat="1" hidden="1" x14ac:dyDescent="0.35">
      <c r="A264" s="148"/>
      <c r="B264" s="113" t="s">
        <v>62</v>
      </c>
      <c r="C264" s="114"/>
      <c r="D264" s="115">
        <f>D261*T264</f>
        <v>43.366049999999987</v>
      </c>
      <c r="E264" s="115">
        <f t="shared" ref="E264:Q264" si="271">E261*U264</f>
        <v>48.035967779519709</v>
      </c>
      <c r="F264" s="115">
        <f t="shared" si="271"/>
        <v>53.232222683142048</v>
      </c>
      <c r="G264" s="115">
        <f t="shared" si="271"/>
        <v>59.016687238651578</v>
      </c>
      <c r="H264" s="115">
        <f t="shared" si="271"/>
        <v>65.458797883734022</v>
      </c>
      <c r="I264" s="115">
        <f t="shared" si="271"/>
        <v>72.63651422370819</v>
      </c>
      <c r="J264" s="115">
        <f t="shared" si="271"/>
        <v>80.637404221979509</v>
      </c>
      <c r="K264" s="115">
        <f t="shared" si="271"/>
        <v>89.559872405572705</v>
      </c>
      <c r="L264" s="115">
        <f t="shared" si="271"/>
        <v>99.514550558390127</v>
      </c>
      <c r="M264" s="115">
        <f t="shared" si="271"/>
        <v>110.62587310964699</v>
      </c>
      <c r="N264" s="115">
        <f t="shared" si="271"/>
        <v>123.03386255533958</v>
      </c>
      <c r="O264" s="115">
        <f t="shared" si="271"/>
        <v>136.89615383547064</v>
      </c>
      <c r="P264" s="115">
        <f t="shared" si="271"/>
        <v>152.39029069694843</v>
      </c>
      <c r="Q264" s="115">
        <f t="shared" si="271"/>
        <v>169.71633177986746</v>
      </c>
      <c r="R264" s="68">
        <f>RATE(9,,-H264,Q264)</f>
        <v>0.11166221824375684</v>
      </c>
      <c r="S264" s="113" t="s">
        <v>62</v>
      </c>
      <c r="T264" s="116">
        <v>0.15</v>
      </c>
      <c r="U264" s="116">
        <v>0.15022866597023929</v>
      </c>
      <c r="V264" s="116">
        <v>0.15045768052798492</v>
      </c>
      <c r="W264" s="116">
        <v>0.15068704420463749</v>
      </c>
      <c r="X264" s="116">
        <v>0.15091675753240782</v>
      </c>
      <c r="Y264" s="116">
        <v>0.15114682104431795</v>
      </c>
      <c r="Z264" s="116">
        <v>0.15137723527420252</v>
      </c>
      <c r="AA264" s="116">
        <v>0.15160800075670999</v>
      </c>
      <c r="AB264" s="116">
        <v>0.15183911802730382</v>
      </c>
      <c r="AC264" s="116">
        <v>0.1520705876222638</v>
      </c>
      <c r="AD264" s="116">
        <v>0.15230241007868719</v>
      </c>
      <c r="AE264" s="116">
        <v>0.15253458593449007</v>
      </c>
      <c r="AF264" s="116">
        <v>0.15276711572840845</v>
      </c>
      <c r="AG264" s="116">
        <v>0.15299999999999978</v>
      </c>
    </row>
    <row r="265" spans="1:33" s="117" customFormat="1" hidden="1" x14ac:dyDescent="0.35">
      <c r="A265" s="148"/>
      <c r="B265" s="113" t="s">
        <v>63</v>
      </c>
      <c r="C265" s="114"/>
      <c r="D265" s="115">
        <f>D261*T265</f>
        <v>34.692839999999997</v>
      </c>
      <c r="E265" s="115">
        <f t="shared" ref="E265:Q265" si="272">E261*U265</f>
        <v>38.41909929704758</v>
      </c>
      <c r="F265" s="115">
        <f t="shared" si="272"/>
        <v>42.564337836753289</v>
      </c>
      <c r="G265" s="115">
        <f t="shared" si="272"/>
        <v>47.177699106536366</v>
      </c>
      <c r="H265" s="115">
        <f t="shared" si="272"/>
        <v>52.314321980708826</v>
      </c>
      <c r="I265" s="115">
        <f t="shared" si="272"/>
        <v>58.036099582840656</v>
      </c>
      <c r="J265" s="115">
        <f t="shared" si="272"/>
        <v>64.412537590178445</v>
      </c>
      <c r="K265" s="115">
        <f t="shared" si="272"/>
        <v>71.521725445674235</v>
      </c>
      <c r="L265" s="115">
        <f t="shared" si="272"/>
        <v>79.451435824265559</v>
      </c>
      <c r="M265" s="115">
        <f t="shared" si="272"/>
        <v>88.300369851828677</v>
      </c>
      <c r="N265" s="115">
        <f t="shared" si="272"/>
        <v>98.179568037781252</v>
      </c>
      <c r="O265" s="115">
        <f t="shared" si="272"/>
        <v>109.21400970180889</v>
      </c>
      <c r="P265" s="115">
        <f t="shared" si="272"/>
        <v>121.54442690485456</v>
      </c>
      <c r="Q265" s="115">
        <f t="shared" si="272"/>
        <v>135.32936259571133</v>
      </c>
      <c r="R265" s="68">
        <f>RATE(9,,-H265,Q265)</f>
        <v>0.11138234331727673</v>
      </c>
      <c r="S265" s="113" t="s">
        <v>63</v>
      </c>
      <c r="T265" s="116">
        <v>0.12000000000000002</v>
      </c>
      <c r="U265" s="116">
        <v>0.12015267521339246</v>
      </c>
      <c r="V265" s="116">
        <v>0.12030554467445809</v>
      </c>
      <c r="W265" s="116">
        <v>0.12045860863033696</v>
      </c>
      <c r="X265" s="116">
        <v>0.12061186732848356</v>
      </c>
      <c r="Y265" s="116">
        <v>0.12076532101666719</v>
      </c>
      <c r="Z265" s="116">
        <v>0.1209189699429724</v>
      </c>
      <c r="AA265" s="116">
        <v>0.12107281435579939</v>
      </c>
      <c r="AB265" s="116">
        <v>0.12122685450386435</v>
      </c>
      <c r="AC265" s="116">
        <v>0.12138109063619994</v>
      </c>
      <c r="AD265" s="116">
        <v>0.12153552300215566</v>
      </c>
      <c r="AE265" s="116">
        <v>0.12169015185139827</v>
      </c>
      <c r="AF265" s="116">
        <v>0.12184497743391219</v>
      </c>
      <c r="AG265" s="116">
        <v>0.12199999999999984</v>
      </c>
    </row>
    <row r="266" spans="1:33" s="117" customFormat="1" hidden="1" x14ac:dyDescent="0.35">
      <c r="A266" s="148"/>
      <c r="B266" s="113" t="s">
        <v>64</v>
      </c>
      <c r="C266" s="114"/>
      <c r="D266" s="115">
        <f>D261*T266</f>
        <v>23.128560000000014</v>
      </c>
      <c r="E266" s="115">
        <f t="shared" ref="E266:G266" si="273">E261*U266</f>
        <v>24.25375264877723</v>
      </c>
      <c r="F266" s="115">
        <f t="shared" si="273"/>
        <v>25.35537044920023</v>
      </c>
      <c r="G266" s="115">
        <f t="shared" si="273"/>
        <v>26.413262965804094</v>
      </c>
      <c r="H266" s="115">
        <f>H261*X266</f>
        <v>27.402718452997316</v>
      </c>
      <c r="I266" s="115">
        <f t="shared" ref="I266:Q266" si="274">I261*Y266</f>
        <v>28.29362175085825</v>
      </c>
      <c r="J266" s="115">
        <f t="shared" si="274"/>
        <v>29.049467237377247</v>
      </c>
      <c r="K266" s="115">
        <f t="shared" si="274"/>
        <v>29.626202530235695</v>
      </c>
      <c r="L266" s="115">
        <f t="shared" si="274"/>
        <v>29.970874581425146</v>
      </c>
      <c r="M266" s="115">
        <f t="shared" si="274"/>
        <v>30.020045081116031</v>
      </c>
      <c r="N266" s="115">
        <f t="shared" si="274"/>
        <v>29.697936568918898</v>
      </c>
      <c r="O266" s="115">
        <f t="shared" si="274"/>
        <v>28.914264207277643</v>
      </c>
      <c r="P266" s="115">
        <f t="shared" si="274"/>
        <v>27.561700646521452</v>
      </c>
      <c r="Q266" s="115">
        <f t="shared" si="274"/>
        <v>25.512912620502888</v>
      </c>
      <c r="R266" s="68">
        <f>RATE(9,,-H266,Q266)</f>
        <v>-7.9082881755659744E-3</v>
      </c>
      <c r="S266" s="113" t="s">
        <v>64</v>
      </c>
      <c r="T266" s="116">
        <f>1-SUM(T262:T265)</f>
        <v>8.0000000000000071E-2</v>
      </c>
      <c r="U266" s="116">
        <f t="shared" ref="U266:AG266" si="275">1-SUM(U262:U265)</f>
        <v>7.585168101373041E-2</v>
      </c>
      <c r="V266" s="116">
        <f t="shared" si="275"/>
        <v>7.1665431846087646E-2</v>
      </c>
      <c r="W266" s="116">
        <f t="shared" si="275"/>
        <v>6.7440866479373307E-2</v>
      </c>
      <c r="X266" s="116">
        <f t="shared" si="275"/>
        <v>6.3177594917725788E-2</v>
      </c>
      <c r="Y266" s="116">
        <f t="shared" si="275"/>
        <v>5.887522314605742E-2</v>
      </c>
      <c r="Z266" s="116">
        <f t="shared" si="275"/>
        <v>5.4533353088566772E-2</v>
      </c>
      <c r="AA266" s="116">
        <f t="shared" si="275"/>
        <v>5.0151582566825281E-2</v>
      </c>
      <c r="AB266" s="116">
        <f t="shared" si="275"/>
        <v>4.5729505257428471E-2</v>
      </c>
      <c r="AC266" s="116">
        <f t="shared" si="275"/>
        <v>4.126671064921128E-2</v>
      </c>
      <c r="AD266" s="116">
        <f t="shared" si="275"/>
        <v>3.6762784000021864E-2</v>
      </c>
      <c r="AE266" s="116">
        <f t="shared" si="275"/>
        <v>3.2217306293047754E-2</v>
      </c>
      <c r="AF266" s="116">
        <f t="shared" si="275"/>
        <v>2.7629854192693704E-2</v>
      </c>
      <c r="AG266" s="116">
        <f t="shared" si="275"/>
        <v>2.2999999999999909E-2</v>
      </c>
    </row>
    <row r="267" spans="1:33" hidden="1" x14ac:dyDescent="0.35">
      <c r="A267" s="1"/>
      <c r="D267" s="81" t="b">
        <f>D261=SUM(D262:D266)</f>
        <v>1</v>
      </c>
      <c r="E267" s="81" t="b">
        <f t="shared" ref="E267:Q267" si="276">E261=SUM(E262:E266)</f>
        <v>1</v>
      </c>
      <c r="F267" s="81" t="b">
        <f t="shared" si="276"/>
        <v>1</v>
      </c>
      <c r="G267" s="81" t="b">
        <f t="shared" si="276"/>
        <v>1</v>
      </c>
      <c r="H267" s="81" t="b">
        <f t="shared" si="276"/>
        <v>1</v>
      </c>
      <c r="I267" s="81" t="b">
        <f t="shared" si="276"/>
        <v>1</v>
      </c>
      <c r="J267" s="81" t="b">
        <f t="shared" si="276"/>
        <v>1</v>
      </c>
      <c r="K267" s="81" t="b">
        <f t="shared" si="276"/>
        <v>1</v>
      </c>
      <c r="L267" s="81" t="b">
        <f t="shared" si="276"/>
        <v>1</v>
      </c>
      <c r="M267" s="81" t="b">
        <f t="shared" si="276"/>
        <v>0</v>
      </c>
      <c r="N267" s="81" t="b">
        <f t="shared" si="276"/>
        <v>1</v>
      </c>
      <c r="O267" s="81" t="b">
        <f t="shared" si="276"/>
        <v>1</v>
      </c>
      <c r="P267" s="81" t="b">
        <f t="shared" si="276"/>
        <v>1</v>
      </c>
      <c r="Q267" s="81" t="b">
        <f t="shared" si="276"/>
        <v>1</v>
      </c>
      <c r="R267" s="21"/>
    </row>
    <row r="268" spans="1:33" s="117" customFormat="1" hidden="1" x14ac:dyDescent="0.35">
      <c r="A268" s="149" t="s">
        <v>65</v>
      </c>
      <c r="B268" s="122" t="s">
        <v>66</v>
      </c>
      <c r="C268" s="123"/>
      <c r="D268" s="124">
        <f>D261*T268</f>
        <v>202.37489999999997</v>
      </c>
      <c r="E268" s="124">
        <f t="shared" ref="E268:Q268" si="277">E261*U268</f>
        <v>223.94921748267032</v>
      </c>
      <c r="F268" s="124">
        <f t="shared" si="277"/>
        <v>247.93271043745708</v>
      </c>
      <c r="G268" s="124">
        <f t="shared" si="277"/>
        <v>274.60616252590665</v>
      </c>
      <c r="H268" s="124">
        <f t="shared" si="277"/>
        <v>304.28440892110854</v>
      </c>
      <c r="I268" s="124">
        <f t="shared" si="277"/>
        <v>337.320622309898</v>
      </c>
      <c r="J268" s="124">
        <f t="shared" si="277"/>
        <v>374.11115757835199</v>
      </c>
      <c r="K268" s="124">
        <f t="shared" si="277"/>
        <v>415.1010304546607</v>
      </c>
      <c r="L268" s="124">
        <f t="shared" si="277"/>
        <v>460.79011584896142</v>
      </c>
      <c r="M268" s="124">
        <f t="shared" si="277"/>
        <v>511.74016359445005</v>
      </c>
      <c r="N268" s="124">
        <f t="shared" si="277"/>
        <v>568.58274297898879</v>
      </c>
      <c r="O268" s="124">
        <f t="shared" si="277"/>
        <v>632.02824311600727</v>
      </c>
      <c r="P268" s="124">
        <f t="shared" si="277"/>
        <v>702.87607413086937</v>
      </c>
      <c r="Q268" s="124">
        <f t="shared" si="277"/>
        <v>782.02623467194087</v>
      </c>
      <c r="R268" s="68">
        <f>RATE(9,,-H268,Q268)</f>
        <v>0.11057800787439903</v>
      </c>
      <c r="S268" s="122" t="s">
        <v>66</v>
      </c>
      <c r="T268" s="116">
        <v>0.70000000000000007</v>
      </c>
      <c r="U268" s="116">
        <v>0.70038335319736411</v>
      </c>
      <c r="V268" s="116">
        <v>0.70076691633711929</v>
      </c>
      <c r="W268" s="116">
        <v>0.70115068953424042</v>
      </c>
      <c r="X268" s="116">
        <v>0.70153467290376448</v>
      </c>
      <c r="Y268" s="116">
        <v>0.70191886656079228</v>
      </c>
      <c r="Z268" s="116">
        <v>0.70230327062048659</v>
      </c>
      <c r="AA268" s="116">
        <v>0.70268788519807479</v>
      </c>
      <c r="AB268" s="116">
        <v>0.70307271040884567</v>
      </c>
      <c r="AC268" s="116">
        <v>0.70345774636815217</v>
      </c>
      <c r="AD268" s="116">
        <v>0.70384299319141008</v>
      </c>
      <c r="AE268" s="116">
        <v>0.70422845099409903</v>
      </c>
      <c r="AF268" s="116">
        <v>0.70461411989176093</v>
      </c>
      <c r="AG268" s="116">
        <v>0.70500000000000129</v>
      </c>
    </row>
    <row r="269" spans="1:33" s="117" customFormat="1" hidden="1" x14ac:dyDescent="0.35">
      <c r="A269" s="149"/>
      <c r="B269" s="122" t="s">
        <v>67</v>
      </c>
      <c r="C269" s="123"/>
      <c r="D269" s="124">
        <f>D261*T269</f>
        <v>57.821399999999997</v>
      </c>
      <c r="E269" s="124">
        <f t="shared" ref="E269:Q269" si="278">E261*U269</f>
        <v>63.999435469768436</v>
      </c>
      <c r="F269" s="124">
        <f t="shared" si="278"/>
        <v>70.868796938084728</v>
      </c>
      <c r="G269" s="124">
        <f t="shared" si="278"/>
        <v>78.510211886146607</v>
      </c>
      <c r="H269" s="124">
        <f t="shared" si="278"/>
        <v>87.01421545946873</v>
      </c>
      <c r="I269" s="124">
        <f t="shared" si="278"/>
        <v>96.482387023874281</v>
      </c>
      <c r="J269" s="124">
        <f t="shared" si="278"/>
        <v>107.028748164098</v>
      </c>
      <c r="K269" s="124">
        <f t="shared" si="278"/>
        <v>118.78134390977037</v>
      </c>
      <c r="L269" s="124">
        <f t="shared" si="278"/>
        <v>131.88403200668557</v>
      </c>
      <c r="M269" s="124">
        <f t="shared" si="278"/>
        <v>146.49850851948383</v>
      </c>
      <c r="N269" s="124">
        <f t="shared" si="278"/>
        <v>162.80660201942453</v>
      </c>
      <c r="O269" s="124">
        <f t="shared" si="278"/>
        <v>181.01287315174773</v>
      </c>
      <c r="P269" s="124">
        <f t="shared" si="278"/>
        <v>201.34756157643793</v>
      </c>
      <c r="Q269" s="124">
        <f t="shared" si="278"/>
        <v>224.069928232244</v>
      </c>
      <c r="R269" s="68">
        <f>RATE(9,,-H269,Q269)</f>
        <v>0.11082004312517375</v>
      </c>
      <c r="S269" s="122" t="s">
        <v>67</v>
      </c>
      <c r="T269" s="116">
        <v>0.20000000000000004</v>
      </c>
      <c r="U269" s="116">
        <v>0.2001531406133327</v>
      </c>
      <c r="V269" s="116">
        <v>0.2003063984869026</v>
      </c>
      <c r="W269" s="116">
        <v>0.20045977371049628</v>
      </c>
      <c r="X269" s="116">
        <v>0.20061326637396906</v>
      </c>
      <c r="Y269" s="116">
        <v>0.2007668765672449</v>
      </c>
      <c r="Z269" s="116">
        <v>0.20092060438031684</v>
      </c>
      <c r="AA269" s="116">
        <v>0.20107444990324672</v>
      </c>
      <c r="AB269" s="116">
        <v>0.20122841322616528</v>
      </c>
      <c r="AC269" s="116">
        <v>0.20138249443927231</v>
      </c>
      <c r="AD269" s="116">
        <v>0.20153669363283677</v>
      </c>
      <c r="AE269" s="116">
        <v>0.2016910108971966</v>
      </c>
      <c r="AF269" s="116">
        <v>0.20184544632275897</v>
      </c>
      <c r="AG269" s="116">
        <v>0.20200000000000032</v>
      </c>
    </row>
    <row r="270" spans="1:33" s="117" customFormat="1" hidden="1" x14ac:dyDescent="0.35">
      <c r="A270" s="149"/>
      <c r="B270" s="122" t="s">
        <v>68</v>
      </c>
      <c r="C270" s="123"/>
      <c r="D270" s="124">
        <f>D261*T270</f>
        <v>28.910699999999952</v>
      </c>
      <c r="E270" s="124">
        <f t="shared" ref="E270:L270" si="279">E261*U270</f>
        <v>31.803689047561193</v>
      </c>
      <c r="F270" s="124">
        <f t="shared" si="279"/>
        <v>35.00045538461741</v>
      </c>
      <c r="G270" s="124">
        <f t="shared" si="279"/>
        <v>38.534331527238791</v>
      </c>
      <c r="H270" s="124">
        <f t="shared" si="279"/>
        <v>42.442458810117508</v>
      </c>
      <c r="I270" s="124">
        <f t="shared" si="279"/>
        <v>46.766239306993668</v>
      </c>
      <c r="J270" s="124">
        <f t="shared" si="279"/>
        <v>51.551843290448403</v>
      </c>
      <c r="K270" s="124">
        <f t="shared" si="279"/>
        <v>56.85077928550178</v>
      </c>
      <c r="L270" s="124">
        <f t="shared" si="279"/>
        <v>62.72053469575819</v>
      </c>
      <c r="M270" s="124">
        <f>M261*AC270</f>
        <v>69.225296029836599</v>
      </c>
      <c r="N270" s="124">
        <f t="shared" ref="N270:Q270" si="280">N261*AD270</f>
        <v>76.436758946849267</v>
      </c>
      <c r="O270" s="124">
        <f t="shared" si="280"/>
        <v>84.435039692469445</v>
      </c>
      <c r="P270" s="124">
        <f t="shared" si="280"/>
        <v>93.309701034286093</v>
      </c>
      <c r="Q270" s="124">
        <f t="shared" si="280"/>
        <v>103.16090755246685</v>
      </c>
      <c r="R270" s="68">
        <f>RATE(9,,-H270,Q270)</f>
        <v>0.10371559712176097</v>
      </c>
      <c r="S270" s="122" t="s">
        <v>68</v>
      </c>
      <c r="T270" s="116">
        <f>1-SUM(T268:T269)</f>
        <v>9.9999999999999867E-2</v>
      </c>
      <c r="U270" s="116">
        <f t="shared" ref="U270:AG270" si="281">1-SUM(U268:U269)</f>
        <v>9.9463506189303219E-2</v>
      </c>
      <c r="V270" s="116">
        <f t="shared" si="281"/>
        <v>9.8926685175978135E-2</v>
      </c>
      <c r="W270" s="116">
        <f t="shared" si="281"/>
        <v>9.8389536755263296E-2</v>
      </c>
      <c r="X270" s="116">
        <f t="shared" si="281"/>
        <v>9.7852060722266487E-2</v>
      </c>
      <c r="Y270" s="116">
        <f t="shared" si="281"/>
        <v>9.7314256871962823E-2</v>
      </c>
      <c r="Z270" s="116">
        <f t="shared" si="281"/>
        <v>9.6776124999196522E-2</v>
      </c>
      <c r="AA270" s="116">
        <f t="shared" si="281"/>
        <v>9.6237664898678466E-2</v>
      </c>
      <c r="AB270" s="116">
        <f t="shared" si="281"/>
        <v>9.5698876364989083E-2</v>
      </c>
      <c r="AC270" s="116">
        <f t="shared" si="281"/>
        <v>9.5159759192575466E-2</v>
      </c>
      <c r="AD270" s="116">
        <f t="shared" si="281"/>
        <v>9.4620313175753146E-2</v>
      </c>
      <c r="AE270" s="116">
        <f t="shared" si="281"/>
        <v>9.4080538108704426E-2</v>
      </c>
      <c r="AF270" s="116">
        <f t="shared" si="281"/>
        <v>9.3540433785480159E-2</v>
      </c>
      <c r="AG270" s="116">
        <f t="shared" si="281"/>
        <v>9.2999999999998417E-2</v>
      </c>
    </row>
    <row r="271" spans="1:33" hidden="1" x14ac:dyDescent="0.35">
      <c r="A271" s="1"/>
      <c r="D271" s="81" t="b">
        <f>D261=SUM(D268:D270)</f>
        <v>1</v>
      </c>
      <c r="E271" s="81" t="b">
        <f t="shared" ref="E271:Q271" si="282">E261=SUM(E268:E270)</f>
        <v>1</v>
      </c>
      <c r="F271" s="81" t="b">
        <f t="shared" si="282"/>
        <v>1</v>
      </c>
      <c r="G271" s="81" t="b">
        <f t="shared" si="282"/>
        <v>1</v>
      </c>
      <c r="H271" s="81" t="b">
        <f t="shared" si="282"/>
        <v>1</v>
      </c>
      <c r="I271" s="81" t="b">
        <f t="shared" si="282"/>
        <v>1</v>
      </c>
      <c r="J271" s="81" t="b">
        <f t="shared" si="282"/>
        <v>1</v>
      </c>
      <c r="K271" s="81" t="b">
        <f t="shared" si="282"/>
        <v>1</v>
      </c>
      <c r="L271" s="81" t="b">
        <f t="shared" si="282"/>
        <v>1</v>
      </c>
      <c r="M271" s="81" t="b">
        <f t="shared" si="282"/>
        <v>1</v>
      </c>
      <c r="N271" s="81" t="b">
        <f t="shared" si="282"/>
        <v>1</v>
      </c>
      <c r="O271" s="81" t="b">
        <f t="shared" si="282"/>
        <v>1</v>
      </c>
      <c r="P271" s="81" t="b">
        <f t="shared" si="282"/>
        <v>1</v>
      </c>
      <c r="Q271" s="81" t="b">
        <f t="shared" si="282"/>
        <v>1</v>
      </c>
      <c r="R271" s="21"/>
    </row>
    <row r="272" spans="1:33" s="117" customFormat="1" hidden="1" x14ac:dyDescent="0.35">
      <c r="A272" s="149" t="s">
        <v>69</v>
      </c>
      <c r="B272" s="125" t="s">
        <v>70</v>
      </c>
      <c r="C272" s="126"/>
      <c r="D272" s="127">
        <f>D261*T272</f>
        <v>121.42493999999996</v>
      </c>
      <c r="E272" s="127">
        <f t="shared" ref="E272:Q272" si="283">E261*U272</f>
        <v>134.32055298624283</v>
      </c>
      <c r="F272" s="127">
        <f t="shared" si="283"/>
        <v>148.65120068082803</v>
      </c>
      <c r="G272" s="127">
        <f t="shared" si="283"/>
        <v>164.58359477624649</v>
      </c>
      <c r="H272" s="127">
        <f t="shared" si="283"/>
        <v>182.30460388890356</v>
      </c>
      <c r="I272" s="127">
        <f t="shared" si="283"/>
        <v>202.02378351909152</v>
      </c>
      <c r="J272" s="127">
        <f t="shared" si="283"/>
        <v>223.97623491517191</v>
      </c>
      <c r="K272" s="127">
        <f t="shared" si="283"/>
        <v>248.42583704501573</v>
      </c>
      <c r="L272" s="127">
        <f t="shared" si="283"/>
        <v>275.66890200864367</v>
      </c>
      <c r="M272" s="127">
        <f t="shared" si="283"/>
        <v>306.03831123315484</v>
      </c>
      <c r="N272" s="127">
        <f t="shared" si="283"/>
        <v>339.90819780331117</v>
      </c>
      <c r="O272" s="127">
        <f t="shared" si="283"/>
        <v>377.69924944691473</v>
      </c>
      <c r="P272" s="127">
        <f t="shared" si="283"/>
        <v>419.88471718425194</v>
      </c>
      <c r="Q272" s="127">
        <f t="shared" si="283"/>
        <v>466.99722666225017</v>
      </c>
      <c r="R272" s="68">
        <f>RATE(9,,-H272,Q272)</f>
        <v>0.11017320376449692</v>
      </c>
      <c r="S272" s="125" t="s">
        <v>70</v>
      </c>
      <c r="T272" s="116">
        <v>0.42</v>
      </c>
      <c r="U272" s="116">
        <v>0.42007683867486062</v>
      </c>
      <c r="V272" s="116">
        <v>0.4201536914072973</v>
      </c>
      <c r="W272" s="116">
        <v>0.42023055819988187</v>
      </c>
      <c r="X272" s="116">
        <v>0.42030743905518658</v>
      </c>
      <c r="Y272" s="116">
        <v>0.42038433397578434</v>
      </c>
      <c r="Z272" s="116">
        <v>0.42046124296424836</v>
      </c>
      <c r="AA272" s="116">
        <v>0.42053816602315214</v>
      </c>
      <c r="AB272" s="116">
        <v>0.42061510315507006</v>
      </c>
      <c r="AC272" s="116">
        <v>0.42069205436257667</v>
      </c>
      <c r="AD272" s="116">
        <v>0.4207690196482472</v>
      </c>
      <c r="AE272" s="116">
        <v>0.42084599901465702</v>
      </c>
      <c r="AF272" s="116">
        <v>0.42092299246438242</v>
      </c>
      <c r="AG272" s="137">
        <v>0.42099999999999982</v>
      </c>
    </row>
    <row r="273" spans="1:33" s="117" customFormat="1" hidden="1" x14ac:dyDescent="0.35">
      <c r="A273" s="149"/>
      <c r="B273" s="125" t="s">
        <v>71</v>
      </c>
      <c r="C273" s="126"/>
      <c r="D273" s="127">
        <f>D261*T273</f>
        <v>66.494609999999994</v>
      </c>
      <c r="E273" s="127">
        <f t="shared" ref="E273:Q273" si="284">E261*U273</f>
        <v>73.592034992781194</v>
      </c>
      <c r="F273" s="127">
        <f t="shared" si="284"/>
        <v>81.482915210999678</v>
      </c>
      <c r="G273" s="127">
        <f t="shared" si="284"/>
        <v>90.259822757325125</v>
      </c>
      <c r="H273" s="127">
        <f t="shared" si="284"/>
        <v>100.02656721074572</v>
      </c>
      <c r="I273" s="127">
        <f t="shared" si="284"/>
        <v>110.89961136514671</v>
      </c>
      <c r="J273" s="127">
        <f t="shared" si="284"/>
        <v>123.00967167017539</v>
      </c>
      <c r="K273" s="127">
        <f t="shared" si="284"/>
        <v>136.50352828064206</v>
      </c>
      <c r="L273" s="127">
        <f t="shared" si="284"/>
        <v>151.54607308617787</v>
      </c>
      <c r="M273" s="127">
        <f t="shared" si="284"/>
        <v>168.3226280551481</v>
      </c>
      <c r="N273" s="127">
        <f t="shared" si="284"/>
        <v>187.04157075918425</v>
      </c>
      <c r="O273" s="127">
        <f t="shared" si="284"/>
        <v>207.93730913154778</v>
      </c>
      <c r="P273" s="127">
        <f t="shared" si="284"/>
        <v>231.27365345109322</v>
      </c>
      <c r="Q273" s="127">
        <f t="shared" si="284"/>
        <v>257.34764034594338</v>
      </c>
      <c r="R273" s="68">
        <f>RATE(9,,-H273,Q273)</f>
        <v>0.11070962728088975</v>
      </c>
      <c r="S273" s="125" t="s">
        <v>71</v>
      </c>
      <c r="T273" s="116">
        <v>0.23000000000000007</v>
      </c>
      <c r="U273" s="116">
        <v>0.230153232131076</v>
      </c>
      <c r="V273" s="116">
        <v>0.23030656634948232</v>
      </c>
      <c r="W273" s="116">
        <v>0.23046000272323239</v>
      </c>
      <c r="X273" s="116">
        <v>0.23061354132038475</v>
      </c>
      <c r="Y273" s="116">
        <v>0.23076718220904338</v>
      </c>
      <c r="Z273" s="116">
        <v>0.23092092545735762</v>
      </c>
      <c r="AA273" s="116">
        <v>0.23107477113352223</v>
      </c>
      <c r="AB273" s="116">
        <v>0.23122871930577729</v>
      </c>
      <c r="AC273" s="116">
        <v>0.23138277004240856</v>
      </c>
      <c r="AD273" s="116">
        <v>0.23153692341174703</v>
      </c>
      <c r="AE273" s="116">
        <v>0.23169117948216938</v>
      </c>
      <c r="AF273" s="116">
        <v>0.23184553832209787</v>
      </c>
      <c r="AG273" s="137">
        <v>0.23200000000000018</v>
      </c>
    </row>
    <row r="274" spans="1:33" s="117" customFormat="1" hidden="1" x14ac:dyDescent="0.35">
      <c r="A274" s="149"/>
      <c r="B274" s="125" t="s">
        <v>72</v>
      </c>
      <c r="C274" s="126"/>
      <c r="D274" s="127">
        <f>D261*T274</f>
        <v>57.821399999999976</v>
      </c>
      <c r="E274" s="127">
        <f t="shared" ref="E274:Q274" si="285">E261*U274</f>
        <v>63.97500815449262</v>
      </c>
      <c r="F274" s="127">
        <f t="shared" si="285"/>
        <v>70.81470883360457</v>
      </c>
      <c r="G274" s="127">
        <f t="shared" si="285"/>
        <v>78.420348821261058</v>
      </c>
      <c r="H274" s="127">
        <f t="shared" si="285"/>
        <v>86.881445095906727</v>
      </c>
      <c r="I274" s="127">
        <f t="shared" si="285"/>
        <v>96.298400457143387</v>
      </c>
      <c r="J274" s="127">
        <f t="shared" si="285"/>
        <v>106.78387742051133</v>
      </c>
      <c r="K274" s="127">
        <f t="shared" si="285"/>
        <v>118.46435168045446</v>
      </c>
      <c r="L274" s="127">
        <f t="shared" si="285"/>
        <v>131.48186939970526</v>
      </c>
      <c r="M274" s="127">
        <f t="shared" si="285"/>
        <v>145.99603596485034</v>
      </c>
      <c r="N274" s="127">
        <f t="shared" si="285"/>
        <v>162.18626771503222</v>
      </c>
      <c r="O274" s="127">
        <f t="shared" si="285"/>
        <v>180.25434257538393</v>
      </c>
      <c r="P274" s="127">
        <f t="shared" si="285"/>
        <v>200.42729059154865</v>
      </c>
      <c r="Q274" s="127">
        <f t="shared" si="285"/>
        <v>222.96067116178671</v>
      </c>
      <c r="R274" s="68">
        <f>RATE(9,,-H274,Q274)</f>
        <v>0.11039606514391388</v>
      </c>
      <c r="S274" s="125" t="s">
        <v>72</v>
      </c>
      <c r="T274" s="116">
        <v>0.19999999999999998</v>
      </c>
      <c r="U274" s="116">
        <v>0.20007674612901705</v>
      </c>
      <c r="V274" s="116">
        <v>0.20015352170787573</v>
      </c>
      <c r="W274" s="116">
        <v>0.2002303267478768</v>
      </c>
      <c r="X274" s="116">
        <v>0.20030716126032544</v>
      </c>
      <c r="Y274" s="116">
        <v>0.20038402525653101</v>
      </c>
      <c r="Z274" s="116">
        <v>0.20046091874780753</v>
      </c>
      <c r="AA274" s="116">
        <v>0.20053784174547304</v>
      </c>
      <c r="AB274" s="116">
        <v>0.20061479426085005</v>
      </c>
      <c r="AC274" s="116">
        <v>0.20069177630526541</v>
      </c>
      <c r="AD274" s="116">
        <v>0.20076878789005037</v>
      </c>
      <c r="AE274" s="116">
        <v>0.20084582902654041</v>
      </c>
      <c r="AF274" s="116">
        <v>0.20092289972607549</v>
      </c>
      <c r="AG274" s="137">
        <v>0.20099999999999973</v>
      </c>
    </row>
    <row r="275" spans="1:33" s="117" customFormat="1" hidden="1" x14ac:dyDescent="0.35">
      <c r="A275" s="149"/>
      <c r="B275" s="125" t="s">
        <v>73</v>
      </c>
      <c r="C275" s="126"/>
      <c r="D275" s="127">
        <f>D261*T275</f>
        <v>28.910699999999988</v>
      </c>
      <c r="E275" s="127">
        <f t="shared" ref="E275:Q275" si="286">E261*U275</f>
        <v>32.023978519679808</v>
      </c>
      <c r="F275" s="127">
        <f t="shared" si="286"/>
        <v>35.488148455428032</v>
      </c>
      <c r="G275" s="127">
        <f t="shared" si="286"/>
        <v>39.344458159101052</v>
      </c>
      <c r="H275" s="127">
        <f t="shared" si="286"/>
        <v>43.63919858915601</v>
      </c>
      <c r="I275" s="127">
        <f t="shared" si="286"/>
        <v>48.424342815805467</v>
      </c>
      <c r="J275" s="127">
        <f t="shared" si="286"/>
        <v>53.758269481319665</v>
      </c>
      <c r="K275" s="127">
        <f t="shared" si="286"/>
        <v>59.706581603715136</v>
      </c>
      <c r="L275" s="127">
        <f t="shared" si="286"/>
        <v>66.343033705593427</v>
      </c>
      <c r="M275" s="127">
        <f t="shared" si="286"/>
        <v>73.750582073097988</v>
      </c>
      <c r="N275" s="127">
        <f t="shared" si="286"/>
        <v>82.022575036893045</v>
      </c>
      <c r="O275" s="127">
        <f t="shared" si="286"/>
        <v>91.264102556980433</v>
      </c>
      <c r="P275" s="127">
        <f t="shared" si="286"/>
        <v>101.59352713129896</v>
      </c>
      <c r="Q275" s="127">
        <f t="shared" si="286"/>
        <v>113.14422118657832</v>
      </c>
      <c r="R275" s="68">
        <f>RATE(9,,-H275,Q275)</f>
        <v>0.1116622182437569</v>
      </c>
      <c r="S275" s="125" t="s">
        <v>73</v>
      </c>
      <c r="T275" s="116">
        <v>9.9999999999999992E-2</v>
      </c>
      <c r="U275" s="116">
        <v>0.10015244398015953</v>
      </c>
      <c r="V275" s="116">
        <v>0.10030512035198993</v>
      </c>
      <c r="W275" s="116">
        <v>0.10045802946975833</v>
      </c>
      <c r="X275" s="116">
        <v>0.10061117168827188</v>
      </c>
      <c r="Y275" s="116">
        <v>0.10076454736287864</v>
      </c>
      <c r="Z275" s="116">
        <v>0.10091815684946834</v>
      </c>
      <c r="AA275" s="116">
        <v>0.10107200050447333</v>
      </c>
      <c r="AB275" s="116">
        <v>0.10122607868486923</v>
      </c>
      <c r="AC275" s="116">
        <v>0.10138039174817587</v>
      </c>
      <c r="AD275" s="116">
        <v>0.10153494005245813</v>
      </c>
      <c r="AE275" s="116">
        <v>0.10168972395632671</v>
      </c>
      <c r="AF275" s="116">
        <v>0.10184474381893897</v>
      </c>
      <c r="AG275" s="137">
        <v>0.10199999999999985</v>
      </c>
    </row>
    <row r="276" spans="1:33" s="117" customFormat="1" hidden="1" x14ac:dyDescent="0.35">
      <c r="A276" s="149"/>
      <c r="B276" s="125" t="s">
        <v>74</v>
      </c>
      <c r="C276" s="126"/>
      <c r="D276" s="127">
        <f>D261*T276</f>
        <v>14.455350000000008</v>
      </c>
      <c r="E276" s="127">
        <f t="shared" ref="E276:Q276" si="287">E261*U276</f>
        <v>15.840767346803476</v>
      </c>
      <c r="F276" s="127">
        <f t="shared" si="287"/>
        <v>17.364989579298925</v>
      </c>
      <c r="G276" s="127">
        <f t="shared" si="287"/>
        <v>19.042481425358307</v>
      </c>
      <c r="H276" s="127">
        <f t="shared" si="287"/>
        <v>20.889268405982726</v>
      </c>
      <c r="I276" s="127">
        <f t="shared" si="287"/>
        <v>22.923110483578927</v>
      </c>
      <c r="J276" s="127">
        <f t="shared" si="287"/>
        <v>25.16369554572006</v>
      </c>
      <c r="K276" s="127">
        <f t="shared" si="287"/>
        <v>27.63285504010554</v>
      </c>
      <c r="L276" s="127">
        <f t="shared" si="287"/>
        <v>30.354804351284894</v>
      </c>
      <c r="M276" s="127">
        <f t="shared" si="287"/>
        <v>33.356410817519304</v>
      </c>
      <c r="N276" s="127">
        <f t="shared" si="287"/>
        <v>36.667492630841913</v>
      </c>
      <c r="O276" s="127">
        <f t="shared" si="287"/>
        <v>40.321152249397457</v>
      </c>
      <c r="P276" s="127">
        <f t="shared" si="287"/>
        <v>44.354148383400563</v>
      </c>
      <c r="Q276" s="127">
        <f t="shared" si="287"/>
        <v>48.807311100093088</v>
      </c>
      <c r="R276" s="68">
        <f>RATE(9,,-H276,Q276)</f>
        <v>9.88825948246429E-2</v>
      </c>
      <c r="S276" s="125" t="s">
        <v>74</v>
      </c>
      <c r="T276" s="116">
        <f>1-SUM(T272:T275)</f>
        <v>5.0000000000000044E-2</v>
      </c>
      <c r="U276" s="116">
        <f t="shared" ref="U276:AG276" si="288">1-SUM(U272:U275)</f>
        <v>4.9540739084886765E-2</v>
      </c>
      <c r="V276" s="116">
        <f t="shared" si="288"/>
        <v>4.9081100183354764E-2</v>
      </c>
      <c r="W276" s="116">
        <f t="shared" si="288"/>
        <v>4.8621082859250597E-2</v>
      </c>
      <c r="X276" s="116">
        <f t="shared" si="288"/>
        <v>4.8160686675831288E-2</v>
      </c>
      <c r="Y276" s="116">
        <f t="shared" si="288"/>
        <v>4.7699911195762668E-2</v>
      </c>
      <c r="Z276" s="116">
        <f t="shared" si="288"/>
        <v>4.7238755981118041E-2</v>
      </c>
      <c r="AA276" s="116">
        <f t="shared" si="288"/>
        <v>4.6777220593379298E-2</v>
      </c>
      <c r="AB276" s="116">
        <f t="shared" si="288"/>
        <v>4.631530459343336E-2</v>
      </c>
      <c r="AC276" s="116">
        <f t="shared" si="288"/>
        <v>4.5853007541573509E-2</v>
      </c>
      <c r="AD276" s="116">
        <f t="shared" si="288"/>
        <v>4.5390328997497287E-2</v>
      </c>
      <c r="AE276" s="116">
        <f t="shared" si="288"/>
        <v>4.4927268520306485E-2</v>
      </c>
      <c r="AF276" s="116">
        <f t="shared" si="288"/>
        <v>4.4463825668505264E-2</v>
      </c>
      <c r="AG276" s="116">
        <f t="shared" si="288"/>
        <v>4.4000000000000372E-2</v>
      </c>
    </row>
    <row r="277" spans="1:33" hidden="1" x14ac:dyDescent="0.35">
      <c r="A277" s="2"/>
      <c r="D277" s="81" t="b">
        <f>D261=SUM(D272:D276)</f>
        <v>1</v>
      </c>
      <c r="E277" s="81" t="b">
        <f t="shared" ref="E277:Q277" si="289">E261=SUM(E272:E276)</f>
        <v>1</v>
      </c>
      <c r="F277" s="81" t="b">
        <f t="shared" si="289"/>
        <v>1</v>
      </c>
      <c r="G277" s="81" t="b">
        <f t="shared" si="289"/>
        <v>1</v>
      </c>
      <c r="H277" s="81" t="b">
        <f t="shared" si="289"/>
        <v>1</v>
      </c>
      <c r="I277" s="81" t="b">
        <f t="shared" si="289"/>
        <v>1</v>
      </c>
      <c r="J277" s="81" t="b">
        <f t="shared" si="289"/>
        <v>1</v>
      </c>
      <c r="K277" s="81" t="b">
        <f t="shared" si="289"/>
        <v>1</v>
      </c>
      <c r="L277" s="81" t="b">
        <f t="shared" si="289"/>
        <v>1</v>
      </c>
      <c r="M277" s="81" t="b">
        <f t="shared" si="289"/>
        <v>1</v>
      </c>
      <c r="N277" s="81" t="b">
        <f t="shared" si="289"/>
        <v>1</v>
      </c>
      <c r="O277" s="81" t="b">
        <f t="shared" si="289"/>
        <v>1</v>
      </c>
      <c r="P277" s="81" t="b">
        <f t="shared" si="289"/>
        <v>1</v>
      </c>
      <c r="Q277" s="81" t="b">
        <f t="shared" si="289"/>
        <v>1</v>
      </c>
      <c r="R277" s="21"/>
    </row>
    <row r="278" spans="1:33" s="117" customFormat="1" hidden="1" x14ac:dyDescent="0.35">
      <c r="A278" s="149" t="s">
        <v>75</v>
      </c>
      <c r="B278" s="128" t="s">
        <v>76</v>
      </c>
      <c r="C278" s="129"/>
      <c r="D278" s="130">
        <f>D261*T278</f>
        <v>63.603539999999988</v>
      </c>
      <c r="E278" s="130">
        <f t="shared" ref="E278:P278" si="290">E261*U278</f>
        <v>70.467225379770795</v>
      </c>
      <c r="F278" s="130">
        <f t="shared" si="290"/>
        <v>78.106006302774972</v>
      </c>
      <c r="G278" s="130">
        <f t="shared" si="290"/>
        <v>86.611161878514309</v>
      </c>
      <c r="H278" s="130">
        <f t="shared" si="290"/>
        <v>96.085148876878009</v>
      </c>
      <c r="I278" s="130">
        <f t="shared" si="290"/>
        <v>106.64302152744614</v>
      </c>
      <c r="J278" s="130">
        <f t="shared" si="290"/>
        <v>118.41403799078621</v>
      </c>
      <c r="K278" s="130">
        <f t="shared" si="290"/>
        <v>131.54347885908939</v>
      </c>
      <c r="L278" s="130">
        <f t="shared" si="290"/>
        <v>146.19470659646677</v>
      </c>
      <c r="M278" s="130">
        <f t="shared" si="290"/>
        <v>162.55149889495664</v>
      </c>
      <c r="N278" s="130">
        <f t="shared" si="290"/>
        <v>180.82069357690253</v>
      </c>
      <c r="O278" s="130">
        <f t="shared" si="290"/>
        <v>201.23518800557997</v>
      </c>
      <c r="P278" s="130">
        <f t="shared" si="290"/>
        <v>224.05734207493532</v>
      </c>
      <c r="Q278" s="130">
        <f>Q261*AG278</f>
        <v>249.58284085274684</v>
      </c>
      <c r="R278" s="68">
        <f t="shared" ref="R278:R283" si="291">RATE(9,,-H278,Q278)</f>
        <v>0.11189057955817069</v>
      </c>
      <c r="S278" s="134" t="s">
        <v>76</v>
      </c>
      <c r="T278" s="116">
        <v>0.22000000000000003</v>
      </c>
      <c r="U278" s="116">
        <v>0.22038063877502673</v>
      </c>
      <c r="V278" s="116">
        <v>0.22076193612222184</v>
      </c>
      <c r="W278" s="116">
        <v>0.22114389318103134</v>
      </c>
      <c r="X278" s="116">
        <v>0.22152651109287255</v>
      </c>
      <c r="Y278" s="116">
        <v>0.22190979100113767</v>
      </c>
      <c r="Z278" s="116">
        <v>0.22229373405119721</v>
      </c>
      <c r="AA278" s="116">
        <v>0.22267834139040343</v>
      </c>
      <c r="AB278" s="116">
        <v>0.2230636141680935</v>
      </c>
      <c r="AC278" s="116">
        <v>0.22344955353559337</v>
      </c>
      <c r="AD278" s="116">
        <v>0.22383616064622086</v>
      </c>
      <c r="AE278" s="116">
        <v>0.22422343665528938</v>
      </c>
      <c r="AF278" s="116">
        <v>0.22461138272011094</v>
      </c>
      <c r="AG278" s="116">
        <v>0.22500000000000017</v>
      </c>
    </row>
    <row r="279" spans="1:33" s="117" customFormat="1" hidden="1" x14ac:dyDescent="0.35">
      <c r="A279" s="149"/>
      <c r="B279" s="128" t="s">
        <v>77</v>
      </c>
      <c r="C279" s="129"/>
      <c r="D279" s="130">
        <f>D261*T279</f>
        <v>109.86065999999997</v>
      </c>
      <c r="E279" s="130">
        <f t="shared" ref="E279:Q279" si="292">E261*U279</f>
        <v>121.50588995999998</v>
      </c>
      <c r="F279" s="130">
        <f t="shared" si="292"/>
        <v>134.44474584886049</v>
      </c>
      <c r="G279" s="130">
        <f t="shared" si="292"/>
        <v>148.82726825693098</v>
      </c>
      <c r="H279" s="130">
        <f t="shared" si="292"/>
        <v>164.82161161246401</v>
      </c>
      <c r="I279" s="130">
        <f t="shared" si="292"/>
        <v>182.61631448349107</v>
      </c>
      <c r="J279" s="130">
        <f t="shared" si="292"/>
        <v>202.42286463250142</v>
      </c>
      <c r="K279" s="130">
        <f t="shared" si="292"/>
        <v>224.47859838697451</v>
      </c>
      <c r="L279" s="130">
        <f t="shared" si="292"/>
        <v>249.04997936953396</v>
      </c>
      <c r="M279" s="130">
        <f t="shared" si="292"/>
        <v>276.43630789463282</v>
      </c>
      <c r="N279" s="130">
        <f t="shared" si="292"/>
        <v>306.97391949919978</v>
      </c>
      <c r="O279" s="130">
        <f t="shared" si="292"/>
        <v>341.04093926488525</v>
      </c>
      <c r="P279" s="130">
        <f t="shared" si="292"/>
        <v>379.06266796180546</v>
      </c>
      <c r="Q279" s="130">
        <f t="shared" si="292"/>
        <v>421.51768677352766</v>
      </c>
      <c r="R279" s="68">
        <f t="shared" si="291"/>
        <v>0.1099701355872318</v>
      </c>
      <c r="S279" s="134" t="s">
        <v>77</v>
      </c>
      <c r="T279" s="116">
        <v>0.38</v>
      </c>
      <c r="U279" s="116">
        <v>0.38</v>
      </c>
      <c r="V279" s="116">
        <v>0.38</v>
      </c>
      <c r="W279" s="116">
        <v>0.38</v>
      </c>
      <c r="X279" s="116">
        <v>0.38</v>
      </c>
      <c r="Y279" s="116">
        <v>0.38</v>
      </c>
      <c r="Z279" s="116">
        <v>0.38</v>
      </c>
      <c r="AA279" s="116">
        <v>0.38</v>
      </c>
      <c r="AB279" s="116">
        <v>0.38</v>
      </c>
      <c r="AC279" s="116">
        <v>0.38</v>
      </c>
      <c r="AD279" s="116">
        <v>0.38</v>
      </c>
      <c r="AE279" s="116">
        <v>0.38</v>
      </c>
      <c r="AF279" s="116">
        <v>0.38</v>
      </c>
      <c r="AG279" s="116">
        <v>0.38</v>
      </c>
    </row>
    <row r="280" spans="1:33" s="117" customFormat="1" hidden="1" x14ac:dyDescent="0.35">
      <c r="A280" s="149"/>
      <c r="B280" s="128" t="s">
        <v>78</v>
      </c>
      <c r="C280" s="129"/>
      <c r="D280" s="132">
        <f>D261*T280</f>
        <v>49.148189999999978</v>
      </c>
      <c r="E280" s="132">
        <f t="shared" ref="E280:Q280" si="293">E261*U280</f>
        <v>54.620697813887944</v>
      </c>
      <c r="F280" s="132">
        <f t="shared" si="293"/>
        <v>60.729308598658427</v>
      </c>
      <c r="G280" s="132">
        <f t="shared" si="293"/>
        <v>67.550971801951874</v>
      </c>
      <c r="H280" s="132">
        <f t="shared" si="293"/>
        <v>75.17229960471839</v>
      </c>
      <c r="I280" s="132">
        <f t="shared" si="293"/>
        <v>83.690823669113513</v>
      </c>
      <c r="J280" s="132">
        <f t="shared" si="293"/>
        <v>93.216420857442799</v>
      </c>
      <c r="K280" s="132">
        <f t="shared" si="293"/>
        <v>103.87293136744238</v>
      </c>
      <c r="L280" s="132">
        <f t="shared" si="293"/>
        <v>115.79999608133743</v>
      </c>
      <c r="M280" s="132">
        <f t="shared" si="293"/>
        <v>129.15514377148494</v>
      </c>
      <c r="N280" s="132">
        <f t="shared" si="293"/>
        <v>144.11616321856786</v>
      </c>
      <c r="O280" s="132">
        <f t="shared" si="293"/>
        <v>160.88380036542989</v>
      </c>
      <c r="P280" s="132">
        <f t="shared" si="293"/>
        <v>179.68482645031449</v>
      </c>
      <c r="Q280" s="132">
        <f t="shared" si="293"/>
        <v>200.77552975265363</v>
      </c>
      <c r="R280" s="68">
        <f t="shared" si="291"/>
        <v>0.11533641720521108</v>
      </c>
      <c r="S280" s="134" t="s">
        <v>78</v>
      </c>
      <c r="T280" s="116">
        <v>0.16999999999999998</v>
      </c>
      <c r="U280" s="116">
        <v>0.17082188506343435</v>
      </c>
      <c r="V280" s="116">
        <v>0.17164774362720694</v>
      </c>
      <c r="W280" s="116">
        <v>0.17247759490167405</v>
      </c>
      <c r="X280" s="116">
        <v>0.17331145819006682</v>
      </c>
      <c r="Y280" s="116">
        <v>0.17414935288894001</v>
      </c>
      <c r="Z280" s="116">
        <v>0.17499129848862341</v>
      </c>
      <c r="AA280" s="116">
        <v>0.17583731457367507</v>
      </c>
      <c r="AB280" s="116">
        <v>0.17668742082333691</v>
      </c>
      <c r="AC280" s="116">
        <v>0.17754163701199244</v>
      </c>
      <c r="AD280" s="116">
        <v>0.17839998300962681</v>
      </c>
      <c r="AE280" s="116">
        <v>0.17926247878228888</v>
      </c>
      <c r="AF280" s="116">
        <v>0.18012914439255584</v>
      </c>
      <c r="AG280" s="116">
        <v>0.18099999999999969</v>
      </c>
    </row>
    <row r="281" spans="1:33" s="117" customFormat="1" hidden="1" x14ac:dyDescent="0.35">
      <c r="A281" s="149"/>
      <c r="B281" s="128" t="s">
        <v>79</v>
      </c>
      <c r="C281" s="129"/>
      <c r="D281" s="132">
        <f>D261*T281</f>
        <v>40.474979999999995</v>
      </c>
      <c r="E281" s="132">
        <f t="shared" ref="E281:Q281" si="294">E261*U281</f>
        <v>44.789843496534061</v>
      </c>
      <c r="F281" s="132">
        <f t="shared" si="294"/>
        <v>49.586542087491416</v>
      </c>
      <c r="G281" s="132">
        <f t="shared" si="294"/>
        <v>54.921232505181337</v>
      </c>
      <c r="H281" s="132">
        <f t="shared" si="294"/>
        <v>60.85688178422172</v>
      </c>
      <c r="I281" s="132">
        <f t="shared" si="294"/>
        <v>67.464124461979608</v>
      </c>
      <c r="J281" s="132">
        <f t="shared" si="294"/>
        <v>74.822231515670396</v>
      </c>
      <c r="K281" s="132">
        <f t="shared" si="294"/>
        <v>83.020206090932135</v>
      </c>
      <c r="L281" s="132">
        <f t="shared" si="294"/>
        <v>92.158023169792273</v>
      </c>
      <c r="M281" s="132">
        <f t="shared" si="294"/>
        <v>102.34803271889001</v>
      </c>
      <c r="N281" s="132">
        <f t="shared" si="294"/>
        <v>113.71654859579778</v>
      </c>
      <c r="O281" s="132">
        <f t="shared" si="294"/>
        <v>126.40564862320146</v>
      </c>
      <c r="P281" s="132">
        <f t="shared" si="294"/>
        <v>140.57521482617386</v>
      </c>
      <c r="Q281" s="132">
        <f t="shared" si="294"/>
        <v>156.40524693438817</v>
      </c>
      <c r="R281" s="68">
        <f t="shared" si="291"/>
        <v>0.11057800787439899</v>
      </c>
      <c r="S281" s="134" t="s">
        <v>79</v>
      </c>
      <c r="T281" s="116">
        <v>0.14000000000000001</v>
      </c>
      <c r="U281" s="116">
        <v>0.14007667063947282</v>
      </c>
      <c r="V281" s="116">
        <v>0.14015338326742385</v>
      </c>
      <c r="W281" s="116">
        <v>0.1402301379068481</v>
      </c>
      <c r="X281" s="116">
        <v>0.14030693458075291</v>
      </c>
      <c r="Y281" s="116">
        <v>0.14038377331215846</v>
      </c>
      <c r="Z281" s="116">
        <v>0.14046065412409731</v>
      </c>
      <c r="AA281" s="116">
        <v>0.14053757703961495</v>
      </c>
      <c r="AB281" s="116">
        <v>0.14061454208176913</v>
      </c>
      <c r="AC281" s="116">
        <v>0.14069154927363042</v>
      </c>
      <c r="AD281" s="116">
        <v>0.14076859863828203</v>
      </c>
      <c r="AE281" s="116">
        <v>0.14084569019881982</v>
      </c>
      <c r="AF281" s="116">
        <v>0.14092282397835218</v>
      </c>
      <c r="AG281" s="116">
        <v>0.14100000000000026</v>
      </c>
    </row>
    <row r="282" spans="1:33" s="117" customFormat="1" hidden="1" x14ac:dyDescent="0.35">
      <c r="A282" s="149"/>
      <c r="B282" s="128" t="s">
        <v>80</v>
      </c>
      <c r="C282" s="129"/>
      <c r="D282" s="132">
        <f>D261*T282</f>
        <v>11.564280000000005</v>
      </c>
      <c r="E282" s="132">
        <f t="shared" ref="E282:Q282" si="295">E261*U282</f>
        <v>11.860606564241222</v>
      </c>
      <c r="F282" s="132">
        <f t="shared" si="295"/>
        <v>12.169887906802312</v>
      </c>
      <c r="G282" s="132">
        <f t="shared" si="295"/>
        <v>12.492760907945126</v>
      </c>
      <c r="H282" s="132">
        <f t="shared" si="295"/>
        <v>12.829899333100903</v>
      </c>
      <c r="I282" s="132">
        <f t="shared" si="295"/>
        <v>13.182016187734185</v>
      </c>
      <c r="J282" s="132">
        <f t="shared" si="295"/>
        <v>13.549866237576291</v>
      </c>
      <c r="K282" s="132">
        <f t="shared" si="295"/>
        <v>13.934248706758774</v>
      </c>
      <c r="L282" s="132">
        <f t="shared" si="295"/>
        <v>14.336010167395509</v>
      </c>
      <c r="M282" s="132">
        <f t="shared" si="295"/>
        <v>14.756047635267862</v>
      </c>
      <c r="N282" s="132">
        <f t="shared" si="295"/>
        <v>15.195311887469288</v>
      </c>
      <c r="O282" s="132">
        <f t="shared" si="295"/>
        <v>15.654811019172442</v>
      </c>
      <c r="P282" s="132">
        <f t="shared" si="295"/>
        <v>16.135614258102912</v>
      </c>
      <c r="Q282" s="132">
        <f t="shared" si="295"/>
        <v>16.638856056849782</v>
      </c>
      <c r="R282" s="68">
        <f t="shared" si="291"/>
        <v>2.9305914844669958E-2</v>
      </c>
      <c r="S282" s="134" t="s">
        <v>80</v>
      </c>
      <c r="T282" s="116">
        <v>4.0000000000000029E-2</v>
      </c>
      <c r="U282" s="116">
        <v>3.7093103024844219E-2</v>
      </c>
      <c r="V282" s="116">
        <v>3.4397457300292665E-2</v>
      </c>
      <c r="W282" s="116">
        <v>3.1897710685810869E-2</v>
      </c>
      <c r="X282" s="116">
        <v>2.9579626718136409E-2</v>
      </c>
      <c r="Y282" s="116">
        <v>2.7430003532306693E-2</v>
      </c>
      <c r="Z282" s="116">
        <v>2.543659867489231E-2</v>
      </c>
      <c r="AA282" s="116">
        <v>2.3588059381234896E-2</v>
      </c>
      <c r="AB282" s="116">
        <v>2.1873857919607213E-2</v>
      </c>
      <c r="AC282" s="116">
        <v>2.0284231634069862E-2</v>
      </c>
      <c r="AD282" s="116">
        <v>1.8810127344558929E-2</v>
      </c>
      <c r="AE282" s="116">
        <v>1.7443149787554083E-2</v>
      </c>
      <c r="AF282" s="116">
        <v>1.617551380368832E-2</v>
      </c>
      <c r="AG282" s="116">
        <v>1.5000000000000005E-2</v>
      </c>
    </row>
    <row r="283" spans="1:33" s="117" customFormat="1" hidden="1" x14ac:dyDescent="0.35">
      <c r="A283" s="149"/>
      <c r="B283" s="128" t="s">
        <v>81</v>
      </c>
      <c r="C283" s="129"/>
      <c r="D283" s="132">
        <f>D261*T283</f>
        <v>5.7821399999999992</v>
      </c>
      <c r="E283" s="132">
        <f t="shared" ref="E283:Q283" si="296">E261*U283</f>
        <v>6.4421047533109013</v>
      </c>
      <c r="F283" s="132">
        <f t="shared" si="296"/>
        <v>7.1805603882832543</v>
      </c>
      <c r="G283" s="132">
        <f t="shared" si="296"/>
        <v>8.0072072129980647</v>
      </c>
      <c r="H283" s="132">
        <f t="shared" si="296"/>
        <v>8.9329883208877039</v>
      </c>
      <c r="I283" s="132">
        <f t="shared" si="296"/>
        <v>9.9702543176693332</v>
      </c>
      <c r="J283" s="132">
        <f t="shared" si="296"/>
        <v>11.132950596616903</v>
      </c>
      <c r="K283" s="132">
        <f t="shared" si="296"/>
        <v>12.436830344603905</v>
      </c>
      <c r="L283" s="132">
        <f t="shared" si="296"/>
        <v>13.899696923821672</v>
      </c>
      <c r="M283" s="132">
        <f t="shared" si="296"/>
        <v>15.541679805661143</v>
      </c>
      <c r="N283" s="132">
        <f t="shared" si="296"/>
        <v>17.385548844547895</v>
      </c>
      <c r="O283" s="132">
        <f t="shared" si="296"/>
        <v>19.457072382819661</v>
      </c>
      <c r="P283" s="132">
        <f t="shared" si="296"/>
        <v>21.785425487252162</v>
      </c>
      <c r="Q283" s="132">
        <f t="shared" si="296"/>
        <v>24.403655550046345</v>
      </c>
      <c r="R283" s="68">
        <f t="shared" si="291"/>
        <v>0.11813784408349483</v>
      </c>
      <c r="S283" s="134" t="s">
        <v>81</v>
      </c>
      <c r="T283" s="116">
        <v>2.0000000000000004E-2</v>
      </c>
      <c r="U283" s="116">
        <v>2.0147169878464571E-2</v>
      </c>
      <c r="V283" s="116">
        <v>2.0295422705585511E-2</v>
      </c>
      <c r="W283" s="116">
        <v>2.0444766450233912E-2</v>
      </c>
      <c r="X283" s="116">
        <v>2.0595209139919784E-2</v>
      </c>
      <c r="Y283" s="116">
        <v>2.0746758861223506E-2</v>
      </c>
      <c r="Z283" s="116">
        <v>2.0899423760230504E-2</v>
      </c>
      <c r="AA283" s="116">
        <v>2.1053212042969137E-2</v>
      </c>
      <c r="AB283" s="116">
        <v>2.1208131975851766E-2</v>
      </c>
      <c r="AC283" s="116">
        <v>2.1364191886119096E-2</v>
      </c>
      <c r="AD283" s="116">
        <v>2.1521400162287797E-2</v>
      </c>
      <c r="AE283" s="116">
        <v>2.1679765254601358E-2</v>
      </c>
      <c r="AF283" s="116">
        <v>2.1839295675484361E-2</v>
      </c>
      <c r="AG283" s="116">
        <v>2.2000000000000006E-2</v>
      </c>
    </row>
    <row r="284" spans="1:33" s="117" customFormat="1" hidden="1" x14ac:dyDescent="0.35">
      <c r="A284" s="149"/>
      <c r="B284" s="128" t="s">
        <v>82</v>
      </c>
      <c r="C284" s="129"/>
      <c r="D284" s="132">
        <f>D261*T284</f>
        <v>8.6732099999999726</v>
      </c>
      <c r="E284" s="132">
        <f t="shared" ref="E284:Q284" si="297">E261*U284</f>
        <v>10.06597403225503</v>
      </c>
      <c r="F284" s="132">
        <f t="shared" si="297"/>
        <v>11.58491162728834</v>
      </c>
      <c r="G284" s="132">
        <f t="shared" si="297"/>
        <v>13.240103375770341</v>
      </c>
      <c r="H284" s="132">
        <f t="shared" si="297"/>
        <v>15.042253658424006</v>
      </c>
      <c r="I284" s="132">
        <f t="shared" si="297"/>
        <v>17.002693993332134</v>
      </c>
      <c r="J284" s="132">
        <f t="shared" si="297"/>
        <v>19.133377202304406</v>
      </c>
      <c r="K284" s="132">
        <f t="shared" si="297"/>
        <v>21.446859894131848</v>
      </c>
      <c r="L284" s="132">
        <f t="shared" si="297"/>
        <v>23.956270243057546</v>
      </c>
      <c r="M284" s="132">
        <f t="shared" si="297"/>
        <v>26.675257422877195</v>
      </c>
      <c r="N284" s="132">
        <f t="shared" si="297"/>
        <v>29.617918322777577</v>
      </c>
      <c r="O284" s="132">
        <f t="shared" si="297"/>
        <v>32.79869629913555</v>
      </c>
      <c r="P284" s="132">
        <f t="shared" si="297"/>
        <v>36.232245683009012</v>
      </c>
      <c r="Q284" s="132">
        <f t="shared" si="297"/>
        <v>39.93325453643925</v>
      </c>
      <c r="R284" s="68">
        <f>RATE(9,,-H284,Q284)</f>
        <v>0.11458587028236387</v>
      </c>
      <c r="S284" s="134" t="s">
        <v>82</v>
      </c>
      <c r="T284" s="116">
        <f>1-SUM(T278:T283)</f>
        <v>2.9999999999999916E-2</v>
      </c>
      <c r="U284" s="116">
        <f t="shared" ref="U284:AG284" si="298">1-SUM(U278:U283)</f>
        <v>3.1480532618757273E-2</v>
      </c>
      <c r="V284" s="116">
        <f t="shared" si="298"/>
        <v>3.2744056977269231E-2</v>
      </c>
      <c r="W284" s="116">
        <f t="shared" si="298"/>
        <v>3.380589687440172E-2</v>
      </c>
      <c r="X284" s="116">
        <f t="shared" si="298"/>
        <v>3.468026027825144E-2</v>
      </c>
      <c r="Y284" s="116">
        <f t="shared" si="298"/>
        <v>3.5380320404233667E-2</v>
      </c>
      <c r="Z284" s="116">
        <f t="shared" si="298"/>
        <v>3.5918290900959216E-2</v>
      </c>
      <c r="AA284" s="116">
        <f t="shared" si="298"/>
        <v>3.6305495572102608E-2</v>
      </c>
      <c r="AB284" s="116">
        <f t="shared" si="298"/>
        <v>3.655243303134148E-2</v>
      </c>
      <c r="AC284" s="116">
        <f t="shared" si="298"/>
        <v>3.6668836658594883E-2</v>
      </c>
      <c r="AD284" s="116">
        <f t="shared" si="298"/>
        <v>3.6663730199023692E-2</v>
      </c>
      <c r="AE284" s="116">
        <f t="shared" si="298"/>
        <v>3.6545479321446361E-2</v>
      </c>
      <c r="AF284" s="116">
        <f t="shared" si="298"/>
        <v>3.6321839429808267E-2</v>
      </c>
      <c r="AG284" s="116">
        <f t="shared" si="298"/>
        <v>3.599999999999981E-2</v>
      </c>
    </row>
  </sheetData>
  <mergeCells count="55">
    <mergeCell ref="A278:A284"/>
    <mergeCell ref="A247:A248"/>
    <mergeCell ref="A250:A255"/>
    <mergeCell ref="A257:A259"/>
    <mergeCell ref="A262:A266"/>
    <mergeCell ref="A268:A270"/>
    <mergeCell ref="A272:A276"/>
    <mergeCell ref="A244:A245"/>
    <mergeCell ref="A192:A193"/>
    <mergeCell ref="A195:A196"/>
    <mergeCell ref="A198:A199"/>
    <mergeCell ref="A201:A206"/>
    <mergeCell ref="A208:A210"/>
    <mergeCell ref="A213:A217"/>
    <mergeCell ref="A219:A221"/>
    <mergeCell ref="A223:A227"/>
    <mergeCell ref="A229:A235"/>
    <mergeCell ref="A237:R237"/>
    <mergeCell ref="A241:A242"/>
    <mergeCell ref="A188:R188"/>
    <mergeCell ref="A130:A136"/>
    <mergeCell ref="A139:R139"/>
    <mergeCell ref="A143:A144"/>
    <mergeCell ref="A146:A147"/>
    <mergeCell ref="A149:A150"/>
    <mergeCell ref="A152:A157"/>
    <mergeCell ref="A159:A161"/>
    <mergeCell ref="A164:A168"/>
    <mergeCell ref="A170:A172"/>
    <mergeCell ref="A174:A178"/>
    <mergeCell ref="A180:A186"/>
    <mergeCell ref="A124:A128"/>
    <mergeCell ref="A70:A72"/>
    <mergeCell ref="A74:A78"/>
    <mergeCell ref="A80:A86"/>
    <mergeCell ref="A89:R89"/>
    <mergeCell ref="A93:A94"/>
    <mergeCell ref="A96:A97"/>
    <mergeCell ref="A99:A100"/>
    <mergeCell ref="A102:A107"/>
    <mergeCell ref="A109:A111"/>
    <mergeCell ref="A114:A118"/>
    <mergeCell ref="A120:A122"/>
    <mergeCell ref="A64:A68"/>
    <mergeCell ref="A2:R2"/>
    <mergeCell ref="A15:A19"/>
    <mergeCell ref="A21:A23"/>
    <mergeCell ref="A25:A29"/>
    <mergeCell ref="A31:A37"/>
    <mergeCell ref="A39:R39"/>
    <mergeCell ref="A43:A44"/>
    <mergeCell ref="A46:A47"/>
    <mergeCell ref="A49:A50"/>
    <mergeCell ref="A52:A57"/>
    <mergeCell ref="A59:A6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073FC-D63B-4390-A279-1D68132B8DB8}">
  <dimension ref="A2:AG284"/>
  <sheetViews>
    <sheetView showGridLines="0" topLeftCell="A235" zoomScale="71" zoomScaleNormal="71" workbookViewId="0">
      <selection activeCell="B325" sqref="B325"/>
    </sheetView>
  </sheetViews>
  <sheetFormatPr defaultRowHeight="14.5" x14ac:dyDescent="0.35"/>
  <cols>
    <col min="1" max="1" width="17.1796875" customWidth="1"/>
    <col min="2" max="2" width="27.81640625" customWidth="1"/>
    <col min="17" max="17" width="11.7265625" customWidth="1"/>
    <col min="18" max="18" width="26.453125" customWidth="1"/>
    <col min="19" max="19" width="28.90625" customWidth="1"/>
  </cols>
  <sheetData>
    <row r="2" spans="1:33" ht="25" x14ac:dyDescent="0.5">
      <c r="A2" s="146" t="s">
        <v>94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63"/>
    </row>
    <row r="3" spans="1:33" ht="25" x14ac:dyDescent="0.5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63"/>
    </row>
    <row r="4" spans="1:33" ht="25" x14ac:dyDescent="0.5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63"/>
    </row>
    <row r="5" spans="1:33" ht="25" x14ac:dyDescent="0.5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63"/>
    </row>
    <row r="6" spans="1:33" ht="25" x14ac:dyDescent="0.5">
      <c r="A6" s="96"/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63"/>
    </row>
    <row r="7" spans="1:33" ht="25" x14ac:dyDescent="0.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63"/>
    </row>
    <row r="8" spans="1:33" ht="25" x14ac:dyDescent="0.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63"/>
    </row>
    <row r="9" spans="1:33" ht="25" x14ac:dyDescent="0.5">
      <c r="A9" s="96"/>
      <c r="B9" s="96"/>
      <c r="C9" s="97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63"/>
    </row>
    <row r="10" spans="1:33" ht="25" x14ac:dyDescent="0.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63"/>
    </row>
    <row r="11" spans="1:33" ht="25" x14ac:dyDescent="0.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63"/>
    </row>
    <row r="12" spans="1:33" ht="25.5" thickBot="1" x14ac:dyDescent="0.55000000000000004">
      <c r="A12" s="96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63"/>
    </row>
    <row r="13" spans="1:33" ht="15.5" x14ac:dyDescent="0.35">
      <c r="A13" s="42"/>
      <c r="B13" s="43"/>
      <c r="C13" s="93"/>
      <c r="D13" s="91">
        <v>2023</v>
      </c>
      <c r="E13" s="65">
        <v>2024</v>
      </c>
      <c r="F13" s="65">
        <v>2025</v>
      </c>
      <c r="G13" s="65">
        <v>2026</v>
      </c>
      <c r="H13" s="65">
        <v>2027</v>
      </c>
      <c r="I13" s="65">
        <v>2028</v>
      </c>
      <c r="J13" s="65">
        <v>2029</v>
      </c>
      <c r="K13" s="65">
        <v>2030</v>
      </c>
      <c r="L13" s="65">
        <v>2031</v>
      </c>
      <c r="M13" s="65">
        <v>2032</v>
      </c>
      <c r="N13" s="65">
        <v>2033</v>
      </c>
      <c r="O13" s="65">
        <v>2034</v>
      </c>
      <c r="P13" s="65">
        <v>2035</v>
      </c>
      <c r="Q13" s="65">
        <v>2036</v>
      </c>
      <c r="R13" s="66" t="s">
        <v>84</v>
      </c>
    </row>
    <row r="14" spans="1:33" ht="16" thickBot="1" x14ac:dyDescent="0.4">
      <c r="A14" s="1"/>
      <c r="C14" s="21"/>
      <c r="D14" s="92">
        <f>SUM(D63+D113+D163+D212+D261)</f>
        <v>963.68999999999983</v>
      </c>
      <c r="E14" s="92">
        <f t="shared" ref="E14:Q14" si="0">SUM(E63+E113+E163+E212+E261)</f>
        <v>1079.1400619999999</v>
      </c>
      <c r="F14" s="92">
        <f t="shared" si="0"/>
        <v>1210.2767211922041</v>
      </c>
      <c r="G14" s="92">
        <f t="shared" si="0"/>
        <v>1359.4696759655617</v>
      </c>
      <c r="H14" s="92">
        <f t="shared" si="0"/>
        <v>1529.4821789012992</v>
      </c>
      <c r="I14" s="92">
        <f t="shared" si="0"/>
        <v>1723.5422721980631</v>
      </c>
      <c r="J14" s="92">
        <f t="shared" si="0"/>
        <v>1945.4279732888458</v>
      </c>
      <c r="K14" s="92">
        <f t="shared" si="0"/>
        <v>2199.5693481127537</v>
      </c>
      <c r="L14" s="92">
        <f t="shared" si="0"/>
        <v>2491.1710712317836</v>
      </c>
      <c r="M14" s="92">
        <f t="shared" si="0"/>
        <v>2826.3598925427491</v>
      </c>
      <c r="N14" s="92">
        <f t="shared" si="0"/>
        <v>3212.3624502155681</v>
      </c>
      <c r="O14" s="92">
        <f t="shared" si="0"/>
        <v>3657.7201401098082</v>
      </c>
      <c r="P14" s="92">
        <f t="shared" si="0"/>
        <v>4172.5493387476054</v>
      </c>
      <c r="Q14" s="92">
        <f t="shared" si="0"/>
        <v>4768.8572635197534</v>
      </c>
      <c r="R14" s="131">
        <f t="shared" ref="R14:R19" si="1">RATE(9,,-H14,Q14)</f>
        <v>0.13468270055948564</v>
      </c>
      <c r="T14" s="65">
        <v>2023</v>
      </c>
      <c r="U14" s="65">
        <v>2024</v>
      </c>
      <c r="V14" s="65">
        <v>2025</v>
      </c>
      <c r="W14" s="65">
        <v>2026</v>
      </c>
      <c r="X14" s="65">
        <v>2027</v>
      </c>
      <c r="Y14" s="65">
        <v>2028</v>
      </c>
      <c r="Z14" s="65">
        <v>2029</v>
      </c>
      <c r="AA14" s="65">
        <v>2030</v>
      </c>
      <c r="AB14" s="65">
        <v>2031</v>
      </c>
      <c r="AC14" s="65">
        <v>2032</v>
      </c>
      <c r="AD14" s="65">
        <v>2033</v>
      </c>
      <c r="AE14" s="65">
        <v>2034</v>
      </c>
      <c r="AF14" s="65">
        <v>2035</v>
      </c>
      <c r="AG14" s="65">
        <v>2036</v>
      </c>
    </row>
    <row r="15" spans="1:33" s="121" customFormat="1" x14ac:dyDescent="0.35">
      <c r="A15" s="147" t="s">
        <v>59</v>
      </c>
      <c r="B15" s="118" t="s">
        <v>60</v>
      </c>
      <c r="C15" s="119"/>
      <c r="D15" s="120">
        <f>D14*T15</f>
        <v>289.10699999999997</v>
      </c>
      <c r="E15" s="120">
        <f>E14*U15</f>
        <v>327.60371905426808</v>
      </c>
      <c r="F15" s="120">
        <f>F14*V15</f>
        <v>371.79662304334943</v>
      </c>
      <c r="G15" s="120">
        <f t="shared" ref="G15:Q15" si="2">G14*W15</f>
        <v>422.6102620517392</v>
      </c>
      <c r="H15" s="120">
        <f t="shared" si="2"/>
        <v>481.13249329972257</v>
      </c>
      <c r="I15" s="120">
        <f t="shared" si="2"/>
        <v>548.64567438019924</v>
      </c>
      <c r="J15" s="120">
        <f t="shared" si="2"/>
        <v>626.66426381770953</v>
      </c>
      <c r="K15" s="120">
        <f t="shared" si="2"/>
        <v>716.98023732602837</v>
      </c>
      <c r="L15" s="120">
        <f t="shared" si="2"/>
        <v>821.71805802810138</v>
      </c>
      <c r="M15" s="120">
        <f t="shared" si="2"/>
        <v>943.40135084541305</v>
      </c>
      <c r="N15" s="120">
        <f t="shared" si="2"/>
        <v>1085.0339468758641</v>
      </c>
      <c r="O15" s="120">
        <f t="shared" si="2"/>
        <v>1250.1986104858654</v>
      </c>
      <c r="P15" s="120">
        <f t="shared" si="2"/>
        <v>1443.1775754464707</v>
      </c>
      <c r="Q15" s="120">
        <f t="shared" si="2"/>
        <v>1669.1000422319123</v>
      </c>
      <c r="R15" s="131">
        <f t="shared" si="1"/>
        <v>0.14821756612761902</v>
      </c>
      <c r="S15" s="118" t="s">
        <v>60</v>
      </c>
      <c r="T15" s="136">
        <v>0.30000000000000004</v>
      </c>
      <c r="U15" s="136">
        <v>0.30357849790796487</v>
      </c>
      <c r="V15" s="136">
        <v>0.3071996813068541</v>
      </c>
      <c r="W15" s="136">
        <v>0.31086405936313422</v>
      </c>
      <c r="X15" s="136">
        <v>0.31457214731677569</v>
      </c>
      <c r="Y15" s="136">
        <v>0.31832446655369928</v>
      </c>
      <c r="Z15" s="136">
        <v>0.32212154467908749</v>
      </c>
      <c r="AA15" s="136">
        <v>0.32596391559156912</v>
      </c>
      <c r="AB15" s="136">
        <v>0.32985211955829069</v>
      </c>
      <c r="AC15" s="136">
        <v>0.33378670329088106</v>
      </c>
      <c r="AD15" s="136">
        <v>0.33776822002232409</v>
      </c>
      <c r="AE15" s="136">
        <v>0.34179722958474706</v>
      </c>
      <c r="AF15" s="136">
        <v>0.34587429848813767</v>
      </c>
      <c r="AG15" s="136">
        <v>0.3499999999999997</v>
      </c>
    </row>
    <row r="16" spans="1:33" s="117" customFormat="1" x14ac:dyDescent="0.35">
      <c r="A16" s="148"/>
      <c r="B16" s="113" t="s">
        <v>61</v>
      </c>
      <c r="C16" s="114"/>
      <c r="D16" s="115">
        <f>D14*T16</f>
        <v>192.73799999999997</v>
      </c>
      <c r="E16" s="115">
        <f t="shared" ref="E16:Q16" si="3">E14*U16</f>
        <v>216.63955620394856</v>
      </c>
      <c r="F16" s="115">
        <f t="shared" si="3"/>
        <v>243.87909112762705</v>
      </c>
      <c r="G16" s="115">
        <f t="shared" si="3"/>
        <v>274.97256106955308</v>
      </c>
      <c r="H16" s="115">
        <f t="shared" si="3"/>
        <v>310.52330586718801</v>
      </c>
      <c r="I16" s="115">
        <f t="shared" si="3"/>
        <v>351.23813753290869</v>
      </c>
      <c r="J16" s="115">
        <f t="shared" si="3"/>
        <v>397.94662744831339</v>
      </c>
      <c r="K16" s="115">
        <f t="shared" si="3"/>
        <v>451.62427481973822</v>
      </c>
      <c r="L16" s="115">
        <f t="shared" si="3"/>
        <v>513.42039479408845</v>
      </c>
      <c r="M16" s="115">
        <f t="shared" si="3"/>
        <v>584.69175812357935</v>
      </c>
      <c r="N16" s="115">
        <f t="shared" si="3"/>
        <v>667.04325528430445</v>
      </c>
      <c r="O16" s="115">
        <f t="shared" si="3"/>
        <v>762.37715888301898</v>
      </c>
      <c r="P16" s="115">
        <f t="shared" si="3"/>
        <v>872.95293483133287</v>
      </c>
      <c r="Q16" s="115">
        <f t="shared" si="3"/>
        <v>1001.4600253391487</v>
      </c>
      <c r="R16" s="131">
        <f t="shared" si="1"/>
        <v>0.13894926774014721</v>
      </c>
      <c r="S16" s="113" t="s">
        <v>61</v>
      </c>
      <c r="T16" s="135">
        <v>0.2</v>
      </c>
      <c r="U16" s="135">
        <v>0.20075202824223254</v>
      </c>
      <c r="V16" s="135">
        <v>0.20150688421685059</v>
      </c>
      <c r="W16" s="135">
        <v>0.20226457855652732</v>
      </c>
      <c r="X16" s="135">
        <v>0.20302512193391614</v>
      </c>
      <c r="Y16" s="135">
        <v>0.20378852506180117</v>
      </c>
      <c r="Z16" s="135">
        <v>0.20455479869324805</v>
      </c>
      <c r="AA16" s="135">
        <v>0.20532395362175559</v>
      </c>
      <c r="AB16" s="135">
        <v>0.20609600068140757</v>
      </c>
      <c r="AC16" s="135">
        <v>0.20687095074702552</v>
      </c>
      <c r="AD16" s="135">
        <v>0.20764881473432178</v>
      </c>
      <c r="AE16" s="135">
        <v>0.20842960360005336</v>
      </c>
      <c r="AF16" s="135">
        <v>0.20921332834217618</v>
      </c>
      <c r="AG16" s="135">
        <v>0.2100000000000001</v>
      </c>
    </row>
    <row r="17" spans="1:33" s="117" customFormat="1" x14ac:dyDescent="0.35">
      <c r="A17" s="148"/>
      <c r="B17" s="113" t="s">
        <v>62</v>
      </c>
      <c r="C17" s="114"/>
      <c r="D17" s="115">
        <f>D14*T17</f>
        <v>96.369000000000057</v>
      </c>
      <c r="E17" s="115">
        <f t="shared" ref="E17:Q17" si="4">E14*U17</f>
        <v>109.43813431917513</v>
      </c>
      <c r="F17" s="115">
        <f t="shared" si="4"/>
        <v>124.4704931403199</v>
      </c>
      <c r="G17" s="115">
        <f t="shared" si="4"/>
        <v>141.78886302027044</v>
      </c>
      <c r="H17" s="115">
        <f t="shared" si="4"/>
        <v>161.77368615825534</v>
      </c>
      <c r="I17" s="115">
        <f t="shared" si="4"/>
        <v>184.87418179515453</v>
      </c>
      <c r="J17" s="115">
        <f t="shared" si="4"/>
        <v>211.62177208925232</v>
      </c>
      <c r="K17" s="115">
        <f t="shared" si="4"/>
        <v>242.6463230183634</v>
      </c>
      <c r="L17" s="115">
        <f t="shared" si="4"/>
        <v>278.69583130665904</v>
      </c>
      <c r="M17" s="115">
        <f t="shared" si="4"/>
        <v>320.66033898071754</v>
      </c>
      <c r="N17" s="115">
        <f t="shared" si="4"/>
        <v>369.60104591465722</v>
      </c>
      <c r="O17" s="115">
        <f t="shared" si="4"/>
        <v>426.7858278559479</v>
      </c>
      <c r="P17" s="115">
        <f t="shared" si="4"/>
        <v>493.73266605388829</v>
      </c>
      <c r="Q17" s="115">
        <f t="shared" si="4"/>
        <v>572.26287162237077</v>
      </c>
      <c r="R17" s="131">
        <f t="shared" si="1"/>
        <v>0.15070844060254737</v>
      </c>
      <c r="S17" s="113" t="s">
        <v>62</v>
      </c>
      <c r="T17" s="135">
        <v>0.10000000000000007</v>
      </c>
      <c r="U17" s="135">
        <v>0.10141235431140461</v>
      </c>
      <c r="V17" s="135">
        <v>0.10284465606981855</v>
      </c>
      <c r="W17" s="135">
        <v>0.10429718700386978</v>
      </c>
      <c r="X17" s="135">
        <v>0.10577023282119258</v>
      </c>
      <c r="Y17" s="135">
        <v>0.1072640832646253</v>
      </c>
      <c r="Z17" s="135">
        <v>0.10877903216920175</v>
      </c>
      <c r="AA17" s="135">
        <v>0.11031537751994758</v>
      </c>
      <c r="AB17" s="135">
        <v>0.11187342151049273</v>
      </c>
      <c r="AC17" s="135">
        <v>0.11345347060251193</v>
      </c>
      <c r="AD17" s="135">
        <v>0.11505583558600457</v>
      </c>
      <c r="AE17" s="135">
        <v>0.11668083164042599</v>
      </c>
      <c r="AF17" s="135">
        <v>0.11832877839668221</v>
      </c>
      <c r="AG17" s="135">
        <v>0.12000000000000006</v>
      </c>
    </row>
    <row r="18" spans="1:33" s="117" customFormat="1" x14ac:dyDescent="0.35">
      <c r="A18" s="148"/>
      <c r="B18" s="113" t="s">
        <v>63</v>
      </c>
      <c r="C18" s="114"/>
      <c r="D18" s="115">
        <f>D14*T18</f>
        <v>67.458299999999994</v>
      </c>
      <c r="E18" s="115">
        <f>E14*U18</f>
        <v>75.941770659471317</v>
      </c>
      <c r="F18" s="115">
        <f t="shared" ref="F18:Q18" si="5">F14*V18</f>
        <v>85.623395578071325</v>
      </c>
      <c r="G18" s="115">
        <f t="shared" si="5"/>
        <v>96.690132367976432</v>
      </c>
      <c r="H18" s="115">
        <f t="shared" si="5"/>
        <v>109.36085940151213</v>
      </c>
      <c r="I18" s="115">
        <f t="shared" si="5"/>
        <v>123.8922945071903</v>
      </c>
      <c r="J18" s="115">
        <f t="shared" si="5"/>
        <v>140.58609773507339</v>
      </c>
      <c r="K18" s="115">
        <f t="shared" si="5"/>
        <v>159.79741234529942</v>
      </c>
      <c r="L18" s="115">
        <f t="shared" si="5"/>
        <v>181.94515643224696</v>
      </c>
      <c r="M18" s="115">
        <f t="shared" si="5"/>
        <v>207.52445006311987</v>
      </c>
      <c r="N18" s="115">
        <f t="shared" si="5"/>
        <v>237.12165315853417</v>
      </c>
      <c r="O18" s="115">
        <f t="shared" si="5"/>
        <v>271.43260225431607</v>
      </c>
      <c r="P18" s="115">
        <f t="shared" si="5"/>
        <v>311.28477573430098</v>
      </c>
      <c r="Q18" s="115">
        <f t="shared" si="5"/>
        <v>357.66429476398093</v>
      </c>
      <c r="R18" s="131">
        <f t="shared" si="1"/>
        <v>0.14072063291044332</v>
      </c>
      <c r="S18" s="113" t="s">
        <v>63</v>
      </c>
      <c r="T18" s="135">
        <v>7.0000000000000007E-2</v>
      </c>
      <c r="U18" s="135">
        <v>7.0372487625680713E-2</v>
      </c>
      <c r="V18" s="135">
        <v>7.0746957351808359E-2</v>
      </c>
      <c r="W18" s="135">
        <v>7.1123419725638515E-2</v>
      </c>
      <c r="X18" s="135">
        <v>7.1501885350551325E-2</v>
      </c>
      <c r="Y18" s="135">
        <v>7.1882364886350206E-2</v>
      </c>
      <c r="Z18" s="135">
        <v>7.2264869049562072E-2</v>
      </c>
      <c r="AA18" s="135">
        <v>7.2649408613739211E-2</v>
      </c>
      <c r="AB18" s="135">
        <v>7.3035994409762647E-2</v>
      </c>
      <c r="AC18" s="135">
        <v>7.3424637326147249E-2</v>
      </c>
      <c r="AD18" s="135">
        <v>7.3815348309348452E-2</v>
      </c>
      <c r="AE18" s="135">
        <v>7.4208138364070517E-2</v>
      </c>
      <c r="AF18" s="135">
        <v>7.4603018553576511E-2</v>
      </c>
      <c r="AG18" s="135">
        <v>7.4999999999999886E-2</v>
      </c>
    </row>
    <row r="19" spans="1:33" s="117" customFormat="1" x14ac:dyDescent="0.35">
      <c r="A19" s="148"/>
      <c r="B19" s="113" t="s">
        <v>64</v>
      </c>
      <c r="C19" s="114"/>
      <c r="D19" s="115">
        <f>D14*T19</f>
        <v>318.01769999999982</v>
      </c>
      <c r="E19" s="115">
        <f>E14*U19</f>
        <v>349.51688176313695</v>
      </c>
      <c r="F19" s="115">
        <f t="shared" ref="F19:Q19" si="6">F14*V19</f>
        <v>384.50711830283655</v>
      </c>
      <c r="G19" s="115">
        <f t="shared" si="6"/>
        <v>423.40785745602244</v>
      </c>
      <c r="H19" s="115">
        <f t="shared" si="6"/>
        <v>466.69183417462114</v>
      </c>
      <c r="I19" s="115">
        <f t="shared" si="6"/>
        <v>514.8919839826101</v>
      </c>
      <c r="J19" s="115">
        <f t="shared" si="6"/>
        <v>568.60921219849706</v>
      </c>
      <c r="K19" s="115">
        <f t="shared" si="6"/>
        <v>628.52110060332416</v>
      </c>
      <c r="L19" s="115">
        <f t="shared" si="6"/>
        <v>695.39163067068773</v>
      </c>
      <c r="M19" s="115">
        <f t="shared" si="6"/>
        <v>770.08199452991914</v>
      </c>
      <c r="N19" s="115">
        <f t="shared" si="6"/>
        <v>853.56254898220845</v>
      </c>
      <c r="O19" s="115">
        <f t="shared" si="6"/>
        <v>946.92594063066042</v>
      </c>
      <c r="P19" s="115">
        <f t="shared" si="6"/>
        <v>1051.4013866816122</v>
      </c>
      <c r="Q19" s="115">
        <f t="shared" si="6"/>
        <v>1168.3700295623405</v>
      </c>
      <c r="R19" s="131">
        <f t="shared" si="1"/>
        <v>0.10734603830747022</v>
      </c>
      <c r="S19" s="113" t="s">
        <v>64</v>
      </c>
      <c r="T19" s="135">
        <f>1-SUM(T15:T18)</f>
        <v>0.32999999999999985</v>
      </c>
      <c r="U19" s="135">
        <f t="shared" ref="U19:AG19" si="7">1-SUM(U15:U18)</f>
        <v>0.32388463191271732</v>
      </c>
      <c r="V19" s="135">
        <f t="shared" si="7"/>
        <v>0.31770182105466849</v>
      </c>
      <c r="W19" s="135">
        <f t="shared" si="7"/>
        <v>0.31145075535083011</v>
      </c>
      <c r="X19" s="135">
        <f t="shared" si="7"/>
        <v>0.30513061257756424</v>
      </c>
      <c r="Y19" s="135">
        <f t="shared" si="7"/>
        <v>0.29874056023352391</v>
      </c>
      <c r="Z19" s="135">
        <f t="shared" si="7"/>
        <v>0.29227975540890061</v>
      </c>
      <c r="AA19" s="135">
        <f t="shared" si="7"/>
        <v>0.28574734465298846</v>
      </c>
      <c r="AB19" s="135">
        <f t="shared" si="7"/>
        <v>0.27914246384004637</v>
      </c>
      <c r="AC19" s="135">
        <f t="shared" si="7"/>
        <v>0.27246423803343423</v>
      </c>
      <c r="AD19" s="135">
        <f t="shared" si="7"/>
        <v>0.26571178134800122</v>
      </c>
      <c r="AE19" s="135">
        <f t="shared" si="7"/>
        <v>0.25888419681070318</v>
      </c>
      <c r="AF19" s="135">
        <f t="shared" si="7"/>
        <v>0.25198057621942738</v>
      </c>
      <c r="AG19" s="135">
        <f t="shared" si="7"/>
        <v>0.24500000000000022</v>
      </c>
    </row>
    <row r="20" spans="1:33" x14ac:dyDescent="0.35">
      <c r="A20" s="1"/>
      <c r="D20" s="81" t="b">
        <f>D14=SUM(D15:D19)</f>
        <v>1</v>
      </c>
      <c r="E20" s="81" t="b">
        <f>E14=SUM(E15:E19)</f>
        <v>1</v>
      </c>
      <c r="F20" s="81" t="b">
        <f t="shared" ref="F20:Q20" si="8">F14=SUM(F15:F19)</f>
        <v>1</v>
      </c>
      <c r="G20" s="81" t="b">
        <f t="shared" si="8"/>
        <v>1</v>
      </c>
      <c r="H20" s="81" t="b">
        <f t="shared" si="8"/>
        <v>1</v>
      </c>
      <c r="I20" s="81" t="b">
        <f t="shared" si="8"/>
        <v>1</v>
      </c>
      <c r="J20" s="81" t="b">
        <f t="shared" si="8"/>
        <v>1</v>
      </c>
      <c r="K20" s="81" t="b">
        <f t="shared" si="8"/>
        <v>1</v>
      </c>
      <c r="L20" s="81" t="b">
        <f t="shared" si="8"/>
        <v>1</v>
      </c>
      <c r="M20" s="81" t="b">
        <f t="shared" si="8"/>
        <v>1</v>
      </c>
      <c r="N20" s="81" t="b">
        <f t="shared" si="8"/>
        <v>1</v>
      </c>
      <c r="O20" s="81" t="b">
        <f t="shared" si="8"/>
        <v>1</v>
      </c>
      <c r="P20" s="81" t="b">
        <f t="shared" si="8"/>
        <v>1</v>
      </c>
      <c r="Q20" s="81" t="b">
        <f t="shared" si="8"/>
        <v>1</v>
      </c>
      <c r="R20" s="21"/>
      <c r="T20" s="12"/>
    </row>
    <row r="21" spans="1:33" s="117" customFormat="1" x14ac:dyDescent="0.35">
      <c r="A21" s="149" t="s">
        <v>65</v>
      </c>
      <c r="B21" s="122" t="s">
        <v>66</v>
      </c>
      <c r="C21" s="123"/>
      <c r="D21" s="124">
        <f>D14*T21</f>
        <v>674.58299999999986</v>
      </c>
      <c r="E21" s="124">
        <f t="shared" ref="E21:Q21" si="9">E14*U21</f>
        <v>755.48105417399995</v>
      </c>
      <c r="F21" s="124">
        <f t="shared" si="9"/>
        <v>847.37990125318788</v>
      </c>
      <c r="G21" s="124">
        <f t="shared" si="9"/>
        <v>951.94249694726977</v>
      </c>
      <c r="H21" s="124">
        <f t="shared" si="9"/>
        <v>1071.1081351321097</v>
      </c>
      <c r="I21" s="124">
        <f t="shared" si="9"/>
        <v>1207.1424914125664</v>
      </c>
      <c r="J21" s="124">
        <f t="shared" si="9"/>
        <v>1362.6974711360174</v>
      </c>
      <c r="K21" s="124">
        <f t="shared" si="9"/>
        <v>1540.8829271740651</v>
      </c>
      <c r="L21" s="124">
        <f t="shared" si="9"/>
        <v>1745.3527782137755</v>
      </c>
      <c r="M21" s="124">
        <f t="shared" si="9"/>
        <v>1980.4086354747615</v>
      </c>
      <c r="N21" s="124">
        <f t="shared" si="9"/>
        <v>2251.1247631895249</v>
      </c>
      <c r="O21" s="124">
        <f t="shared" si="9"/>
        <v>2563.4990920415739</v>
      </c>
      <c r="P21" s="124">
        <f t="shared" si="9"/>
        <v>2924.6361211283215</v>
      </c>
      <c r="Q21" s="124">
        <f t="shared" si="9"/>
        <v>3342.9689417273471</v>
      </c>
      <c r="R21" s="131">
        <f>RATE(9,,-H21,Q21)</f>
        <v>0.13480728145445026</v>
      </c>
      <c r="S21" s="122" t="s">
        <v>66</v>
      </c>
      <c r="T21" s="135">
        <v>0.7</v>
      </c>
      <c r="U21" s="135">
        <v>0.70007692307692304</v>
      </c>
      <c r="V21" s="135">
        <v>0.70015384615384613</v>
      </c>
      <c r="W21" s="135">
        <v>0.70023076923076921</v>
      </c>
      <c r="X21" s="135">
        <v>0.7003076923076923</v>
      </c>
      <c r="Y21" s="135">
        <v>0.70038461538461538</v>
      </c>
      <c r="Z21" s="135">
        <v>0.70046153846153836</v>
      </c>
      <c r="AA21" s="135">
        <v>0.70053846153846144</v>
      </c>
      <c r="AB21" s="135">
        <v>0.70061538461538453</v>
      </c>
      <c r="AC21" s="135">
        <v>0.70069230769230761</v>
      </c>
      <c r="AD21" s="135">
        <v>0.7007692307692307</v>
      </c>
      <c r="AE21" s="135">
        <v>0.70084615384615379</v>
      </c>
      <c r="AF21" s="135">
        <v>0.70092307692307687</v>
      </c>
      <c r="AG21" s="135">
        <v>0.70099999999999996</v>
      </c>
    </row>
    <row r="22" spans="1:33" s="117" customFormat="1" x14ac:dyDescent="0.35">
      <c r="A22" s="149"/>
      <c r="B22" s="122" t="s">
        <v>67</v>
      </c>
      <c r="C22" s="123"/>
      <c r="D22" s="124">
        <f>D14*T22</f>
        <v>192.73799999999997</v>
      </c>
      <c r="E22" s="124">
        <f t="shared" ref="E22:Q22" si="10">E14*U22</f>
        <v>215.91102317399998</v>
      </c>
      <c r="F22" s="124">
        <f t="shared" si="10"/>
        <v>242.24154065708578</v>
      </c>
      <c r="G22" s="124">
        <f t="shared" si="10"/>
        <v>272.20765896448904</v>
      </c>
      <c r="H22" s="124">
        <f t="shared" si="10"/>
        <v>306.36704568146024</v>
      </c>
      <c r="I22" s="124">
        <f t="shared" si="10"/>
        <v>345.37135531353493</v>
      </c>
      <c r="J22" s="124">
        <f t="shared" si="10"/>
        <v>389.98348449159482</v>
      </c>
      <c r="K22" s="124">
        <f t="shared" si="10"/>
        <v>441.09825311768839</v>
      </c>
      <c r="L22" s="124">
        <f t="shared" si="10"/>
        <v>499.76724259788398</v>
      </c>
      <c r="M22" s="124">
        <f t="shared" si="10"/>
        <v>567.22868920338715</v>
      </c>
      <c r="N22" s="124">
        <f t="shared" si="10"/>
        <v>644.94353808174105</v>
      </c>
      <c r="O22" s="124">
        <f t="shared" si="10"/>
        <v>734.63902198666995</v>
      </c>
      <c r="P22" s="124">
        <f t="shared" si="10"/>
        <v>838.36145175451884</v>
      </c>
      <c r="Q22" s="124">
        <f t="shared" si="10"/>
        <v>958.54030996747053</v>
      </c>
      <c r="R22" s="131">
        <f>RATE(9,,-H22,Q22)</f>
        <v>0.13511777870828989</v>
      </c>
      <c r="S22" s="122" t="s">
        <v>67</v>
      </c>
      <c r="T22" s="135">
        <v>0.2</v>
      </c>
      <c r="U22" s="135">
        <v>0.20007692307692307</v>
      </c>
      <c r="V22" s="135">
        <v>0.20015384615384615</v>
      </c>
      <c r="W22" s="135">
        <v>0.20023076923076924</v>
      </c>
      <c r="X22" s="135">
        <v>0.2003076923076923</v>
      </c>
      <c r="Y22" s="135">
        <v>0.20038461538461538</v>
      </c>
      <c r="Z22" s="135">
        <v>0.20046153846153847</v>
      </c>
      <c r="AA22" s="135">
        <v>0.20053846153846155</v>
      </c>
      <c r="AB22" s="135">
        <v>0.20061538461538461</v>
      </c>
      <c r="AC22" s="135">
        <v>0.2006923076923077</v>
      </c>
      <c r="AD22" s="135">
        <v>0.20076923076923078</v>
      </c>
      <c r="AE22" s="135">
        <v>0.20084615384615384</v>
      </c>
      <c r="AF22" s="135">
        <v>0.20092307692307693</v>
      </c>
      <c r="AG22" s="135">
        <v>0.20100000000000001</v>
      </c>
    </row>
    <row r="23" spans="1:33" s="117" customFormat="1" x14ac:dyDescent="0.35">
      <c r="A23" s="149"/>
      <c r="B23" s="122" t="s">
        <v>68</v>
      </c>
      <c r="C23" s="123"/>
      <c r="D23" s="124">
        <f>D14*T23</f>
        <v>96.369000000000071</v>
      </c>
      <c r="E23" s="124">
        <f t="shared" ref="E23:L23" si="11">E14*U23</f>
        <v>107.74798465200007</v>
      </c>
      <c r="F23" s="124">
        <f t="shared" si="11"/>
        <v>120.65527928193058</v>
      </c>
      <c r="G23" s="124">
        <f t="shared" si="11"/>
        <v>135.31952005380288</v>
      </c>
      <c r="H23" s="124">
        <f t="shared" si="11"/>
        <v>152.00699808772916</v>
      </c>
      <c r="I23" s="124">
        <f t="shared" si="11"/>
        <v>171.02842547196164</v>
      </c>
      <c r="J23" s="124">
        <f t="shared" si="11"/>
        <v>192.74701766123351</v>
      </c>
      <c r="K23" s="124">
        <f t="shared" si="11"/>
        <v>217.58816782100027</v>
      </c>
      <c r="L23" s="124">
        <f t="shared" si="11"/>
        <v>246.051050420124</v>
      </c>
      <c r="M23" s="124">
        <f>M14*AC23</f>
        <v>278.72256786460048</v>
      </c>
      <c r="N23" s="124">
        <f t="shared" ref="N23:Q23" si="12">N14*AD23</f>
        <v>316.29414894430215</v>
      </c>
      <c r="O23" s="124">
        <f t="shared" si="12"/>
        <v>359.58202608156466</v>
      </c>
      <c r="P23" s="124">
        <f t="shared" si="12"/>
        <v>409.5517658647654</v>
      </c>
      <c r="Q23" s="124">
        <f t="shared" si="12"/>
        <v>467.34801182493624</v>
      </c>
      <c r="R23" s="131">
        <f>RATE(9,,-H23,Q23)</f>
        <v>0.13291525341250376</v>
      </c>
      <c r="S23" s="122" t="s">
        <v>68</v>
      </c>
      <c r="T23" s="135">
        <f>1-SUM(T21:T22)</f>
        <v>0.10000000000000009</v>
      </c>
      <c r="U23" s="135">
        <f t="shared" ref="U23:AG23" si="13">1-SUM(U21:U22)</f>
        <v>9.9846153846153918E-2</v>
      </c>
      <c r="V23" s="135">
        <f t="shared" si="13"/>
        <v>9.9692307692307747E-2</v>
      </c>
      <c r="W23" s="135">
        <f t="shared" si="13"/>
        <v>9.9538461538461576E-2</v>
      </c>
      <c r="X23" s="135">
        <f t="shared" si="13"/>
        <v>9.9384615384615405E-2</v>
      </c>
      <c r="Y23" s="135">
        <f t="shared" si="13"/>
        <v>9.9230769230769234E-2</v>
      </c>
      <c r="Z23" s="135">
        <f t="shared" si="13"/>
        <v>9.9076923076923173E-2</v>
      </c>
      <c r="AA23" s="135">
        <f t="shared" si="13"/>
        <v>9.8923076923077002E-2</v>
      </c>
      <c r="AB23" s="135">
        <f t="shared" si="13"/>
        <v>9.8769230769230831E-2</v>
      </c>
      <c r="AC23" s="135">
        <f t="shared" si="13"/>
        <v>9.861538461538466E-2</v>
      </c>
      <c r="AD23" s="135">
        <f t="shared" si="13"/>
        <v>9.8461538461538489E-2</v>
      </c>
      <c r="AE23" s="135">
        <f t="shared" si="13"/>
        <v>9.8307692307692429E-2</v>
      </c>
      <c r="AF23" s="135">
        <f t="shared" si="13"/>
        <v>9.8153846153846258E-2</v>
      </c>
      <c r="AG23" s="135">
        <f t="shared" si="13"/>
        <v>9.8000000000000087E-2</v>
      </c>
    </row>
    <row r="24" spans="1:33" ht="15" thickBot="1" x14ac:dyDescent="0.4">
      <c r="A24" s="1"/>
      <c r="D24" s="81" t="b">
        <f>D14=SUM(D21:D23)</f>
        <v>1</v>
      </c>
      <c r="E24" s="81" t="b">
        <f t="shared" ref="E24:Q24" si="14">E14=SUM(E21:E23)</f>
        <v>1</v>
      </c>
      <c r="F24" s="81" t="b">
        <f t="shared" si="14"/>
        <v>1</v>
      </c>
      <c r="G24" s="81" t="b">
        <f t="shared" si="14"/>
        <v>1</v>
      </c>
      <c r="H24" s="81" t="b">
        <f t="shared" si="14"/>
        <v>1</v>
      </c>
      <c r="I24" s="81" t="b">
        <f t="shared" si="14"/>
        <v>1</v>
      </c>
      <c r="J24" s="81" t="b">
        <f t="shared" si="14"/>
        <v>1</v>
      </c>
      <c r="K24" s="81" t="b">
        <f t="shared" si="14"/>
        <v>1</v>
      </c>
      <c r="L24" s="81" t="b">
        <f t="shared" si="14"/>
        <v>1</v>
      </c>
      <c r="M24" s="81" t="b">
        <f t="shared" si="14"/>
        <v>1</v>
      </c>
      <c r="N24" s="81" t="b">
        <f t="shared" si="14"/>
        <v>1</v>
      </c>
      <c r="O24" s="81" t="b">
        <f t="shared" si="14"/>
        <v>1</v>
      </c>
      <c r="P24" s="81" t="b">
        <f t="shared" si="14"/>
        <v>1</v>
      </c>
      <c r="Q24" s="81" t="b">
        <f t="shared" si="14"/>
        <v>1</v>
      </c>
      <c r="R24" s="21"/>
    </row>
    <row r="25" spans="1:33" s="117" customFormat="1" x14ac:dyDescent="0.35">
      <c r="A25" s="149" t="s">
        <v>69</v>
      </c>
      <c r="B25" s="125" t="s">
        <v>70</v>
      </c>
      <c r="C25" s="126"/>
      <c r="D25" s="127">
        <f>D14*T25</f>
        <v>289.10699999999986</v>
      </c>
      <c r="E25" s="127">
        <f t="shared" ref="E25:Q25" si="15">E14*U25</f>
        <v>326.35137985710401</v>
      </c>
      <c r="F25" s="127">
        <f t="shared" si="15"/>
        <v>368.95950308888973</v>
      </c>
      <c r="G25" s="127">
        <f t="shared" si="15"/>
        <v>417.78219606222024</v>
      </c>
      <c r="H25" s="127">
        <f t="shared" si="15"/>
        <v>473.81762087088322</v>
      </c>
      <c r="I25" s="127">
        <f t="shared" si="15"/>
        <v>538.23893340740801</v>
      </c>
      <c r="J25" s="127">
        <f t="shared" si="15"/>
        <v>612.4275355547345</v>
      </c>
      <c r="K25" s="127">
        <f t="shared" si="15"/>
        <v>698.01313414102663</v>
      </c>
      <c r="L25" s="127">
        <f t="shared" si="15"/>
        <v>796.92209977118819</v>
      </c>
      <c r="M25" s="127">
        <f t="shared" si="15"/>
        <v>911.43596808011785</v>
      </c>
      <c r="N25" s="127">
        <f t="shared" si="15"/>
        <v>1044.262362317008</v>
      </c>
      <c r="O25" s="127">
        <f t="shared" si="15"/>
        <v>1198.6211623900424</v>
      </c>
      <c r="P25" s="127">
        <f t="shared" si="15"/>
        <v>1378.3494308899933</v>
      </c>
      <c r="Q25" s="127">
        <f t="shared" si="15"/>
        <v>1588.0294687520773</v>
      </c>
      <c r="R25" s="131">
        <f>RATE(9,,-H25,Q25)</f>
        <v>0.14382824518497248</v>
      </c>
      <c r="S25" s="125" t="s">
        <v>70</v>
      </c>
      <c r="T25" s="136">
        <v>0.29999999999999993</v>
      </c>
      <c r="U25" s="136">
        <v>0.30241800054412588</v>
      </c>
      <c r="V25" s="136">
        <v>0.30485549017702313</v>
      </c>
      <c r="W25" s="136">
        <v>0.30731262598078252</v>
      </c>
      <c r="X25" s="136">
        <v>0.30978956630357685</v>
      </c>
      <c r="Y25" s="136">
        <v>0.31228647076986549</v>
      </c>
      <c r="Z25" s="136">
        <v>0.31480350029068122</v>
      </c>
      <c r="AA25" s="136">
        <v>0.31734081707399991</v>
      </c>
      <c r="AB25" s="136">
        <v>0.31989858463519422</v>
      </c>
      <c r="AC25" s="136">
        <v>0.32247696780757096</v>
      </c>
      <c r="AD25" s="136">
        <v>0.32507613275299363</v>
      </c>
      <c r="AE25" s="136">
        <v>0.32769624697259059</v>
      </c>
      <c r="AF25" s="136">
        <v>0.33033747931754981</v>
      </c>
      <c r="AG25" s="136">
        <v>0.33299999999999985</v>
      </c>
    </row>
    <row r="26" spans="1:33" s="117" customFormat="1" x14ac:dyDescent="0.35">
      <c r="A26" s="149"/>
      <c r="B26" s="125" t="s">
        <v>71</v>
      </c>
      <c r="C26" s="126"/>
      <c r="D26" s="127">
        <f>D14*T26</f>
        <v>192.738</v>
      </c>
      <c r="E26" s="127">
        <f t="shared" ref="E26:Q26" si="16">E14*U26</f>
        <v>217.41618151770791</v>
      </c>
      <c r="F26" s="127">
        <f t="shared" si="16"/>
        <v>245.63077647325841</v>
      </c>
      <c r="G26" s="127">
        <f t="shared" si="16"/>
        <v>277.94040021291084</v>
      </c>
      <c r="H26" s="127">
        <f t="shared" si="16"/>
        <v>315.00005350252462</v>
      </c>
      <c r="I26" s="127">
        <f t="shared" si="16"/>
        <v>357.5791590841846</v>
      </c>
      <c r="J26" s="127">
        <f t="shared" si="16"/>
        <v>406.58323608769985</v>
      </c>
      <c r="K26" s="127">
        <f t="shared" si="16"/>
        <v>463.07999889033198</v>
      </c>
      <c r="L26" s="127">
        <f t="shared" si="16"/>
        <v>528.33084853107698</v>
      </c>
      <c r="M26" s="127">
        <f t="shared" si="16"/>
        <v>603.82895083514245</v>
      </c>
      <c r="N26" s="127">
        <f t="shared" si="16"/>
        <v>691.34537757396561</v>
      </c>
      <c r="O26" s="127">
        <f t="shared" si="16"/>
        <v>792.98514004608228</v>
      </c>
      <c r="P26" s="127">
        <f t="shared" si="16"/>
        <v>911.25538729455718</v>
      </c>
      <c r="Q26" s="127">
        <f t="shared" si="16"/>
        <v>1049.1485979743461</v>
      </c>
      <c r="R26" s="131">
        <f>RATE(9,,-H26,Q26)</f>
        <v>0.14303225631728772</v>
      </c>
      <c r="S26" s="125" t="s">
        <v>71</v>
      </c>
      <c r="T26" s="135">
        <v>0.20000000000000004</v>
      </c>
      <c r="U26" s="135">
        <v>0.20147169878464574</v>
      </c>
      <c r="V26" s="135">
        <v>0.20295422705585509</v>
      </c>
      <c r="W26" s="135">
        <v>0.20444766450233912</v>
      </c>
      <c r="X26" s="135">
        <v>0.20595209139919785</v>
      </c>
      <c r="Y26" s="135">
        <v>0.20746758861223505</v>
      </c>
      <c r="Z26" s="135">
        <v>0.20899423760230507</v>
      </c>
      <c r="AA26" s="135">
        <v>0.21053212042969136</v>
      </c>
      <c r="AB26" s="135">
        <v>0.21208131975851768</v>
      </c>
      <c r="AC26" s="135">
        <v>0.21364191886119097</v>
      </c>
      <c r="AD26" s="135">
        <v>0.21521400162287799</v>
      </c>
      <c r="AE26" s="135">
        <v>0.21679765254601358</v>
      </c>
      <c r="AF26" s="135">
        <v>0.21839295675484363</v>
      </c>
      <c r="AG26" s="135">
        <v>0.22000000000000006</v>
      </c>
    </row>
    <row r="27" spans="1:33" s="117" customFormat="1" x14ac:dyDescent="0.35">
      <c r="A27" s="149"/>
      <c r="B27" s="125" t="s">
        <v>72</v>
      </c>
      <c r="C27" s="126"/>
      <c r="D27" s="127">
        <f>D14*T27</f>
        <v>144.55349999999996</v>
      </c>
      <c r="E27" s="127">
        <f t="shared" ref="E27:Q27" si="17">E14*U27</f>
        <v>163.06213613828089</v>
      </c>
      <c r="F27" s="127">
        <f t="shared" si="17"/>
        <v>184.22308235494378</v>
      </c>
      <c r="G27" s="127">
        <f t="shared" si="17"/>
        <v>208.45530015968311</v>
      </c>
      <c r="H27" s="127">
        <f t="shared" si="17"/>
        <v>236.25004012689345</v>
      </c>
      <c r="I27" s="127">
        <f t="shared" si="17"/>
        <v>268.1843693131384</v>
      </c>
      <c r="J27" s="127">
        <f t="shared" si="17"/>
        <v>304.93742706577484</v>
      </c>
      <c r="K27" s="127">
        <f t="shared" si="17"/>
        <v>347.30999916774897</v>
      </c>
      <c r="L27" s="127">
        <f t="shared" si="17"/>
        <v>396.24813639830757</v>
      </c>
      <c r="M27" s="127">
        <f t="shared" si="17"/>
        <v>452.87171312635678</v>
      </c>
      <c r="N27" s="127">
        <f t="shared" si="17"/>
        <v>518.50903318047403</v>
      </c>
      <c r="O27" s="127">
        <f t="shared" si="17"/>
        <v>594.73885503456165</v>
      </c>
      <c r="P27" s="127">
        <f t="shared" si="17"/>
        <v>683.44154047091774</v>
      </c>
      <c r="Q27" s="127">
        <f t="shared" si="17"/>
        <v>786.86144848075935</v>
      </c>
      <c r="R27" s="131">
        <f>RATE(9,,-H27,Q27)</f>
        <v>0.14303225631728758</v>
      </c>
      <c r="S27" s="125" t="s">
        <v>72</v>
      </c>
      <c r="T27" s="135">
        <v>0.15</v>
      </c>
      <c r="U27" s="135">
        <v>0.15110377408848427</v>
      </c>
      <c r="V27" s="135">
        <v>0.15221567029189129</v>
      </c>
      <c r="W27" s="135">
        <v>0.15333574837675432</v>
      </c>
      <c r="X27" s="135">
        <v>0.15446406854939837</v>
      </c>
      <c r="Y27" s="135">
        <v>0.15560069145917627</v>
      </c>
      <c r="Z27" s="135">
        <v>0.15674567820172877</v>
      </c>
      <c r="AA27" s="135">
        <v>0.15789909032226851</v>
      </c>
      <c r="AB27" s="135">
        <v>0.15906098981888822</v>
      </c>
      <c r="AC27" s="135">
        <v>0.16023143914589322</v>
      </c>
      <c r="AD27" s="135">
        <v>0.16141050121715844</v>
      </c>
      <c r="AE27" s="135">
        <v>0.16259823940951015</v>
      </c>
      <c r="AF27" s="135">
        <v>0.1637947175661327</v>
      </c>
      <c r="AG27" s="135">
        <v>0.16500000000000001</v>
      </c>
    </row>
    <row r="28" spans="1:33" s="117" customFormat="1" x14ac:dyDescent="0.35">
      <c r="A28" s="149"/>
      <c r="B28" s="125" t="s">
        <v>73</v>
      </c>
      <c r="C28" s="126"/>
      <c r="D28" s="127">
        <f>D14*T28</f>
        <v>67.458299999999994</v>
      </c>
      <c r="E28" s="127">
        <f t="shared" ref="E28:Q28" si="18">E14*U28</f>
        <v>75.941770659471317</v>
      </c>
      <c r="F28" s="127">
        <f t="shared" si="18"/>
        <v>85.623395578071325</v>
      </c>
      <c r="G28" s="127">
        <f t="shared" si="18"/>
        <v>96.690132367976432</v>
      </c>
      <c r="H28" s="127">
        <f t="shared" si="18"/>
        <v>109.36085940151213</v>
      </c>
      <c r="I28" s="127">
        <f t="shared" si="18"/>
        <v>123.8922945071903</v>
      </c>
      <c r="J28" s="127">
        <f t="shared" si="18"/>
        <v>140.58609773507339</v>
      </c>
      <c r="K28" s="127">
        <f t="shared" si="18"/>
        <v>159.79741234529942</v>
      </c>
      <c r="L28" s="127">
        <f t="shared" si="18"/>
        <v>181.94515643224696</v>
      </c>
      <c r="M28" s="127">
        <f t="shared" si="18"/>
        <v>207.52445006311987</v>
      </c>
      <c r="N28" s="127">
        <f t="shared" si="18"/>
        <v>237.12165315853417</v>
      </c>
      <c r="O28" s="127">
        <f t="shared" si="18"/>
        <v>271.43260225431607</v>
      </c>
      <c r="P28" s="127">
        <f t="shared" si="18"/>
        <v>311.28477573430098</v>
      </c>
      <c r="Q28" s="127">
        <f t="shared" si="18"/>
        <v>357.66429476398093</v>
      </c>
      <c r="R28" s="131">
        <f>RATE(9,,-H28,Q28)</f>
        <v>0.14072063291044332</v>
      </c>
      <c r="S28" s="125" t="s">
        <v>73</v>
      </c>
      <c r="T28" s="135">
        <v>7.0000000000000007E-2</v>
      </c>
      <c r="U28" s="135">
        <v>7.0372487625680713E-2</v>
      </c>
      <c r="V28" s="135">
        <v>7.0746957351808359E-2</v>
      </c>
      <c r="W28" s="135">
        <v>7.1123419725638515E-2</v>
      </c>
      <c r="X28" s="135">
        <v>7.1501885350551325E-2</v>
      </c>
      <c r="Y28" s="135">
        <v>7.1882364886350206E-2</v>
      </c>
      <c r="Z28" s="135">
        <v>7.2264869049562072E-2</v>
      </c>
      <c r="AA28" s="135">
        <v>7.2649408613739211E-2</v>
      </c>
      <c r="AB28" s="135">
        <v>7.3035994409762647E-2</v>
      </c>
      <c r="AC28" s="135">
        <v>7.3424637326147249E-2</v>
      </c>
      <c r="AD28" s="135">
        <v>7.3815348309348452E-2</v>
      </c>
      <c r="AE28" s="135">
        <v>7.4208138364070517E-2</v>
      </c>
      <c r="AF28" s="135">
        <v>7.4603018553576511E-2</v>
      </c>
      <c r="AG28" s="135">
        <v>7.4999999999999886E-2</v>
      </c>
    </row>
    <row r="29" spans="1:33" s="117" customFormat="1" x14ac:dyDescent="0.35">
      <c r="A29" s="149"/>
      <c r="B29" s="125" t="s">
        <v>74</v>
      </c>
      <c r="C29" s="126"/>
      <c r="D29" s="127">
        <f>D14*T29</f>
        <v>269.83319999999998</v>
      </c>
      <c r="E29" s="127">
        <f t="shared" ref="E29:Q29" si="19">E14*U29</f>
        <v>296.3685938274358</v>
      </c>
      <c r="F29" s="127">
        <f t="shared" si="19"/>
        <v>325.8399636970409</v>
      </c>
      <c r="G29" s="127">
        <f t="shared" si="19"/>
        <v>358.60164716277103</v>
      </c>
      <c r="H29" s="127">
        <f t="shared" si="19"/>
        <v>395.0536049994858</v>
      </c>
      <c r="I29" s="127">
        <f t="shared" si="19"/>
        <v>435.64751588614189</v>
      </c>
      <c r="J29" s="127">
        <f t="shared" si="19"/>
        <v>480.89367684556305</v>
      </c>
      <c r="K29" s="127">
        <f t="shared" si="19"/>
        <v>531.36880356834661</v>
      </c>
      <c r="L29" s="127">
        <f t="shared" si="19"/>
        <v>587.72483009896416</v>
      </c>
      <c r="M29" s="127">
        <f t="shared" si="19"/>
        <v>650.69881043801217</v>
      </c>
      <c r="N29" s="127">
        <f t="shared" si="19"/>
        <v>721.12402398558675</v>
      </c>
      <c r="O29" s="127">
        <f t="shared" si="19"/>
        <v>799.94238038480614</v>
      </c>
      <c r="P29" s="127">
        <f t="shared" si="19"/>
        <v>888.21820435783582</v>
      </c>
      <c r="Q29" s="127">
        <f t="shared" si="19"/>
        <v>987.15345354858982</v>
      </c>
      <c r="R29" s="131">
        <f>RATE(9,,-H29,Q29)</f>
        <v>0.10711330773773536</v>
      </c>
      <c r="S29" s="125" t="s">
        <v>74</v>
      </c>
      <c r="T29" s="135">
        <f>1-SUM(T25:T28)</f>
        <v>0.28000000000000003</v>
      </c>
      <c r="U29" s="135">
        <f t="shared" ref="U29:AG29" si="20">1-SUM(U25:U28)</f>
        <v>0.2746340389570634</v>
      </c>
      <c r="V29" s="135">
        <f t="shared" si="20"/>
        <v>0.26922765512342217</v>
      </c>
      <c r="W29" s="135">
        <f t="shared" si="20"/>
        <v>0.26378054141448548</v>
      </c>
      <c r="X29" s="135">
        <f t="shared" si="20"/>
        <v>0.25829238839727564</v>
      </c>
      <c r="Y29" s="135">
        <f t="shared" si="20"/>
        <v>0.25276288427237303</v>
      </c>
      <c r="Z29" s="135">
        <f t="shared" si="20"/>
        <v>0.24719171485572278</v>
      </c>
      <c r="AA29" s="135">
        <f t="shared" si="20"/>
        <v>0.24157856356030094</v>
      </c>
      <c r="AB29" s="135">
        <f t="shared" si="20"/>
        <v>0.23592311137763733</v>
      </c>
      <c r="AC29" s="135">
        <f t="shared" si="20"/>
        <v>0.2302250368591976</v>
      </c>
      <c r="AD29" s="135">
        <f t="shared" si="20"/>
        <v>0.22448401609762159</v>
      </c>
      <c r="AE29" s="135">
        <f t="shared" si="20"/>
        <v>0.21869972270781524</v>
      </c>
      <c r="AF29" s="135">
        <f t="shared" si="20"/>
        <v>0.21287182780789726</v>
      </c>
      <c r="AG29" s="135">
        <f t="shared" si="20"/>
        <v>0.20700000000000018</v>
      </c>
    </row>
    <row r="30" spans="1:33" ht="15" thickBot="1" x14ac:dyDescent="0.4">
      <c r="A30" s="2"/>
      <c r="D30" s="81" t="b">
        <f>D14=SUM(D25:D29)</f>
        <v>1</v>
      </c>
      <c r="E30" s="81" t="b">
        <f t="shared" ref="E30:Q30" si="21">E14=SUM(E25:E29)</f>
        <v>1</v>
      </c>
      <c r="F30" s="81" t="b">
        <f t="shared" si="21"/>
        <v>1</v>
      </c>
      <c r="G30" s="81" t="b">
        <f t="shared" si="21"/>
        <v>1</v>
      </c>
      <c r="H30" s="81" t="b">
        <f t="shared" si="21"/>
        <v>1</v>
      </c>
      <c r="I30" s="81" t="b">
        <f t="shared" si="21"/>
        <v>1</v>
      </c>
      <c r="J30" s="81" t="b">
        <f t="shared" si="21"/>
        <v>1</v>
      </c>
      <c r="K30" s="81" t="b">
        <f t="shared" si="21"/>
        <v>1</v>
      </c>
      <c r="L30" s="81" t="b">
        <f t="shared" si="21"/>
        <v>1</v>
      </c>
      <c r="M30" s="81" t="b">
        <f t="shared" si="21"/>
        <v>1</v>
      </c>
      <c r="N30" s="81" t="b">
        <f t="shared" si="21"/>
        <v>1</v>
      </c>
      <c r="O30" s="81" t="b">
        <f t="shared" si="21"/>
        <v>1</v>
      </c>
      <c r="P30" s="81" t="b">
        <f t="shared" si="21"/>
        <v>0</v>
      </c>
      <c r="Q30" s="81" t="b">
        <f t="shared" si="21"/>
        <v>1</v>
      </c>
      <c r="R30" s="21"/>
    </row>
    <row r="31" spans="1:33" s="117" customFormat="1" x14ac:dyDescent="0.35">
      <c r="A31" s="149" t="s">
        <v>75</v>
      </c>
      <c r="B31" s="128" t="s">
        <v>76</v>
      </c>
      <c r="C31" s="129"/>
      <c r="D31" s="130">
        <f>D14*T31</f>
        <v>240.92249999999996</v>
      </c>
      <c r="E31" s="130">
        <f t="shared" ref="E31:Q31" si="22">E14*U31</f>
        <v>267.14512943750532</v>
      </c>
      <c r="F31" s="130">
        <f t="shared" si="22"/>
        <v>296.67678315060425</v>
      </c>
      <c r="G31" s="130">
        <f t="shared" si="22"/>
        <v>329.98776849577467</v>
      </c>
      <c r="H31" s="130">
        <f t="shared" si="22"/>
        <v>367.62257694177049</v>
      </c>
      <c r="I31" s="130">
        <f t="shared" si="22"/>
        <v>410.21272644643722</v>
      </c>
      <c r="J31" s="130">
        <f t="shared" si="22"/>
        <v>458.49202175313792</v>
      </c>
      <c r="K31" s="130">
        <f t="shared" si="22"/>
        <v>513.31472409375374</v>
      </c>
      <c r="L31" s="130">
        <f t="shared" si="22"/>
        <v>575.6772290213305</v>
      </c>
      <c r="M31" s="130">
        <f t="shared" si="22"/>
        <v>646.74398333256727</v>
      </c>
      <c r="N31" s="130">
        <f t="shared" si="22"/>
        <v>727.87853548393787</v>
      </c>
      <c r="O31" s="130">
        <f t="shared" si="22"/>
        <v>820.68081639538082</v>
      </c>
      <c r="P31" s="130">
        <f t="shared" si="22"/>
        <v>927.03199900267214</v>
      </c>
      <c r="Q31" s="130">
        <f t="shared" si="22"/>
        <v>1049.1485979743452</v>
      </c>
      <c r="R31" s="131">
        <f t="shared" ref="R31:R37" si="23">RATE(9,,-H31,Q31)</f>
        <v>0.12357966342170734</v>
      </c>
      <c r="S31" s="128" t="s">
        <v>76</v>
      </c>
      <c r="T31" s="136">
        <v>0.25</v>
      </c>
      <c r="U31" s="136">
        <v>0.2475537132245817</v>
      </c>
      <c r="V31" s="136">
        <v>0.24513136372511374</v>
      </c>
      <c r="W31" s="136">
        <v>0.24273271727182974</v>
      </c>
      <c r="X31" s="136">
        <v>0.24035754192693604</v>
      </c>
      <c r="Y31" s="136">
        <v>0.23800560802218437</v>
      </c>
      <c r="Z31" s="136">
        <v>0.23567668813666415</v>
      </c>
      <c r="AA31" s="136">
        <v>0.23337055707481172</v>
      </c>
      <c r="AB31" s="136">
        <v>0.23108699184463527</v>
      </c>
      <c r="AC31" s="136">
        <v>0.22882577163615236</v>
      </c>
      <c r="AD31" s="136">
        <v>0.22658667780003872</v>
      </c>
      <c r="AE31" s="136">
        <v>0.22436949382648591</v>
      </c>
      <c r="AF31" s="136">
        <v>0.22217400532426579</v>
      </c>
      <c r="AG31" s="136">
        <v>0.21999999999999989</v>
      </c>
    </row>
    <row r="32" spans="1:33" s="117" customFormat="1" x14ac:dyDescent="0.35">
      <c r="A32" s="149"/>
      <c r="B32" s="128" t="s">
        <v>77</v>
      </c>
      <c r="C32" s="129"/>
      <c r="D32" s="130">
        <f>D14*T32</f>
        <v>192.73799999999997</v>
      </c>
      <c r="E32" s="130">
        <f t="shared" ref="E32:Q32" si="24">E14*U32</f>
        <v>217.03203718545208</v>
      </c>
      <c r="F32" s="130">
        <f t="shared" si="24"/>
        <v>244.76355204246602</v>
      </c>
      <c r="G32" s="130">
        <f t="shared" si="24"/>
        <v>276.46975492781041</v>
      </c>
      <c r="H32" s="130">
        <f t="shared" si="24"/>
        <v>312.7797005919706</v>
      </c>
      <c r="I32" s="130">
        <f t="shared" si="24"/>
        <v>354.43133761418471</v>
      </c>
      <c r="J32" s="130">
        <f t="shared" si="24"/>
        <v>402.29197219225097</v>
      </c>
      <c r="K32" s="130">
        <f t="shared" si="24"/>
        <v>457.38287983877615</v>
      </c>
      <c r="L32" s="130">
        <f t="shared" si="24"/>
        <v>520.90896682619552</v>
      </c>
      <c r="M32" s="130">
        <f t="shared" si="24"/>
        <v>594.29459258651696</v>
      </c>
      <c r="N32" s="130">
        <f t="shared" si="24"/>
        <v>679.22692533947816</v>
      </c>
      <c r="O32" s="130">
        <f t="shared" si="24"/>
        <v>777.70852953644851</v>
      </c>
      <c r="P32" s="130">
        <f t="shared" si="24"/>
        <v>892.12129256042977</v>
      </c>
      <c r="Q32" s="130">
        <f t="shared" si="24"/>
        <v>1025.3043116567485</v>
      </c>
      <c r="R32" s="131">
        <f t="shared" si="23"/>
        <v>0.14101267635044173</v>
      </c>
      <c r="S32" s="128" t="s">
        <v>77</v>
      </c>
      <c r="T32" s="135">
        <v>0.2</v>
      </c>
      <c r="U32" s="135">
        <v>0.20111572614885656</v>
      </c>
      <c r="V32" s="135">
        <v>0.20223767652190933</v>
      </c>
      <c r="W32" s="135">
        <v>0.20336588584180673</v>
      </c>
      <c r="X32" s="135">
        <v>0.20450038902490211</v>
      </c>
      <c r="Y32" s="135">
        <v>0.20564122118233419</v>
      </c>
      <c r="Z32" s="135">
        <v>0.20678841762111386</v>
      </c>
      <c r="AA32" s="135">
        <v>0.20794201384521654</v>
      </c>
      <c r="AB32" s="135">
        <v>0.20910204555668152</v>
      </c>
      <c r="AC32" s="135">
        <v>0.21026854865671646</v>
      </c>
      <c r="AD32" s="135">
        <v>0.21144155924680855</v>
      </c>
      <c r="AE32" s="135">
        <v>0.21262111362984182</v>
      </c>
      <c r="AF32" s="135">
        <v>0.21380724831122089</v>
      </c>
      <c r="AG32" s="135">
        <v>0.21500000000000033</v>
      </c>
    </row>
    <row r="33" spans="1:33" s="117" customFormat="1" x14ac:dyDescent="0.35">
      <c r="A33" s="149"/>
      <c r="B33" s="128" t="s">
        <v>78</v>
      </c>
      <c r="C33" s="129"/>
      <c r="D33" s="132">
        <f>D14*T33</f>
        <v>173.46419999999998</v>
      </c>
      <c r="E33" s="132">
        <f t="shared" ref="E33:Q33" si="25">E14*U33</f>
        <v>194.41038733068302</v>
      </c>
      <c r="F33" s="132">
        <f t="shared" si="25"/>
        <v>218.22046396310913</v>
      </c>
      <c r="G33" s="132">
        <f t="shared" si="25"/>
        <v>245.32932525318984</v>
      </c>
      <c r="H33" s="132">
        <f t="shared" si="25"/>
        <v>276.24441445009819</v>
      </c>
      <c r="I33" s="132">
        <f t="shared" si="25"/>
        <v>311.55890501095473</v>
      </c>
      <c r="J33" s="132">
        <f t="shared" si="25"/>
        <v>351.96747326466277</v>
      </c>
      <c r="K33" s="132">
        <f t="shared" si="25"/>
        <v>398.28520854387733</v>
      </c>
      <c r="L33" s="132">
        <f t="shared" si="25"/>
        <v>451.47033149761961</v>
      </c>
      <c r="M33" s="132">
        <f t="shared" si="25"/>
        <v>512.65154463179601</v>
      </c>
      <c r="N33" s="132">
        <f t="shared" si="25"/>
        <v>583.16102979989421</v>
      </c>
      <c r="O33" s="132">
        <f t="shared" si="25"/>
        <v>664.57434503622903</v>
      </c>
      <c r="P33" s="132">
        <f t="shared" si="25"/>
        <v>758.75877008747841</v>
      </c>
      <c r="Q33" s="132">
        <f t="shared" si="25"/>
        <v>867.93202196059394</v>
      </c>
      <c r="R33" s="131">
        <f t="shared" si="23"/>
        <v>0.13564757656451862</v>
      </c>
      <c r="S33" s="128" t="s">
        <v>78</v>
      </c>
      <c r="T33" s="135">
        <v>0.18000000000000002</v>
      </c>
      <c r="U33" s="135">
        <v>0.18015306277331314</v>
      </c>
      <c r="V33" s="135">
        <v>0.18030625570336284</v>
      </c>
      <c r="W33" s="135">
        <v>0.18045957890082762</v>
      </c>
      <c r="X33" s="135">
        <v>0.18061303247648028</v>
      </c>
      <c r="Y33" s="135">
        <v>0.18076661654118778</v>
      </c>
      <c r="Z33" s="135">
        <v>0.18092033120591131</v>
      </c>
      <c r="AA33" s="135">
        <v>0.18107417658170627</v>
      </c>
      <c r="AB33" s="135">
        <v>0.1812281527797229</v>
      </c>
      <c r="AC33" s="135">
        <v>0.1813822599112056</v>
      </c>
      <c r="AD33" s="135">
        <v>0.18153649808749345</v>
      </c>
      <c r="AE33" s="135">
        <v>0.18169086742002025</v>
      </c>
      <c r="AF33" s="135">
        <v>0.18184536802031454</v>
      </c>
      <c r="AG33" s="135">
        <v>0.18199999999999975</v>
      </c>
    </row>
    <row r="34" spans="1:33" s="117" customFormat="1" x14ac:dyDescent="0.35">
      <c r="A34" s="149"/>
      <c r="B34" s="128" t="s">
        <v>79</v>
      </c>
      <c r="C34" s="129"/>
      <c r="D34" s="132">
        <f>D14*T34</f>
        <v>115.64279999999997</v>
      </c>
      <c r="E34" s="132">
        <f t="shared" ref="E34:Q34" si="26">E14*U34</f>
        <v>129.74301153589977</v>
      </c>
      <c r="F34" s="132">
        <f t="shared" si="26"/>
        <v>145.78597695171095</v>
      </c>
      <c r="G34" s="132">
        <f t="shared" si="26"/>
        <v>164.06861386463115</v>
      </c>
      <c r="H34" s="132">
        <f t="shared" si="26"/>
        <v>184.93764286960109</v>
      </c>
      <c r="I34" s="132">
        <f t="shared" si="26"/>
        <v>208.79868019733135</v>
      </c>
      <c r="J34" s="132">
        <f t="shared" si="26"/>
        <v>236.12712464648996</v>
      </c>
      <c r="K34" s="132">
        <f t="shared" si="26"/>
        <v>267.48121920471584</v>
      </c>
      <c r="L34" s="132">
        <f t="shared" si="26"/>
        <v>303.5177540041401</v>
      </c>
      <c r="M34" s="132">
        <f t="shared" si="26"/>
        <v>345.01098430371184</v>
      </c>
      <c r="N34" s="132">
        <f t="shared" si="26"/>
        <v>392.87547038663695</v>
      </c>
      <c r="O34" s="132">
        <f t="shared" si="26"/>
        <v>448.19371238726154</v>
      </c>
      <c r="P34" s="132">
        <f t="shared" si="26"/>
        <v>512.24966075968609</v>
      </c>
      <c r="Q34" s="132">
        <f t="shared" si="26"/>
        <v>586.56944341292831</v>
      </c>
      <c r="R34" s="131">
        <f t="shared" si="23"/>
        <v>0.13684000106598165</v>
      </c>
      <c r="S34" s="128" t="s">
        <v>79</v>
      </c>
      <c r="T34" s="135">
        <v>0.11999999999999998</v>
      </c>
      <c r="U34" s="135">
        <v>0.1202281484161041</v>
      </c>
      <c r="V34" s="135">
        <v>0.12045673059637299</v>
      </c>
      <c r="W34" s="135">
        <v>0.12068574736549501</v>
      </c>
      <c r="X34" s="135">
        <v>0.12091519954972652</v>
      </c>
      <c r="Y34" s="135">
        <v>0.1211450879768947</v>
      </c>
      <c r="Z34" s="135">
        <v>0.12137541347640074</v>
      </c>
      <c r="AA34" s="135">
        <v>0.12160617687922258</v>
      </c>
      <c r="AB34" s="135">
        <v>0.12183737901791819</v>
      </c>
      <c r="AC34" s="135">
        <v>0.12206902072662833</v>
      </c>
      <c r="AD34" s="135">
        <v>0.1223011028410797</v>
      </c>
      <c r="AE34" s="135">
        <v>0.12253362619858783</v>
      </c>
      <c r="AF34" s="135">
        <v>0.12276659163806038</v>
      </c>
      <c r="AG34" s="135">
        <v>0.12299999999999972</v>
      </c>
    </row>
    <row r="35" spans="1:33" s="117" customFormat="1" x14ac:dyDescent="0.35">
      <c r="A35" s="149"/>
      <c r="B35" s="128" t="s">
        <v>80</v>
      </c>
      <c r="C35" s="129"/>
      <c r="D35" s="132">
        <f>D14*T35</f>
        <v>96.368999999999957</v>
      </c>
      <c r="E35" s="132">
        <f t="shared" ref="E35:Q35" si="27">E14*U35</f>
        <v>108.31977810197425</v>
      </c>
      <c r="F35" s="132">
        <f t="shared" si="27"/>
        <v>121.93954556381348</v>
      </c>
      <c r="G35" s="132">
        <f t="shared" si="27"/>
        <v>137.48628053477651</v>
      </c>
      <c r="H35" s="132">
        <f t="shared" si="27"/>
        <v>155.26165293359398</v>
      </c>
      <c r="I35" s="132">
        <f t="shared" si="27"/>
        <v>175.61906876645432</v>
      </c>
      <c r="J35" s="132">
        <f t="shared" si="27"/>
        <v>198.97331372415664</v>
      </c>
      <c r="K35" s="132">
        <f t="shared" si="27"/>
        <v>225.81213740986905</v>
      </c>
      <c r="L35" s="132">
        <f t="shared" si="27"/>
        <v>256.71019739704417</v>
      </c>
      <c r="M35" s="132">
        <f t="shared" si="27"/>
        <v>292.34587906178956</v>
      </c>
      <c r="N35" s="132">
        <f t="shared" si="27"/>
        <v>333.52162764215217</v>
      </c>
      <c r="O35" s="132">
        <f t="shared" si="27"/>
        <v>381.18857944150938</v>
      </c>
      <c r="P35" s="132">
        <f t="shared" si="27"/>
        <v>436.47646741566632</v>
      </c>
      <c r="Q35" s="132">
        <f t="shared" si="27"/>
        <v>500.73001266957419</v>
      </c>
      <c r="R35" s="131">
        <f t="shared" si="23"/>
        <v>0.13894926774014721</v>
      </c>
      <c r="S35" s="128" t="s">
        <v>80</v>
      </c>
      <c r="T35" s="135">
        <v>9.9999999999999978E-2</v>
      </c>
      <c r="U35" s="135">
        <v>0.10037601412111624</v>
      </c>
      <c r="V35" s="135">
        <v>0.10075344210842527</v>
      </c>
      <c r="W35" s="135">
        <v>0.10113228927826363</v>
      </c>
      <c r="X35" s="135">
        <v>0.10151256096695804</v>
      </c>
      <c r="Y35" s="135">
        <v>0.10189426253090056</v>
      </c>
      <c r="Z35" s="135">
        <v>0.102277399346624</v>
      </c>
      <c r="AA35" s="135">
        <v>0.10266197681087777</v>
      </c>
      <c r="AB35" s="135">
        <v>0.10304800034070376</v>
      </c>
      <c r="AC35" s="135">
        <v>0.10343547537351272</v>
      </c>
      <c r="AD35" s="135">
        <v>0.10382440736716086</v>
      </c>
      <c r="AE35" s="135">
        <v>0.10421480180002665</v>
      </c>
      <c r="AF35" s="135">
        <v>0.10460666417108806</v>
      </c>
      <c r="AG35" s="135">
        <v>0.10500000000000002</v>
      </c>
    </row>
    <row r="36" spans="1:33" s="117" customFormat="1" x14ac:dyDescent="0.35">
      <c r="A36" s="149"/>
      <c r="B36" s="128" t="s">
        <v>81</v>
      </c>
      <c r="C36" s="129"/>
      <c r="D36" s="132">
        <f>D14*T36</f>
        <v>125.27970000000003</v>
      </c>
      <c r="E36" s="132">
        <f t="shared" ref="E36:Q36" si="28">E14*U36</f>
        <v>140.61562671508597</v>
      </c>
      <c r="F36" s="132">
        <f t="shared" si="28"/>
        <v>158.07124365051723</v>
      </c>
      <c r="G36" s="132">
        <f t="shared" si="28"/>
        <v>177.97136600364124</v>
      </c>
      <c r="H36" s="132">
        <f t="shared" si="28"/>
        <v>200.69541416401105</v>
      </c>
      <c r="I36" s="132">
        <f t="shared" si="28"/>
        <v>226.68740268043894</v>
      </c>
      <c r="J36" s="132">
        <f t="shared" si="28"/>
        <v>256.46790379669903</v>
      </c>
      <c r="K36" s="132">
        <f t="shared" si="28"/>
        <v>290.64840484911412</v>
      </c>
      <c r="L36" s="132">
        <f t="shared" si="28"/>
        <v>329.9485739976966</v>
      </c>
      <c r="M36" s="132">
        <f t="shared" si="28"/>
        <v>375.21706694609696</v>
      </c>
      <c r="N36" s="132">
        <f t="shared" si="28"/>
        <v>427.45665439616306</v>
      </c>
      <c r="O36" s="132">
        <f t="shared" si="28"/>
        <v>487.85463348494204</v>
      </c>
      <c r="P36" s="132">
        <f t="shared" si="28"/>
        <v>557.81971593213655</v>
      </c>
      <c r="Q36" s="132">
        <f t="shared" si="28"/>
        <v>639.02687331164771</v>
      </c>
      <c r="R36" s="131">
        <f t="shared" si="23"/>
        <v>0.13733093656373208</v>
      </c>
      <c r="S36" s="128" t="s">
        <v>81</v>
      </c>
      <c r="T36" s="133">
        <v>0.13000000000000006</v>
      </c>
      <c r="U36" s="133">
        <v>0.13030340700583309</v>
      </c>
      <c r="V36" s="133">
        <v>0.13060752213329063</v>
      </c>
      <c r="W36" s="133">
        <v>0.13091234703505783</v>
      </c>
      <c r="X36" s="133">
        <v>0.13121788336767692</v>
      </c>
      <c r="Y36" s="133">
        <v>0.13152413279155642</v>
      </c>
      <c r="Z36" s="133">
        <v>0.13183109697098006</v>
      </c>
      <c r="AA36" s="133">
        <v>0.13213877757411582</v>
      </c>
      <c r="AB36" s="133">
        <v>0.13244717627302502</v>
      </c>
      <c r="AC36" s="133">
        <v>0.13275629474367151</v>
      </c>
      <c r="AD36" s="133">
        <v>0.13306613466593045</v>
      </c>
      <c r="AE36" s="133">
        <v>0.13337669772359789</v>
      </c>
      <c r="AF36" s="133">
        <v>0.13368798560439951</v>
      </c>
      <c r="AG36" s="133">
        <v>0.13400000000000015</v>
      </c>
    </row>
    <row r="37" spans="1:33" s="117" customFormat="1" x14ac:dyDescent="0.35">
      <c r="A37" s="149"/>
      <c r="B37" s="128" t="s">
        <v>82</v>
      </c>
      <c r="C37" s="129"/>
      <c r="D37" s="132">
        <f>D14*T37</f>
        <v>19.273800000000012</v>
      </c>
      <c r="E37" s="132">
        <f t="shared" ref="E37:Q37" si="29">E14*U37</f>
        <v>21.874091693399656</v>
      </c>
      <c r="F37" s="132">
        <f t="shared" si="29"/>
        <v>24.819155869982989</v>
      </c>
      <c r="G37" s="132">
        <f t="shared" si="29"/>
        <v>28.156566885737842</v>
      </c>
      <c r="H37" s="132">
        <f t="shared" si="29"/>
        <v>31.940776950253792</v>
      </c>
      <c r="I37" s="132">
        <f t="shared" si="29"/>
        <v>36.23415148226173</v>
      </c>
      <c r="J37" s="132">
        <f t="shared" si="29"/>
        <v>41.108163911448756</v>
      </c>
      <c r="K37" s="132">
        <f t="shared" si="29"/>
        <v>46.644774172647239</v>
      </c>
      <c r="L37" s="132">
        <f t="shared" si="29"/>
        <v>52.938018487757247</v>
      </c>
      <c r="M37" s="132">
        <f t="shared" si="29"/>
        <v>60.095841680270929</v>
      </c>
      <c r="N37" s="132">
        <f t="shared" si="29"/>
        <v>68.242207167306049</v>
      </c>
      <c r="O37" s="132">
        <f t="shared" si="29"/>
        <v>77.519523828037208</v>
      </c>
      <c r="P37" s="132">
        <f t="shared" si="29"/>
        <v>88.091432989535591</v>
      </c>
      <c r="Q37" s="132">
        <f t="shared" si="29"/>
        <v>100.14600253391544</v>
      </c>
      <c r="R37" s="131">
        <f t="shared" si="23"/>
        <v>0.13538493371161525</v>
      </c>
      <c r="S37" s="128" t="s">
        <v>82</v>
      </c>
      <c r="T37" s="133">
        <f>1-SUM(T31:T36)</f>
        <v>2.0000000000000018E-2</v>
      </c>
      <c r="U37" s="133">
        <f t="shared" ref="U37:AG37" si="30">1-SUM(U31:U36)</f>
        <v>2.0269928310195251E-2</v>
      </c>
      <c r="V37" s="133">
        <f t="shared" si="30"/>
        <v>2.0507009211525151E-2</v>
      </c>
      <c r="W37" s="133">
        <f t="shared" si="30"/>
        <v>2.0711434306719401E-2</v>
      </c>
      <c r="X37" s="133">
        <f t="shared" si="30"/>
        <v>2.088339268732009E-2</v>
      </c>
      <c r="Y37" s="133">
        <f t="shared" si="30"/>
        <v>2.1023070954941936E-2</v>
      </c>
      <c r="Z37" s="133">
        <f t="shared" si="30"/>
        <v>2.1130653242306008E-2</v>
      </c>
      <c r="AA37" s="133">
        <f t="shared" si="30"/>
        <v>2.1206321234049197E-2</v>
      </c>
      <c r="AB37" s="133">
        <f t="shared" si="30"/>
        <v>2.1250254187313411E-2</v>
      </c>
      <c r="AC37" s="133">
        <f t="shared" si="30"/>
        <v>2.1262628952113172E-2</v>
      </c>
      <c r="AD37" s="133">
        <f t="shared" si="30"/>
        <v>2.1243619991488383E-2</v>
      </c>
      <c r="AE37" s="133">
        <f t="shared" si="30"/>
        <v>2.1193399401439716E-2</v>
      </c>
      <c r="AF37" s="133">
        <f t="shared" si="30"/>
        <v>2.1112136930650727E-2</v>
      </c>
      <c r="AG37" s="133">
        <f t="shared" si="30"/>
        <v>2.100000000000013E-2</v>
      </c>
    </row>
    <row r="38" spans="1:33" x14ac:dyDescent="0.35">
      <c r="D38" t="b">
        <f>D14=SUM(D31:D37)</f>
        <v>1</v>
      </c>
      <c r="E38" t="b">
        <f t="shared" ref="E38:Q38" si="31">E14=SUM(E31:E37)</f>
        <v>1</v>
      </c>
      <c r="F38" t="b">
        <f t="shared" si="31"/>
        <v>1</v>
      </c>
      <c r="G38" t="b">
        <f t="shared" si="31"/>
        <v>1</v>
      </c>
      <c r="H38" t="b">
        <f t="shared" si="31"/>
        <v>1</v>
      </c>
      <c r="I38" t="b">
        <f t="shared" si="31"/>
        <v>1</v>
      </c>
      <c r="J38" t="b">
        <f t="shared" si="31"/>
        <v>1</v>
      </c>
      <c r="K38" t="b">
        <f t="shared" si="31"/>
        <v>1</v>
      </c>
      <c r="L38" t="b">
        <f t="shared" si="31"/>
        <v>1</v>
      </c>
      <c r="M38" t="b">
        <f t="shared" si="31"/>
        <v>1</v>
      </c>
      <c r="N38" t="b">
        <f t="shared" si="31"/>
        <v>1</v>
      </c>
      <c r="O38" t="b">
        <f t="shared" si="31"/>
        <v>1</v>
      </c>
      <c r="P38" t="b">
        <f t="shared" si="31"/>
        <v>1</v>
      </c>
      <c r="Q38" t="b">
        <f t="shared" si="31"/>
        <v>1</v>
      </c>
    </row>
    <row r="39" spans="1:33" ht="25" x14ac:dyDescent="0.5">
      <c r="A39" s="146" t="s">
        <v>110</v>
      </c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63"/>
    </row>
    <row r="40" spans="1:33" ht="23.5" thickBot="1" x14ac:dyDescent="0.55000000000000004">
      <c r="A40" s="63"/>
      <c r="B40" s="63"/>
      <c r="C40" s="63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</row>
    <row r="41" spans="1:33" ht="15.5" hidden="1" customHeight="1" x14ac:dyDescent="0.35">
      <c r="A41" s="42"/>
      <c r="B41" s="43"/>
      <c r="C41" s="93"/>
      <c r="D41" s="91">
        <v>2023</v>
      </c>
      <c r="E41" s="65">
        <v>2024</v>
      </c>
      <c r="F41" s="65">
        <v>2025</v>
      </c>
      <c r="G41" s="65">
        <v>2026</v>
      </c>
      <c r="H41" s="65">
        <v>2027</v>
      </c>
      <c r="I41" s="65">
        <v>2028</v>
      </c>
      <c r="J41" s="65">
        <v>2029</v>
      </c>
      <c r="K41" s="65">
        <v>2030</v>
      </c>
      <c r="L41" s="65">
        <v>2031</v>
      </c>
      <c r="M41" s="65">
        <v>2032</v>
      </c>
      <c r="N41" s="65">
        <v>2033</v>
      </c>
      <c r="O41" s="65">
        <v>2034</v>
      </c>
      <c r="P41" s="65">
        <v>2035</v>
      </c>
      <c r="Q41" s="65">
        <v>2036</v>
      </c>
      <c r="R41" s="66" t="s">
        <v>13</v>
      </c>
    </row>
    <row r="42" spans="1:33" ht="16" hidden="1" customHeight="1" thickBot="1" x14ac:dyDescent="0.4">
      <c r="A42" s="25"/>
      <c r="B42" s="94"/>
      <c r="C42" s="95"/>
      <c r="D42" s="92" t="e">
        <f>#REF!</f>
        <v>#REF!</v>
      </c>
      <c r="E42" s="92" t="e">
        <f>#REF!</f>
        <v>#REF!</v>
      </c>
      <c r="F42" s="92" t="e">
        <f>#REF!</f>
        <v>#REF!</v>
      </c>
      <c r="G42" s="92" t="e">
        <f>#REF!</f>
        <v>#REF!</v>
      </c>
      <c r="H42" s="92" t="e">
        <f>#REF!</f>
        <v>#REF!</v>
      </c>
      <c r="I42" s="92" t="e">
        <f>#REF!</f>
        <v>#REF!</v>
      </c>
      <c r="J42" s="92" t="e">
        <f>#REF!</f>
        <v>#REF!</v>
      </c>
      <c r="K42" s="92" t="e">
        <f>#REF!</f>
        <v>#REF!</v>
      </c>
      <c r="L42" s="92" t="e">
        <f>#REF!</f>
        <v>#REF!</v>
      </c>
      <c r="M42" s="92" t="e">
        <f>#REF!</f>
        <v>#REF!</v>
      </c>
      <c r="N42" s="92" t="e">
        <f>#REF!</f>
        <v>#REF!</v>
      </c>
      <c r="O42" s="92" t="e">
        <f>#REF!</f>
        <v>#REF!</v>
      </c>
      <c r="P42" s="92" t="e">
        <f>#REF!</f>
        <v>#REF!</v>
      </c>
      <c r="Q42" s="92" t="e">
        <f>#REF!</f>
        <v>#REF!</v>
      </c>
      <c r="R42" s="68" t="e">
        <f>RATE(12,,-E42,Q42)</f>
        <v>#REF!</v>
      </c>
      <c r="T42" s="65">
        <v>2023</v>
      </c>
      <c r="U42" s="65">
        <v>2024</v>
      </c>
      <c r="V42" s="65">
        <v>2025</v>
      </c>
      <c r="W42" s="65">
        <v>2026</v>
      </c>
      <c r="X42" s="65">
        <v>2027</v>
      </c>
      <c r="Y42" s="65">
        <v>2028</v>
      </c>
      <c r="Z42" s="65">
        <v>2029</v>
      </c>
      <c r="AA42" s="65">
        <v>2030</v>
      </c>
      <c r="AB42" s="65">
        <v>2031</v>
      </c>
      <c r="AC42" s="65">
        <v>2032</v>
      </c>
      <c r="AD42" s="65">
        <v>2033</v>
      </c>
      <c r="AE42" s="65">
        <v>2034</v>
      </c>
      <c r="AF42" s="65">
        <v>2035</v>
      </c>
      <c r="AG42" s="65">
        <v>2036</v>
      </c>
    </row>
    <row r="43" spans="1:33" ht="14.5" hidden="1" customHeight="1" x14ac:dyDescent="0.35">
      <c r="A43" s="152" t="s">
        <v>49</v>
      </c>
      <c r="B43" s="52" t="s">
        <v>34</v>
      </c>
      <c r="C43" s="45"/>
      <c r="D43" s="79" t="e">
        <f t="shared" ref="D43:Q43" si="32">D42*T43</f>
        <v>#REF!</v>
      </c>
      <c r="E43" s="79" t="e">
        <f t="shared" si="32"/>
        <v>#REF!</v>
      </c>
      <c r="F43" s="79" t="e">
        <f t="shared" si="32"/>
        <v>#REF!</v>
      </c>
      <c r="G43" s="79" t="e">
        <f t="shared" si="32"/>
        <v>#REF!</v>
      </c>
      <c r="H43" s="79" t="e">
        <f t="shared" si="32"/>
        <v>#REF!</v>
      </c>
      <c r="I43" s="79" t="e">
        <f t="shared" si="32"/>
        <v>#REF!</v>
      </c>
      <c r="J43" s="79" t="e">
        <f t="shared" si="32"/>
        <v>#REF!</v>
      </c>
      <c r="K43" s="79" t="e">
        <f t="shared" si="32"/>
        <v>#REF!</v>
      </c>
      <c r="L43" s="79" t="e">
        <f t="shared" si="32"/>
        <v>#REF!</v>
      </c>
      <c r="M43" s="79" t="e">
        <f t="shared" si="32"/>
        <v>#REF!</v>
      </c>
      <c r="N43" s="79" t="e">
        <f t="shared" si="32"/>
        <v>#REF!</v>
      </c>
      <c r="O43" s="79" t="e">
        <f t="shared" si="32"/>
        <v>#REF!</v>
      </c>
      <c r="P43" s="79" t="e">
        <f t="shared" si="32"/>
        <v>#REF!</v>
      </c>
      <c r="Q43" s="79" t="e">
        <f t="shared" si="32"/>
        <v>#REF!</v>
      </c>
      <c r="R43" s="77" t="e">
        <f>RATE(12,,-E43,Q43)</f>
        <v>#REF!</v>
      </c>
      <c r="S43" s="52"/>
      <c r="T43" s="12">
        <v>0.56000000000000005</v>
      </c>
      <c r="U43" s="12">
        <v>0.56092161367703952</v>
      </c>
      <c r="V43" s="12">
        <v>0.56184474408938223</v>
      </c>
      <c r="W43" s="12">
        <v>0.56276939373317769</v>
      </c>
      <c r="X43" s="12">
        <v>0.56369556510868446</v>
      </c>
      <c r="Y43" s="12">
        <v>0.56462326072027491</v>
      </c>
      <c r="Z43" s="12">
        <v>0.56555248307644368</v>
      </c>
      <c r="AA43" s="12">
        <v>0.56648323468981299</v>
      </c>
      <c r="AB43" s="12">
        <v>0.56741551807714108</v>
      </c>
      <c r="AC43" s="12">
        <v>0.56834933575932756</v>
      </c>
      <c r="AD43" s="12">
        <v>0.56928469026142059</v>
      </c>
      <c r="AE43" s="12">
        <v>0.57022158411262425</v>
      </c>
      <c r="AF43" s="12">
        <v>0.57116001984630527</v>
      </c>
      <c r="AG43" s="12">
        <v>0.57209999999999905</v>
      </c>
    </row>
    <row r="44" spans="1:33" ht="15" hidden="1" customHeight="1" thickBot="1" x14ac:dyDescent="0.4">
      <c r="A44" s="153"/>
      <c r="B44" s="53" t="s">
        <v>35</v>
      </c>
      <c r="C44" s="46"/>
      <c r="D44" s="80" t="e">
        <f t="shared" ref="D44:Q44" si="33">D42*T44</f>
        <v>#REF!</v>
      </c>
      <c r="E44" s="80" t="e">
        <f t="shared" si="33"/>
        <v>#REF!</v>
      </c>
      <c r="F44" s="80" t="e">
        <f t="shared" si="33"/>
        <v>#REF!</v>
      </c>
      <c r="G44" s="80" t="e">
        <f t="shared" si="33"/>
        <v>#REF!</v>
      </c>
      <c r="H44" s="80" t="e">
        <f t="shared" si="33"/>
        <v>#REF!</v>
      </c>
      <c r="I44" s="80" t="e">
        <f t="shared" si="33"/>
        <v>#REF!</v>
      </c>
      <c r="J44" s="80" t="e">
        <f t="shared" si="33"/>
        <v>#REF!</v>
      </c>
      <c r="K44" s="80" t="e">
        <f t="shared" si="33"/>
        <v>#REF!</v>
      </c>
      <c r="L44" s="80" t="e">
        <f t="shared" si="33"/>
        <v>#REF!</v>
      </c>
      <c r="M44" s="80" t="e">
        <f t="shared" si="33"/>
        <v>#REF!</v>
      </c>
      <c r="N44" s="80" t="e">
        <f t="shared" si="33"/>
        <v>#REF!</v>
      </c>
      <c r="O44" s="80" t="e">
        <f t="shared" si="33"/>
        <v>#REF!</v>
      </c>
      <c r="P44" s="80" t="e">
        <f t="shared" si="33"/>
        <v>#REF!</v>
      </c>
      <c r="Q44" s="80" t="e">
        <f t="shared" si="33"/>
        <v>#REF!</v>
      </c>
      <c r="R44" s="78" t="e">
        <f>RATE(12,,-E44,Q44)</f>
        <v>#REF!</v>
      </c>
      <c r="S44" s="53"/>
      <c r="T44" s="12">
        <f>1-T43</f>
        <v>0.43999999999999995</v>
      </c>
      <c r="U44" s="12">
        <f t="shared" ref="U44:AG44" si="34">1-U43</f>
        <v>0.43907838632296048</v>
      </c>
      <c r="V44" s="12">
        <f t="shared" si="34"/>
        <v>0.43815525591061777</v>
      </c>
      <c r="W44" s="12">
        <f t="shared" si="34"/>
        <v>0.43723060626682231</v>
      </c>
      <c r="X44" s="12">
        <f t="shared" si="34"/>
        <v>0.43630443489131554</v>
      </c>
      <c r="Y44" s="12">
        <f t="shared" si="34"/>
        <v>0.43537673927972509</v>
      </c>
      <c r="Z44" s="12">
        <f t="shared" si="34"/>
        <v>0.43444751692355632</v>
      </c>
      <c r="AA44" s="12">
        <f t="shared" si="34"/>
        <v>0.43351676531018701</v>
      </c>
      <c r="AB44" s="12">
        <f t="shared" si="34"/>
        <v>0.43258448192285892</v>
      </c>
      <c r="AC44" s="12">
        <f t="shared" si="34"/>
        <v>0.43165066424067244</v>
      </c>
      <c r="AD44" s="12">
        <f t="shared" si="34"/>
        <v>0.43071530973857941</v>
      </c>
      <c r="AE44" s="12">
        <f t="shared" si="34"/>
        <v>0.42977841588737575</v>
      </c>
      <c r="AF44" s="12">
        <f t="shared" si="34"/>
        <v>0.42883998015369473</v>
      </c>
      <c r="AG44" s="12">
        <f t="shared" si="34"/>
        <v>0.42790000000000095</v>
      </c>
    </row>
    <row r="45" spans="1:33" ht="15" hidden="1" customHeight="1" thickBot="1" x14ac:dyDescent="0.4">
      <c r="A45" s="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21"/>
    </row>
    <row r="46" spans="1:33" ht="14.5" hidden="1" customHeight="1" x14ac:dyDescent="0.35">
      <c r="A46" s="152" t="s">
        <v>15</v>
      </c>
      <c r="B46" s="57" t="s">
        <v>16</v>
      </c>
      <c r="C46" s="47"/>
      <c r="D46" s="82" t="e">
        <f t="shared" ref="D46:Q46" si="35">D42*T46</f>
        <v>#REF!</v>
      </c>
      <c r="E46" s="82" t="e">
        <f t="shared" si="35"/>
        <v>#REF!</v>
      </c>
      <c r="F46" s="82" t="e">
        <f t="shared" si="35"/>
        <v>#REF!</v>
      </c>
      <c r="G46" s="82" t="e">
        <f t="shared" si="35"/>
        <v>#REF!</v>
      </c>
      <c r="H46" s="82" t="e">
        <f t="shared" si="35"/>
        <v>#REF!</v>
      </c>
      <c r="I46" s="82" t="e">
        <f t="shared" si="35"/>
        <v>#REF!</v>
      </c>
      <c r="J46" s="82" t="e">
        <f t="shared" si="35"/>
        <v>#REF!</v>
      </c>
      <c r="K46" s="82" t="e">
        <f t="shared" si="35"/>
        <v>#REF!</v>
      </c>
      <c r="L46" s="82" t="e">
        <f t="shared" si="35"/>
        <v>#REF!</v>
      </c>
      <c r="M46" s="82" t="e">
        <f t="shared" si="35"/>
        <v>#REF!</v>
      </c>
      <c r="N46" s="82" t="e">
        <f t="shared" si="35"/>
        <v>#REF!</v>
      </c>
      <c r="O46" s="82" t="e">
        <f t="shared" si="35"/>
        <v>#REF!</v>
      </c>
      <c r="P46" s="82" t="e">
        <f t="shared" si="35"/>
        <v>#REF!</v>
      </c>
      <c r="Q46" s="82" t="e">
        <f t="shared" si="35"/>
        <v>#REF!</v>
      </c>
      <c r="R46" s="69" t="e">
        <f>RATE(12,,-E46,Q46)</f>
        <v>#REF!</v>
      </c>
      <c r="S46" s="57"/>
      <c r="T46" s="12">
        <v>0.47099999999999992</v>
      </c>
      <c r="U46" s="12">
        <v>0.47038461538461535</v>
      </c>
      <c r="V46" s="12">
        <v>0.46976923076923072</v>
      </c>
      <c r="W46" s="12">
        <v>0.46915384615384609</v>
      </c>
      <c r="X46" s="12">
        <v>0.46853846153846151</v>
      </c>
      <c r="Y46" s="12">
        <v>0.46792307692307689</v>
      </c>
      <c r="Z46" s="12">
        <v>0.46730769230769226</v>
      </c>
      <c r="AA46" s="12">
        <v>0.46669230769230763</v>
      </c>
      <c r="AB46" s="12">
        <v>0.46607692307692306</v>
      </c>
      <c r="AC46" s="12">
        <v>0.46546153846153843</v>
      </c>
      <c r="AD46" s="12">
        <v>0.4648461538461538</v>
      </c>
      <c r="AE46" s="12">
        <v>0.46423076923076922</v>
      </c>
      <c r="AF46" s="12">
        <v>0.4636153846153846</v>
      </c>
      <c r="AG46" s="12">
        <v>0.46299999999999997</v>
      </c>
    </row>
    <row r="47" spans="1:33" ht="15" hidden="1" customHeight="1" thickBot="1" x14ac:dyDescent="0.4">
      <c r="A47" s="153"/>
      <c r="B47" s="58" t="s">
        <v>17</v>
      </c>
      <c r="C47" s="48"/>
      <c r="D47" s="83" t="e">
        <f t="shared" ref="D47:Q47" si="36">D42*T47</f>
        <v>#REF!</v>
      </c>
      <c r="E47" s="83" t="e">
        <f t="shared" si="36"/>
        <v>#REF!</v>
      </c>
      <c r="F47" s="83" t="e">
        <f t="shared" si="36"/>
        <v>#REF!</v>
      </c>
      <c r="G47" s="83" t="e">
        <f t="shared" si="36"/>
        <v>#REF!</v>
      </c>
      <c r="H47" s="83" t="e">
        <f t="shared" si="36"/>
        <v>#REF!</v>
      </c>
      <c r="I47" s="83" t="e">
        <f t="shared" si="36"/>
        <v>#REF!</v>
      </c>
      <c r="J47" s="83" t="e">
        <f t="shared" si="36"/>
        <v>#REF!</v>
      </c>
      <c r="K47" s="83" t="e">
        <f t="shared" si="36"/>
        <v>#REF!</v>
      </c>
      <c r="L47" s="83" t="e">
        <f t="shared" si="36"/>
        <v>#REF!</v>
      </c>
      <c r="M47" s="83" t="e">
        <f t="shared" si="36"/>
        <v>#REF!</v>
      </c>
      <c r="N47" s="83" t="e">
        <f t="shared" si="36"/>
        <v>#REF!</v>
      </c>
      <c r="O47" s="83" t="e">
        <f t="shared" si="36"/>
        <v>#REF!</v>
      </c>
      <c r="P47" s="83" t="e">
        <f t="shared" si="36"/>
        <v>#REF!</v>
      </c>
      <c r="Q47" s="83" t="e">
        <f t="shared" si="36"/>
        <v>#REF!</v>
      </c>
      <c r="R47" s="70" t="e">
        <f>RATE(12,,-E47,Q47)</f>
        <v>#REF!</v>
      </c>
      <c r="S47" s="58"/>
      <c r="T47" s="12">
        <f>1-T46</f>
        <v>0.52900000000000014</v>
      </c>
      <c r="U47" s="12">
        <f t="shared" ref="U47:AG47" si="37">1-U46</f>
        <v>0.5296153846153846</v>
      </c>
      <c r="V47" s="12">
        <f t="shared" si="37"/>
        <v>0.53023076923076928</v>
      </c>
      <c r="W47" s="12">
        <f t="shared" si="37"/>
        <v>0.53084615384615397</v>
      </c>
      <c r="X47" s="12">
        <f t="shared" si="37"/>
        <v>0.53146153846153843</v>
      </c>
      <c r="Y47" s="12">
        <f t="shared" si="37"/>
        <v>0.53207692307692311</v>
      </c>
      <c r="Z47" s="12">
        <f t="shared" si="37"/>
        <v>0.5326923076923078</v>
      </c>
      <c r="AA47" s="12">
        <f t="shared" si="37"/>
        <v>0.53330769230769237</v>
      </c>
      <c r="AB47" s="12">
        <f t="shared" si="37"/>
        <v>0.53392307692307694</v>
      </c>
      <c r="AC47" s="12">
        <f t="shared" si="37"/>
        <v>0.53453846153846163</v>
      </c>
      <c r="AD47" s="12">
        <f t="shared" si="37"/>
        <v>0.5351538461538462</v>
      </c>
      <c r="AE47" s="12">
        <f t="shared" si="37"/>
        <v>0.53576923076923078</v>
      </c>
      <c r="AF47" s="12">
        <f t="shared" si="37"/>
        <v>0.53638461538461546</v>
      </c>
      <c r="AG47" s="12">
        <f t="shared" si="37"/>
        <v>0.53700000000000003</v>
      </c>
    </row>
    <row r="48" spans="1:33" ht="15" hidden="1" customHeight="1" thickBot="1" x14ac:dyDescent="0.4">
      <c r="A48" s="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21"/>
    </row>
    <row r="49" spans="1:33" ht="14.5" hidden="1" customHeight="1" x14ac:dyDescent="0.35">
      <c r="A49" s="152" t="s">
        <v>18</v>
      </c>
      <c r="B49" s="54" t="s">
        <v>19</v>
      </c>
      <c r="C49" s="49"/>
      <c r="D49" s="84" t="e">
        <f t="shared" ref="D49:Q49" si="38">D42*T49</f>
        <v>#REF!</v>
      </c>
      <c r="E49" s="84" t="e">
        <f t="shared" si="38"/>
        <v>#REF!</v>
      </c>
      <c r="F49" s="84" t="e">
        <f t="shared" si="38"/>
        <v>#REF!</v>
      </c>
      <c r="G49" s="84" t="e">
        <f t="shared" si="38"/>
        <v>#REF!</v>
      </c>
      <c r="H49" s="84" t="e">
        <f t="shared" si="38"/>
        <v>#REF!</v>
      </c>
      <c r="I49" s="84" t="e">
        <f t="shared" si="38"/>
        <v>#REF!</v>
      </c>
      <c r="J49" s="84" t="e">
        <f t="shared" si="38"/>
        <v>#REF!</v>
      </c>
      <c r="K49" s="84" t="e">
        <f t="shared" si="38"/>
        <v>#REF!</v>
      </c>
      <c r="L49" s="84" t="e">
        <f t="shared" si="38"/>
        <v>#REF!</v>
      </c>
      <c r="M49" s="84" t="e">
        <f t="shared" si="38"/>
        <v>#REF!</v>
      </c>
      <c r="N49" s="84" t="e">
        <f t="shared" si="38"/>
        <v>#REF!</v>
      </c>
      <c r="O49" s="84" t="e">
        <f t="shared" si="38"/>
        <v>#REF!</v>
      </c>
      <c r="P49" s="84" t="e">
        <f t="shared" si="38"/>
        <v>#REF!</v>
      </c>
      <c r="Q49" s="84" t="e">
        <f t="shared" si="38"/>
        <v>#REF!</v>
      </c>
      <c r="R49" s="71" t="e">
        <f>RATE(12,,-E49,Q49)</f>
        <v>#REF!</v>
      </c>
      <c r="S49" s="54"/>
      <c r="T49" s="12">
        <v>0.40099999999999997</v>
      </c>
      <c r="U49" s="12">
        <v>0.40265090533119946</v>
      </c>
      <c r="V49" s="12">
        <v>0.40430860739160734</v>
      </c>
      <c r="W49" s="12">
        <v>0.40597313416316017</v>
      </c>
      <c r="X49" s="12">
        <v>0.40764451374299493</v>
      </c>
      <c r="Y49" s="12">
        <v>0.40932277434392395</v>
      </c>
      <c r="Z49" s="12">
        <v>0.41100794429491083</v>
      </c>
      <c r="AA49" s="12">
        <v>0.4127000520415488</v>
      </c>
      <c r="AB49" s="12">
        <v>0.41439912614654062</v>
      </c>
      <c r="AC49" s="12">
        <v>0.41610519529018092</v>
      </c>
      <c r="AD49" s="12">
        <v>0.41781828827084017</v>
      </c>
      <c r="AE49" s="12">
        <v>0.4195384340054511</v>
      </c>
      <c r="AF49" s="12">
        <v>0.4212656615299965</v>
      </c>
      <c r="AG49" s="12">
        <v>0.42299999999999938</v>
      </c>
    </row>
    <row r="50" spans="1:33" ht="15" hidden="1" customHeight="1" thickBot="1" x14ac:dyDescent="0.4">
      <c r="A50" s="153"/>
      <c r="B50" s="56" t="s">
        <v>20</v>
      </c>
      <c r="C50" s="44"/>
      <c r="D50" s="85" t="e">
        <f t="shared" ref="D50:Q50" si="39">D42*T50</f>
        <v>#REF!</v>
      </c>
      <c r="E50" s="85" t="e">
        <f t="shared" si="39"/>
        <v>#REF!</v>
      </c>
      <c r="F50" s="85" t="e">
        <f t="shared" si="39"/>
        <v>#REF!</v>
      </c>
      <c r="G50" s="85" t="e">
        <f t="shared" si="39"/>
        <v>#REF!</v>
      </c>
      <c r="H50" s="85" t="e">
        <f t="shared" si="39"/>
        <v>#REF!</v>
      </c>
      <c r="I50" s="85" t="e">
        <f t="shared" si="39"/>
        <v>#REF!</v>
      </c>
      <c r="J50" s="85" t="e">
        <f t="shared" si="39"/>
        <v>#REF!</v>
      </c>
      <c r="K50" s="85" t="e">
        <f t="shared" si="39"/>
        <v>#REF!</v>
      </c>
      <c r="L50" s="85" t="e">
        <f t="shared" si="39"/>
        <v>#REF!</v>
      </c>
      <c r="M50" s="85" t="e">
        <f t="shared" si="39"/>
        <v>#REF!</v>
      </c>
      <c r="N50" s="85" t="e">
        <f t="shared" si="39"/>
        <v>#REF!</v>
      </c>
      <c r="O50" s="85" t="e">
        <f t="shared" si="39"/>
        <v>#REF!</v>
      </c>
      <c r="P50" s="85" t="e">
        <f t="shared" si="39"/>
        <v>#REF!</v>
      </c>
      <c r="Q50" s="85" t="e">
        <f t="shared" si="39"/>
        <v>#REF!</v>
      </c>
      <c r="R50" s="72" t="e">
        <f>RATE(12,,-E50,Q50)</f>
        <v>#REF!</v>
      </c>
      <c r="S50" s="56"/>
      <c r="T50" s="12">
        <f>1-T49</f>
        <v>0.59899999999999998</v>
      </c>
      <c r="U50" s="12">
        <f t="shared" ref="U50:AG50" si="40">1-U49</f>
        <v>0.59734909466880048</v>
      </c>
      <c r="V50" s="12">
        <f t="shared" si="40"/>
        <v>0.59569139260839266</v>
      </c>
      <c r="W50" s="12">
        <f t="shared" si="40"/>
        <v>0.59402686583683983</v>
      </c>
      <c r="X50" s="12">
        <f t="shared" si="40"/>
        <v>0.59235548625700507</v>
      </c>
      <c r="Y50" s="12">
        <f t="shared" si="40"/>
        <v>0.59067722565607605</v>
      </c>
      <c r="Z50" s="12">
        <f t="shared" si="40"/>
        <v>0.58899205570508917</v>
      </c>
      <c r="AA50" s="12">
        <f t="shared" si="40"/>
        <v>0.5872999479584512</v>
      </c>
      <c r="AB50" s="12">
        <f t="shared" si="40"/>
        <v>0.58560087385345938</v>
      </c>
      <c r="AC50" s="12">
        <f t="shared" si="40"/>
        <v>0.58389480470981914</v>
      </c>
      <c r="AD50" s="12">
        <f t="shared" si="40"/>
        <v>0.58218171172915989</v>
      </c>
      <c r="AE50" s="12">
        <f t="shared" si="40"/>
        <v>0.5804615659945489</v>
      </c>
      <c r="AF50" s="12">
        <f t="shared" si="40"/>
        <v>0.57873433847000344</v>
      </c>
      <c r="AG50" s="12">
        <f t="shared" si="40"/>
        <v>0.57700000000000062</v>
      </c>
    </row>
    <row r="51" spans="1:33" ht="15" hidden="1" customHeight="1" thickBot="1" x14ac:dyDescent="0.4">
      <c r="A51" s="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21"/>
    </row>
    <row r="52" spans="1:33" ht="14.5" hidden="1" customHeight="1" x14ac:dyDescent="0.35">
      <c r="A52" s="152" t="s">
        <v>14</v>
      </c>
      <c r="B52" s="59" t="s">
        <v>21</v>
      </c>
      <c r="C52" s="50"/>
      <c r="D52" s="86" t="e">
        <f t="shared" ref="D52:Q52" si="41">D42*T52</f>
        <v>#REF!</v>
      </c>
      <c r="E52" s="86" t="e">
        <f t="shared" si="41"/>
        <v>#REF!</v>
      </c>
      <c r="F52" s="86" t="e">
        <f t="shared" si="41"/>
        <v>#REF!</v>
      </c>
      <c r="G52" s="86" t="e">
        <f t="shared" si="41"/>
        <v>#REF!</v>
      </c>
      <c r="H52" s="86" t="e">
        <f t="shared" si="41"/>
        <v>#REF!</v>
      </c>
      <c r="I52" s="86" t="e">
        <f t="shared" si="41"/>
        <v>#REF!</v>
      </c>
      <c r="J52" s="86" t="e">
        <f t="shared" si="41"/>
        <v>#REF!</v>
      </c>
      <c r="K52" s="86" t="e">
        <f t="shared" si="41"/>
        <v>#REF!</v>
      </c>
      <c r="L52" s="86" t="e">
        <f t="shared" si="41"/>
        <v>#REF!</v>
      </c>
      <c r="M52" s="86" t="e">
        <f t="shared" si="41"/>
        <v>#REF!</v>
      </c>
      <c r="N52" s="86" t="e">
        <f t="shared" si="41"/>
        <v>#REF!</v>
      </c>
      <c r="O52" s="86" t="e">
        <f t="shared" si="41"/>
        <v>#REF!</v>
      </c>
      <c r="P52" s="86" t="e">
        <f t="shared" si="41"/>
        <v>#REF!</v>
      </c>
      <c r="Q52" s="86" t="e">
        <f t="shared" si="41"/>
        <v>#REF!</v>
      </c>
      <c r="R52" s="73" t="e">
        <f t="shared" ref="R52:R57" si="42">RATE(12,,-E52,Q52)</f>
        <v>#REF!</v>
      </c>
      <c r="S52" s="59"/>
      <c r="T52" s="12">
        <v>0.25</v>
      </c>
      <c r="U52" s="12">
        <v>0.25155593539307364</v>
      </c>
      <c r="V52" s="12">
        <v>0.25312155452593693</v>
      </c>
      <c r="W52" s="12">
        <v>0.25469691766768382</v>
      </c>
      <c r="X52" s="12">
        <v>0.25628208546250747</v>
      </c>
      <c r="Y52" s="12">
        <v>0.2578771189320348</v>
      </c>
      <c r="Z52" s="12">
        <v>0.25948207947767565</v>
      </c>
      <c r="AA52" s="12">
        <v>0.2610970288829863</v>
      </c>
      <c r="AB52" s="12">
        <v>0.26272202931604799</v>
      </c>
      <c r="AC52" s="12">
        <v>0.26435714333185978</v>
      </c>
      <c r="AD52" s="12">
        <v>0.26600243387474731</v>
      </c>
      <c r="AE52" s="12">
        <v>0.26765796428078514</v>
      </c>
      <c r="AF52" s="12">
        <v>0.26932379828023517</v>
      </c>
      <c r="AG52" s="12">
        <v>0.27100000000000013</v>
      </c>
    </row>
    <row r="53" spans="1:33" ht="14.5" hidden="1" customHeight="1" x14ac:dyDescent="0.35">
      <c r="A53" s="154"/>
      <c r="B53" s="60" t="s">
        <v>22</v>
      </c>
      <c r="C53" s="41"/>
      <c r="D53" s="87" t="e">
        <f t="shared" ref="D53:Q53" si="43">D42*T53</f>
        <v>#REF!</v>
      </c>
      <c r="E53" s="87" t="e">
        <f t="shared" si="43"/>
        <v>#REF!</v>
      </c>
      <c r="F53" s="87" t="e">
        <f t="shared" si="43"/>
        <v>#REF!</v>
      </c>
      <c r="G53" s="87" t="e">
        <f t="shared" si="43"/>
        <v>#REF!</v>
      </c>
      <c r="H53" s="87" t="e">
        <f t="shared" si="43"/>
        <v>#REF!</v>
      </c>
      <c r="I53" s="87" t="e">
        <f t="shared" si="43"/>
        <v>#REF!</v>
      </c>
      <c r="J53" s="87" t="e">
        <f t="shared" si="43"/>
        <v>#REF!</v>
      </c>
      <c r="K53" s="87" t="e">
        <f t="shared" si="43"/>
        <v>#REF!</v>
      </c>
      <c r="L53" s="87" t="e">
        <f t="shared" si="43"/>
        <v>#REF!</v>
      </c>
      <c r="M53" s="87" t="e">
        <f t="shared" si="43"/>
        <v>#REF!</v>
      </c>
      <c r="N53" s="87" t="e">
        <f t="shared" si="43"/>
        <v>#REF!</v>
      </c>
      <c r="O53" s="87" t="e">
        <f t="shared" si="43"/>
        <v>#REF!</v>
      </c>
      <c r="P53" s="87" t="e">
        <f t="shared" si="43"/>
        <v>#REF!</v>
      </c>
      <c r="Q53" s="87" t="e">
        <f t="shared" si="43"/>
        <v>#REF!</v>
      </c>
      <c r="R53" s="74" t="e">
        <f t="shared" si="42"/>
        <v>#REF!</v>
      </c>
      <c r="S53" s="60"/>
      <c r="T53" s="12">
        <v>0.38</v>
      </c>
      <c r="U53" s="12">
        <v>0.38090988938047371</v>
      </c>
      <c r="V53" s="12">
        <v>0.38182195744169661</v>
      </c>
      <c r="W53" s="12">
        <v>0.38273620940040159</v>
      </c>
      <c r="X53" s="12">
        <v>0.38365265048581265</v>
      </c>
      <c r="Y53" s="12">
        <v>0.38457128593967477</v>
      </c>
      <c r="Z53" s="12">
        <v>0.38549212101628438</v>
      </c>
      <c r="AA53" s="12">
        <v>0.38641516098251855</v>
      </c>
      <c r="AB53" s="12">
        <v>0.38734041111786593</v>
      </c>
      <c r="AC53" s="12">
        <v>0.38826787671445667</v>
      </c>
      <c r="AD53" s="12">
        <v>0.38919756307709236</v>
      </c>
      <c r="AE53" s="12">
        <v>0.39012947552327681</v>
      </c>
      <c r="AF53" s="12">
        <v>0.3910636193832463</v>
      </c>
      <c r="AG53" s="12">
        <v>0.39200000000000002</v>
      </c>
    </row>
    <row r="54" spans="1:33" ht="14.5" hidden="1" customHeight="1" x14ac:dyDescent="0.35">
      <c r="A54" s="154"/>
      <c r="B54" s="61" t="s">
        <v>23</v>
      </c>
      <c r="C54" s="41"/>
      <c r="D54" s="88" t="e">
        <f t="shared" ref="D54:Q54" si="44">D53*T54</f>
        <v>#REF!</v>
      </c>
      <c r="E54" s="88" t="e">
        <f t="shared" si="44"/>
        <v>#REF!</v>
      </c>
      <c r="F54" s="88" t="e">
        <f t="shared" si="44"/>
        <v>#REF!</v>
      </c>
      <c r="G54" s="88" t="e">
        <f t="shared" si="44"/>
        <v>#REF!</v>
      </c>
      <c r="H54" s="88" t="e">
        <f t="shared" si="44"/>
        <v>#REF!</v>
      </c>
      <c r="I54" s="88" t="e">
        <f t="shared" si="44"/>
        <v>#REF!</v>
      </c>
      <c r="J54" s="88" t="e">
        <f t="shared" si="44"/>
        <v>#REF!</v>
      </c>
      <c r="K54" s="88" t="e">
        <f t="shared" si="44"/>
        <v>#REF!</v>
      </c>
      <c r="L54" s="88" t="e">
        <f t="shared" si="44"/>
        <v>#REF!</v>
      </c>
      <c r="M54" s="88" t="e">
        <f t="shared" si="44"/>
        <v>#REF!</v>
      </c>
      <c r="N54" s="88" t="e">
        <f t="shared" si="44"/>
        <v>#REF!</v>
      </c>
      <c r="O54" s="88" t="e">
        <f t="shared" si="44"/>
        <v>#REF!</v>
      </c>
      <c r="P54" s="88" t="e">
        <f t="shared" si="44"/>
        <v>#REF!</v>
      </c>
      <c r="Q54" s="88" t="e">
        <f t="shared" si="44"/>
        <v>#REF!</v>
      </c>
      <c r="R54" s="74" t="e">
        <f t="shared" si="42"/>
        <v>#REF!</v>
      </c>
      <c r="S54" s="61"/>
      <c r="T54" s="67">
        <v>0.34999999999999987</v>
      </c>
      <c r="U54" s="67">
        <v>0.34938588387166564</v>
      </c>
      <c r="V54" s="67">
        <v>0.34877284528224306</v>
      </c>
      <c r="W54" s="67">
        <v>0.34816088234106346</v>
      </c>
      <c r="X54" s="67">
        <v>0.34754999316077562</v>
      </c>
      <c r="Y54" s="67">
        <v>0.34694017585733994</v>
      </c>
      <c r="Z54" s="67">
        <v>0.34633142855002247</v>
      </c>
      <c r="AA54" s="67">
        <v>0.34572374936138933</v>
      </c>
      <c r="AB54" s="67">
        <v>0.34511713641730069</v>
      </c>
      <c r="AC54" s="67">
        <v>0.34451158784690528</v>
      </c>
      <c r="AD54" s="67">
        <v>0.34390710178263434</v>
      </c>
      <c r="AE54" s="67">
        <v>0.34330367636019604</v>
      </c>
      <c r="AF54" s="67">
        <v>0.34270130971856966</v>
      </c>
      <c r="AG54" s="67">
        <v>0.34209999999999979</v>
      </c>
    </row>
    <row r="55" spans="1:33" ht="14.5" hidden="1" customHeight="1" x14ac:dyDescent="0.35">
      <c r="A55" s="154"/>
      <c r="B55" s="61" t="s">
        <v>24</v>
      </c>
      <c r="C55" s="41"/>
      <c r="D55" s="88" t="e">
        <f t="shared" ref="D55:Q55" si="45">D53*T55</f>
        <v>#REF!</v>
      </c>
      <c r="E55" s="88" t="e">
        <f t="shared" si="45"/>
        <v>#REF!</v>
      </c>
      <c r="F55" s="88" t="e">
        <f t="shared" si="45"/>
        <v>#REF!</v>
      </c>
      <c r="G55" s="88" t="e">
        <f t="shared" si="45"/>
        <v>#REF!</v>
      </c>
      <c r="H55" s="88" t="e">
        <f t="shared" si="45"/>
        <v>#REF!</v>
      </c>
      <c r="I55" s="88" t="e">
        <f t="shared" si="45"/>
        <v>#REF!</v>
      </c>
      <c r="J55" s="88" t="e">
        <f t="shared" si="45"/>
        <v>#REF!</v>
      </c>
      <c r="K55" s="88" t="e">
        <f t="shared" si="45"/>
        <v>#REF!</v>
      </c>
      <c r="L55" s="88" t="e">
        <f t="shared" si="45"/>
        <v>#REF!</v>
      </c>
      <c r="M55" s="88" t="e">
        <f t="shared" si="45"/>
        <v>#REF!</v>
      </c>
      <c r="N55" s="88" t="e">
        <f t="shared" si="45"/>
        <v>#REF!</v>
      </c>
      <c r="O55" s="88" t="e">
        <f t="shared" si="45"/>
        <v>#REF!</v>
      </c>
      <c r="P55" s="88" t="e">
        <f t="shared" si="45"/>
        <v>#REF!</v>
      </c>
      <c r="Q55" s="88" t="e">
        <f t="shared" si="45"/>
        <v>#REF!</v>
      </c>
      <c r="R55" s="74" t="e">
        <f t="shared" si="42"/>
        <v>#REF!</v>
      </c>
      <c r="S55" s="61"/>
      <c r="T55" s="67">
        <v>0.28000000000000003</v>
      </c>
      <c r="U55" s="67">
        <v>0.28097918830490543</v>
      </c>
      <c r="V55" s="67">
        <v>0.28196180093029821</v>
      </c>
      <c r="W55" s="67">
        <v>0.28294784985137333</v>
      </c>
      <c r="X55" s="67">
        <v>0.28393734708520407</v>
      </c>
      <c r="Y55" s="67">
        <v>0.28493030469088876</v>
      </c>
      <c r="Z55" s="67">
        <v>0.28592673476969749</v>
      </c>
      <c r="AA55" s="67">
        <v>0.28692664946521995</v>
      </c>
      <c r="AB55" s="67">
        <v>0.28793006096351298</v>
      </c>
      <c r="AC55" s="67">
        <v>0.28893698149324931</v>
      </c>
      <c r="AD55" s="67">
        <v>0.28994742332586665</v>
      </c>
      <c r="AE55" s="67">
        <v>0.29096139877571725</v>
      </c>
      <c r="AF55" s="67">
        <v>0.29197892020021765</v>
      </c>
      <c r="AG55" s="67">
        <v>0.29299999999999965</v>
      </c>
    </row>
    <row r="56" spans="1:33" ht="14.5" hidden="1" customHeight="1" x14ac:dyDescent="0.35">
      <c r="A56" s="154"/>
      <c r="B56" s="61" t="s">
        <v>25</v>
      </c>
      <c r="C56" s="41"/>
      <c r="D56" s="88" t="e">
        <f t="shared" ref="D56:Q56" si="46">D53*T56</f>
        <v>#REF!</v>
      </c>
      <c r="E56" s="88" t="e">
        <f t="shared" si="46"/>
        <v>#REF!</v>
      </c>
      <c r="F56" s="88" t="e">
        <f t="shared" si="46"/>
        <v>#REF!</v>
      </c>
      <c r="G56" s="88" t="e">
        <f t="shared" si="46"/>
        <v>#REF!</v>
      </c>
      <c r="H56" s="88" t="e">
        <f t="shared" si="46"/>
        <v>#REF!</v>
      </c>
      <c r="I56" s="88" t="e">
        <f t="shared" si="46"/>
        <v>#REF!</v>
      </c>
      <c r="J56" s="88" t="e">
        <f t="shared" si="46"/>
        <v>#REF!</v>
      </c>
      <c r="K56" s="88" t="e">
        <f t="shared" si="46"/>
        <v>#REF!</v>
      </c>
      <c r="L56" s="88" t="e">
        <f t="shared" si="46"/>
        <v>#REF!</v>
      </c>
      <c r="M56" s="88" t="e">
        <f t="shared" si="46"/>
        <v>#REF!</v>
      </c>
      <c r="N56" s="88" t="e">
        <f t="shared" si="46"/>
        <v>#REF!</v>
      </c>
      <c r="O56" s="88" t="e">
        <f t="shared" si="46"/>
        <v>#REF!</v>
      </c>
      <c r="P56" s="88" t="e">
        <f t="shared" si="46"/>
        <v>#REF!</v>
      </c>
      <c r="Q56" s="88" t="e">
        <f t="shared" si="46"/>
        <v>#REF!</v>
      </c>
      <c r="R56" s="74" t="e">
        <f t="shared" si="42"/>
        <v>#REF!</v>
      </c>
      <c r="S56" s="61"/>
      <c r="T56" s="67">
        <f>1-SUM(T54:T55)</f>
        <v>0.37000000000000011</v>
      </c>
      <c r="U56" s="67">
        <f t="shared" ref="U56:AG56" si="47">1-SUM(U54:U55)</f>
        <v>0.36963492782342899</v>
      </c>
      <c r="V56" s="67">
        <f t="shared" si="47"/>
        <v>0.36926535378745873</v>
      </c>
      <c r="W56" s="67">
        <f t="shared" si="47"/>
        <v>0.36889126780756321</v>
      </c>
      <c r="X56" s="67">
        <f t="shared" si="47"/>
        <v>0.36851265975402026</v>
      </c>
      <c r="Y56" s="67">
        <f t="shared" si="47"/>
        <v>0.3681295194517713</v>
      </c>
      <c r="Z56" s="67">
        <f t="shared" si="47"/>
        <v>0.36774183668028004</v>
      </c>
      <c r="AA56" s="67">
        <f t="shared" si="47"/>
        <v>0.36734960117339077</v>
      </c>
      <c r="AB56" s="67">
        <f t="shared" si="47"/>
        <v>0.36695280261918639</v>
      </c>
      <c r="AC56" s="67">
        <f t="shared" si="47"/>
        <v>0.36655143065984541</v>
      </c>
      <c r="AD56" s="67">
        <f t="shared" si="47"/>
        <v>0.36614547489149896</v>
      </c>
      <c r="AE56" s="67">
        <f t="shared" si="47"/>
        <v>0.36573492486408665</v>
      </c>
      <c r="AF56" s="67">
        <f t="shared" si="47"/>
        <v>0.36531977008121275</v>
      </c>
      <c r="AG56" s="67">
        <f t="shared" si="47"/>
        <v>0.36490000000000056</v>
      </c>
    </row>
    <row r="57" spans="1:33" ht="15" hidden="1" customHeight="1" thickBot="1" x14ac:dyDescent="0.4">
      <c r="A57" s="153"/>
      <c r="B57" s="62" t="s">
        <v>26</v>
      </c>
      <c r="C57" s="51"/>
      <c r="D57" s="89" t="e">
        <f t="shared" ref="D57:Q57" si="48">D42*T57</f>
        <v>#REF!</v>
      </c>
      <c r="E57" s="89" t="e">
        <f t="shared" si="48"/>
        <v>#REF!</v>
      </c>
      <c r="F57" s="89" t="e">
        <f t="shared" si="48"/>
        <v>#REF!</v>
      </c>
      <c r="G57" s="89" t="e">
        <f t="shared" si="48"/>
        <v>#REF!</v>
      </c>
      <c r="H57" s="89" t="e">
        <f t="shared" si="48"/>
        <v>#REF!</v>
      </c>
      <c r="I57" s="89" t="e">
        <f t="shared" si="48"/>
        <v>#REF!</v>
      </c>
      <c r="J57" s="89" t="e">
        <f t="shared" si="48"/>
        <v>#REF!</v>
      </c>
      <c r="K57" s="89" t="e">
        <f t="shared" si="48"/>
        <v>#REF!</v>
      </c>
      <c r="L57" s="89" t="e">
        <f t="shared" si="48"/>
        <v>#REF!</v>
      </c>
      <c r="M57" s="89" t="e">
        <f t="shared" si="48"/>
        <v>#REF!</v>
      </c>
      <c r="N57" s="89" t="e">
        <f t="shared" si="48"/>
        <v>#REF!</v>
      </c>
      <c r="O57" s="89" t="e">
        <f t="shared" si="48"/>
        <v>#REF!</v>
      </c>
      <c r="P57" s="89" t="e">
        <f t="shared" si="48"/>
        <v>#REF!</v>
      </c>
      <c r="Q57" s="89" t="e">
        <f t="shared" si="48"/>
        <v>#REF!</v>
      </c>
      <c r="R57" s="75" t="e">
        <f t="shared" si="42"/>
        <v>#REF!</v>
      </c>
      <c r="S57" s="62"/>
      <c r="T57" s="12">
        <f>1-SUM(T52+T53)</f>
        <v>0.37</v>
      </c>
      <c r="U57" s="12">
        <f t="shared" ref="U57:AG57" si="49">1-SUM(U52+U53)</f>
        <v>0.36753417522645271</v>
      </c>
      <c r="V57" s="12">
        <f t="shared" si="49"/>
        <v>0.36505648803236646</v>
      </c>
      <c r="W57" s="12">
        <f t="shared" si="49"/>
        <v>0.36256687293191459</v>
      </c>
      <c r="X57" s="12">
        <f t="shared" si="49"/>
        <v>0.36006526405167993</v>
      </c>
      <c r="Y57" s="12">
        <f t="shared" si="49"/>
        <v>0.35755159512829038</v>
      </c>
      <c r="Z57" s="12">
        <f t="shared" si="49"/>
        <v>0.35502579950603996</v>
      </c>
      <c r="AA57" s="12">
        <f t="shared" si="49"/>
        <v>0.35248781013449515</v>
      </c>
      <c r="AB57" s="12">
        <f t="shared" si="49"/>
        <v>0.34993755956608608</v>
      </c>
      <c r="AC57" s="12">
        <f t="shared" si="49"/>
        <v>0.3473749799536836</v>
      </c>
      <c r="AD57" s="12">
        <f t="shared" si="49"/>
        <v>0.34480000304816039</v>
      </c>
      <c r="AE57" s="12">
        <f t="shared" si="49"/>
        <v>0.34221256019593804</v>
      </c>
      <c r="AF57" s="12">
        <f t="shared" si="49"/>
        <v>0.33961258233651859</v>
      </c>
      <c r="AG57" s="12">
        <f t="shared" si="49"/>
        <v>0.33699999999999986</v>
      </c>
    </row>
    <row r="58" spans="1:33" ht="15" hidden="1" customHeight="1" thickBot="1" x14ac:dyDescent="0.4">
      <c r="A58" s="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21"/>
    </row>
    <row r="59" spans="1:33" ht="14.5" hidden="1" customHeight="1" x14ac:dyDescent="0.35">
      <c r="A59" s="152" t="s">
        <v>27</v>
      </c>
      <c r="B59" s="54" t="s">
        <v>28</v>
      </c>
      <c r="C59" s="49"/>
      <c r="D59" s="84" t="e">
        <f t="shared" ref="D59:Q59" si="50">D42*T59</f>
        <v>#REF!</v>
      </c>
      <c r="E59" s="84" t="e">
        <f t="shared" si="50"/>
        <v>#REF!</v>
      </c>
      <c r="F59" s="84" t="e">
        <f t="shared" si="50"/>
        <v>#REF!</v>
      </c>
      <c r="G59" s="84" t="e">
        <f t="shared" si="50"/>
        <v>#REF!</v>
      </c>
      <c r="H59" s="84" t="e">
        <f t="shared" si="50"/>
        <v>#REF!</v>
      </c>
      <c r="I59" s="84" t="e">
        <f t="shared" si="50"/>
        <v>#REF!</v>
      </c>
      <c r="J59" s="84" t="e">
        <f t="shared" si="50"/>
        <v>#REF!</v>
      </c>
      <c r="K59" s="84" t="e">
        <f t="shared" si="50"/>
        <v>#REF!</v>
      </c>
      <c r="L59" s="84" t="e">
        <f t="shared" si="50"/>
        <v>#REF!</v>
      </c>
      <c r="M59" s="84" t="e">
        <f t="shared" si="50"/>
        <v>#REF!</v>
      </c>
      <c r="N59" s="84" t="e">
        <f t="shared" si="50"/>
        <v>#REF!</v>
      </c>
      <c r="O59" s="84" t="e">
        <f t="shared" si="50"/>
        <v>#REF!</v>
      </c>
      <c r="P59" s="84" t="e">
        <f t="shared" si="50"/>
        <v>#REF!</v>
      </c>
      <c r="Q59" s="84" t="e">
        <f t="shared" si="50"/>
        <v>#REF!</v>
      </c>
      <c r="R59" s="71" t="e">
        <f>RATE(12,,-E59,Q59)</f>
        <v>#REF!</v>
      </c>
      <c r="S59" s="54"/>
      <c r="T59" s="12">
        <v>0.40099999999999997</v>
      </c>
      <c r="U59" s="12">
        <v>0.40265090533119946</v>
      </c>
      <c r="V59" s="12">
        <v>0.40430860739160734</v>
      </c>
      <c r="W59" s="12">
        <v>0.40597313416316017</v>
      </c>
      <c r="X59" s="12">
        <v>0.40764451374299493</v>
      </c>
      <c r="Y59" s="12">
        <v>0.40932277434392395</v>
      </c>
      <c r="Z59" s="12">
        <v>0.41100794429491083</v>
      </c>
      <c r="AA59" s="12">
        <v>0.4127000520415488</v>
      </c>
      <c r="AB59" s="12">
        <v>0.41439912614654062</v>
      </c>
      <c r="AC59" s="12">
        <v>0.41610519529018092</v>
      </c>
      <c r="AD59" s="12">
        <v>0.41781828827084017</v>
      </c>
      <c r="AE59" s="12">
        <v>0.4195384340054511</v>
      </c>
      <c r="AF59" s="12">
        <v>0.4212656615299965</v>
      </c>
      <c r="AG59" s="12">
        <v>0.42299999999999938</v>
      </c>
    </row>
    <row r="60" spans="1:33" ht="14.5" hidden="1" customHeight="1" x14ac:dyDescent="0.35">
      <c r="A60" s="154"/>
      <c r="B60" s="55" t="s">
        <v>29</v>
      </c>
      <c r="C60" s="40"/>
      <c r="D60" s="90" t="e">
        <f t="shared" ref="D60:Q60" si="51">D42*T60</f>
        <v>#REF!</v>
      </c>
      <c r="E60" s="90" t="e">
        <f t="shared" si="51"/>
        <v>#REF!</v>
      </c>
      <c r="F60" s="90" t="e">
        <f t="shared" si="51"/>
        <v>#REF!</v>
      </c>
      <c r="G60" s="90" t="e">
        <f t="shared" si="51"/>
        <v>#REF!</v>
      </c>
      <c r="H60" s="90" t="e">
        <f t="shared" si="51"/>
        <v>#REF!</v>
      </c>
      <c r="I60" s="90" t="e">
        <f t="shared" si="51"/>
        <v>#REF!</v>
      </c>
      <c r="J60" s="90" t="e">
        <f t="shared" si="51"/>
        <v>#REF!</v>
      </c>
      <c r="K60" s="90" t="e">
        <f t="shared" si="51"/>
        <v>#REF!</v>
      </c>
      <c r="L60" s="90" t="e">
        <f t="shared" si="51"/>
        <v>#REF!</v>
      </c>
      <c r="M60" s="90" t="e">
        <f t="shared" si="51"/>
        <v>#REF!</v>
      </c>
      <c r="N60" s="90" t="e">
        <f t="shared" si="51"/>
        <v>#REF!</v>
      </c>
      <c r="O60" s="90" t="e">
        <f t="shared" si="51"/>
        <v>#REF!</v>
      </c>
      <c r="P60" s="90" t="e">
        <f t="shared" si="51"/>
        <v>#REF!</v>
      </c>
      <c r="Q60" s="90" t="e">
        <f t="shared" si="51"/>
        <v>#REF!</v>
      </c>
      <c r="R60" s="76" t="e">
        <f>RATE(12,,-E60,Q60)</f>
        <v>#REF!</v>
      </c>
      <c r="S60" s="55"/>
      <c r="T60" s="12">
        <v>0.43099999999999999</v>
      </c>
      <c r="U60" s="12">
        <v>0.43183634674261745</v>
      </c>
      <c r="V60" s="12">
        <v>0.43267431639909548</v>
      </c>
      <c r="W60" s="12">
        <v>0.43351391211866536</v>
      </c>
      <c r="X60" s="12">
        <v>0.43435513705666956</v>
      </c>
      <c r="Y60" s="12">
        <v>0.43519799437457324</v>
      </c>
      <c r="Z60" s="12">
        <v>0.43604248723997657</v>
      </c>
      <c r="AA60" s="12">
        <v>0.43688861882662616</v>
      </c>
      <c r="AB60" s="12">
        <v>0.43773639231442729</v>
      </c>
      <c r="AC60" s="12">
        <v>0.43858581088945586</v>
      </c>
      <c r="AD60" s="12">
        <v>0.43943687774397006</v>
      </c>
      <c r="AE60" s="12">
        <v>0.44028959607642287</v>
      </c>
      <c r="AF60" s="12">
        <v>0.44114396909147369</v>
      </c>
      <c r="AG60" s="12">
        <v>0.44200000000000028</v>
      </c>
    </row>
    <row r="61" spans="1:33" ht="15" hidden="1" customHeight="1" thickBot="1" x14ac:dyDescent="0.4">
      <c r="A61" s="153"/>
      <c r="B61" s="56" t="s">
        <v>30</v>
      </c>
      <c r="C61" s="44"/>
      <c r="D61" s="85" t="e">
        <f t="shared" ref="D61:Q61" si="52">D42*T61</f>
        <v>#REF!</v>
      </c>
      <c r="E61" s="85" t="e">
        <f t="shared" si="52"/>
        <v>#REF!</v>
      </c>
      <c r="F61" s="85" t="e">
        <f t="shared" si="52"/>
        <v>#REF!</v>
      </c>
      <c r="G61" s="85" t="e">
        <f t="shared" si="52"/>
        <v>#REF!</v>
      </c>
      <c r="H61" s="85" t="e">
        <f t="shared" si="52"/>
        <v>#REF!</v>
      </c>
      <c r="I61" s="85" t="e">
        <f t="shared" si="52"/>
        <v>#REF!</v>
      </c>
      <c r="J61" s="85" t="e">
        <f t="shared" si="52"/>
        <v>#REF!</v>
      </c>
      <c r="K61" s="85" t="e">
        <f t="shared" si="52"/>
        <v>#REF!</v>
      </c>
      <c r="L61" s="85" t="e">
        <f t="shared" si="52"/>
        <v>#REF!</v>
      </c>
      <c r="M61" s="85" t="e">
        <f t="shared" si="52"/>
        <v>#REF!</v>
      </c>
      <c r="N61" s="85" t="e">
        <f t="shared" si="52"/>
        <v>#REF!</v>
      </c>
      <c r="O61" s="85" t="e">
        <f t="shared" si="52"/>
        <v>#REF!</v>
      </c>
      <c r="P61" s="85" t="e">
        <f t="shared" si="52"/>
        <v>#REF!</v>
      </c>
      <c r="Q61" s="85" t="e">
        <f t="shared" si="52"/>
        <v>#REF!</v>
      </c>
      <c r="R61" s="72" t="e">
        <f>RATE(12,,-E61,Q61)</f>
        <v>#REF!</v>
      </c>
      <c r="S61" s="56"/>
      <c r="T61" s="12">
        <f>1-SUM(T59:T60)</f>
        <v>0.16800000000000004</v>
      </c>
      <c r="U61" s="12">
        <f t="shared" ref="U61:AG61" si="53">1-SUM(U59:U60)</f>
        <v>0.16551274792618309</v>
      </c>
      <c r="V61" s="12">
        <f t="shared" si="53"/>
        <v>0.16301707620929717</v>
      </c>
      <c r="W61" s="12">
        <f t="shared" si="53"/>
        <v>0.16051295371817442</v>
      </c>
      <c r="X61" s="12">
        <f t="shared" si="53"/>
        <v>0.15800034920033545</v>
      </c>
      <c r="Y61" s="12">
        <f t="shared" si="53"/>
        <v>0.15547923128150276</v>
      </c>
      <c r="Z61" s="12">
        <f t="shared" si="53"/>
        <v>0.15294956846511254</v>
      </c>
      <c r="AA61" s="12">
        <f t="shared" si="53"/>
        <v>0.15041132913182498</v>
      </c>
      <c r="AB61" s="12">
        <f t="shared" si="53"/>
        <v>0.14786448153903209</v>
      </c>
      <c r="AC61" s="12">
        <f t="shared" si="53"/>
        <v>0.14530899382036322</v>
      </c>
      <c r="AD61" s="12">
        <f t="shared" si="53"/>
        <v>0.14274483398518978</v>
      </c>
      <c r="AE61" s="12">
        <f t="shared" si="53"/>
        <v>0.14017196991812608</v>
      </c>
      <c r="AF61" s="12">
        <f t="shared" si="53"/>
        <v>0.13759036937852986</v>
      </c>
      <c r="AG61" s="12">
        <f t="shared" si="53"/>
        <v>0.13500000000000034</v>
      </c>
    </row>
    <row r="62" spans="1:33" ht="15.5" x14ac:dyDescent="0.35">
      <c r="A62" s="42"/>
      <c r="B62" s="43"/>
      <c r="C62" s="93"/>
      <c r="D62" s="91">
        <v>2023</v>
      </c>
      <c r="E62" s="65">
        <v>2024</v>
      </c>
      <c r="F62" s="65">
        <v>2025</v>
      </c>
      <c r="G62" s="65">
        <v>2026</v>
      </c>
      <c r="H62" s="65">
        <v>2027</v>
      </c>
      <c r="I62" s="65">
        <v>2028</v>
      </c>
      <c r="J62" s="65">
        <v>2029</v>
      </c>
      <c r="K62" s="65">
        <v>2030</v>
      </c>
      <c r="L62" s="65">
        <v>2031</v>
      </c>
      <c r="M62" s="65">
        <v>2032</v>
      </c>
      <c r="N62" s="65">
        <v>2033</v>
      </c>
      <c r="O62" s="65">
        <v>2034</v>
      </c>
      <c r="P62" s="65">
        <v>2035</v>
      </c>
      <c r="Q62" s="65">
        <v>2036</v>
      </c>
      <c r="R62" s="66" t="s">
        <v>84</v>
      </c>
    </row>
    <row r="63" spans="1:33" ht="16" thickBot="1" x14ac:dyDescent="0.4">
      <c r="A63" s="1"/>
      <c r="C63" s="21"/>
      <c r="D63" s="92">
        <f>'Market Analysis '!C47</f>
        <v>240.92249999999999</v>
      </c>
      <c r="E63" s="92">
        <f>'Market Analysis '!D47</f>
        <v>270.79689000000002</v>
      </c>
      <c r="F63" s="92">
        <f>'Market Analysis '!E47</f>
        <v>304.98750744919636</v>
      </c>
      <c r="G63" s="92">
        <f>'Market Analysis '!F47</f>
        <v>344.19661058451379</v>
      </c>
      <c r="H63" s="92">
        <f>'Market Analysis '!G47</f>
        <v>389.25265211677362</v>
      </c>
      <c r="I63" s="92">
        <f>'Market Analysis '!H47</f>
        <v>441.13499871281834</v>
      </c>
      <c r="J63" s="92">
        <f>'Market Analysis '!I47</f>
        <v>501.00387846507027</v>
      </c>
      <c r="K63" s="92">
        <f>'Market Analysis '!J47</f>
        <v>570.23674138133697</v>
      </c>
      <c r="L63" s="92">
        <f>'Market Analysis '!K47</f>
        <v>650.47250413636073</v>
      </c>
      <c r="M63" s="92">
        <f>'Market Analysis '!L47</f>
        <v>743.66550983656543</v>
      </c>
      <c r="N63" s="92">
        <f>'Market Analysis '!M47</f>
        <v>852.15148618872183</v>
      </c>
      <c r="O63" s="92">
        <f>'Market Analysis '!N47</f>
        <v>978.72835670549603</v>
      </c>
      <c r="P63" s="92">
        <f>'Market Analysis '!O47</f>
        <v>1126.7554822324714</v>
      </c>
      <c r="Q63" s="92">
        <f>'Market Analysis '!P47</f>
        <v>1300.2758264962722</v>
      </c>
      <c r="R63" s="68">
        <f t="shared" ref="R63:R68" si="54">RATE(9,,-H63,Q63)</f>
        <v>0.14340591424533486</v>
      </c>
      <c r="T63" s="65">
        <v>2023</v>
      </c>
      <c r="U63" s="65">
        <v>2024</v>
      </c>
      <c r="V63" s="65">
        <v>2025</v>
      </c>
      <c r="W63" s="65">
        <v>2026</v>
      </c>
      <c r="X63" s="65">
        <v>2027</v>
      </c>
      <c r="Y63" s="65">
        <v>2028</v>
      </c>
      <c r="Z63" s="65">
        <v>2029</v>
      </c>
      <c r="AA63" s="65">
        <v>2030</v>
      </c>
      <c r="AB63" s="65">
        <v>2031</v>
      </c>
      <c r="AC63" s="65">
        <v>2032</v>
      </c>
      <c r="AD63" s="65">
        <v>2033</v>
      </c>
      <c r="AE63" s="65">
        <v>2034</v>
      </c>
      <c r="AF63" s="65">
        <v>2035</v>
      </c>
      <c r="AG63" s="65">
        <v>2036</v>
      </c>
    </row>
    <row r="64" spans="1:33" s="121" customFormat="1" x14ac:dyDescent="0.35">
      <c r="A64" s="147" t="s">
        <v>59</v>
      </c>
      <c r="B64" s="118" t="s">
        <v>60</v>
      </c>
      <c r="C64" s="119"/>
      <c r="D64" s="120">
        <f>D63*T64</f>
        <v>137.32582500000001</v>
      </c>
      <c r="E64" s="120">
        <f>E63*U64</f>
        <v>154.56086464606273</v>
      </c>
      <c r="F64" s="120">
        <f>F63*V64</f>
        <v>174.30864525577542</v>
      </c>
      <c r="G64" s="120">
        <f t="shared" ref="G64:Q64" si="55">G63*W64</f>
        <v>196.98106304372141</v>
      </c>
      <c r="H64" s="120">
        <f t="shared" si="55"/>
        <v>223.0645098331625</v>
      </c>
      <c r="I64" s="120">
        <f t="shared" si="55"/>
        <v>253.13454904987776</v>
      </c>
      <c r="J64" s="120">
        <f t="shared" si="55"/>
        <v>287.87371158448542</v>
      </c>
      <c r="K64" s="120">
        <f t="shared" si="55"/>
        <v>328.09312203759947</v>
      </c>
      <c r="L64" s="120">
        <f t="shared" si="55"/>
        <v>374.75883821135636</v>
      </c>
      <c r="M64" s="120">
        <f t="shared" si="55"/>
        <v>429.02400337919664</v>
      </c>
      <c r="N64" s="120">
        <f t="shared" si="55"/>
        <v>492.26818388711621</v>
      </c>
      <c r="O64" s="120">
        <f t="shared" si="55"/>
        <v>566.14560948634414</v>
      </c>
      <c r="P64" s="120">
        <f t="shared" si="55"/>
        <v>652.64447041166568</v>
      </c>
      <c r="Q64" s="120">
        <f t="shared" si="55"/>
        <v>754.15997936783901</v>
      </c>
      <c r="R64" s="68">
        <f t="shared" si="54"/>
        <v>0.14493661649900758</v>
      </c>
      <c r="S64" s="118" t="s">
        <v>60</v>
      </c>
      <c r="T64" s="136">
        <v>0.57000000000000006</v>
      </c>
      <c r="U64" s="136">
        <v>0.57076307134126514</v>
      </c>
      <c r="V64" s="136">
        <v>0.57152716422265615</v>
      </c>
      <c r="W64" s="136">
        <v>0.57229228001173127</v>
      </c>
      <c r="X64" s="136">
        <v>0.57305842007787888</v>
      </c>
      <c r="Y64" s="136">
        <v>0.57382558579232101</v>
      </c>
      <c r="Z64" s="136">
        <v>0.57459377852811533</v>
      </c>
      <c r="AA64" s="136">
        <v>0.57536299966015747</v>
      </c>
      <c r="AB64" s="136">
        <v>0.57613325056518361</v>
      </c>
      <c r="AC64" s="136">
        <v>0.57690453262177344</v>
      </c>
      <c r="AD64" s="136">
        <v>0.57767684721035151</v>
      </c>
      <c r="AE64" s="136">
        <v>0.57845019571319112</v>
      </c>
      <c r="AF64" s="136">
        <v>0.57922457951441542</v>
      </c>
      <c r="AG64" s="136">
        <v>0.58000000000000085</v>
      </c>
    </row>
    <row r="65" spans="1:33" s="117" customFormat="1" x14ac:dyDescent="0.35">
      <c r="A65" s="148"/>
      <c r="B65" s="113" t="s">
        <v>61</v>
      </c>
      <c r="C65" s="114"/>
      <c r="D65" s="115">
        <f>D63*T65</f>
        <v>33.729150000000011</v>
      </c>
      <c r="E65" s="115">
        <f t="shared" ref="E65:Q65" si="56">E63*U65</f>
        <v>37.952953461183654</v>
      </c>
      <c r="F65" s="115">
        <f t="shared" si="56"/>
        <v>42.791531110129341</v>
      </c>
      <c r="G65" s="115">
        <f t="shared" si="56"/>
        <v>48.345519880732688</v>
      </c>
      <c r="H65" s="115">
        <f t="shared" si="56"/>
        <v>54.733736305940816</v>
      </c>
      <c r="I65" s="115">
        <f t="shared" si="56"/>
        <v>62.096754221087437</v>
      </c>
      <c r="J65" s="115">
        <f t="shared" si="56"/>
        <v>70.601242305600266</v>
      </c>
      <c r="K65" s="115">
        <f t="shared" si="56"/>
        <v>80.445234357683702</v>
      </c>
      <c r="L65" s="115">
        <f t="shared" si="56"/>
        <v>91.864547102015365</v>
      </c>
      <c r="M65" s="115">
        <f t="shared" si="56"/>
        <v>105.14061300378464</v>
      </c>
      <c r="N65" s="115">
        <f t="shared" si="56"/>
        <v>120.61006192526298</v>
      </c>
      <c r="O65" s="115">
        <f t="shared" si="56"/>
        <v>138.67646926956238</v>
      </c>
      <c r="P65" s="115">
        <f t="shared" si="56"/>
        <v>159.8247943506797</v>
      </c>
      <c r="Q65" s="115">
        <f t="shared" si="56"/>
        <v>184.63916736247072</v>
      </c>
      <c r="R65" s="68">
        <f t="shared" si="54"/>
        <v>0.14465419479404218</v>
      </c>
      <c r="S65" s="113" t="s">
        <v>61</v>
      </c>
      <c r="T65" s="135">
        <v>0.14000000000000007</v>
      </c>
      <c r="U65" s="135">
        <v>0.14015284097680608</v>
      </c>
      <c r="V65" s="135">
        <v>0.14030584881335637</v>
      </c>
      <c r="W65" s="135">
        <v>0.14045902369181512</v>
      </c>
      <c r="X65" s="135">
        <v>0.1406123657945457</v>
      </c>
      <c r="Y65" s="135">
        <v>0.14076587530411028</v>
      </c>
      <c r="Z65" s="135">
        <v>0.14091955240327056</v>
      </c>
      <c r="AA65" s="135">
        <v>0.14107339727498758</v>
      </c>
      <c r="AB65" s="135">
        <v>0.14122741010242224</v>
      </c>
      <c r="AC65" s="135">
        <v>0.14138159106893539</v>
      </c>
      <c r="AD65" s="135">
        <v>0.141535940358088</v>
      </c>
      <c r="AE65" s="135">
        <v>0.14169045815364148</v>
      </c>
      <c r="AF65" s="135">
        <v>0.14184514463955789</v>
      </c>
      <c r="AG65" s="135">
        <v>0.14200000000000004</v>
      </c>
    </row>
    <row r="66" spans="1:33" s="117" customFormat="1" x14ac:dyDescent="0.35">
      <c r="A66" s="148"/>
      <c r="B66" s="113" t="s">
        <v>62</v>
      </c>
      <c r="C66" s="114"/>
      <c r="D66" s="115">
        <f>D63*T66</f>
        <v>33.729150000000004</v>
      </c>
      <c r="E66" s="115">
        <f t="shared" ref="E66:Q66" si="57">E63*U66</f>
        <v>37.932326770723556</v>
      </c>
      <c r="F66" s="115">
        <f t="shared" si="57"/>
        <v>42.745031023303504</v>
      </c>
      <c r="G66" s="115">
        <f t="shared" si="57"/>
        <v>48.266738169336065</v>
      </c>
      <c r="H66" s="115">
        <f t="shared" si="57"/>
        <v>54.61484639593273</v>
      </c>
      <c r="I66" s="115">
        <f t="shared" si="57"/>
        <v>61.928195659359602</v>
      </c>
      <c r="J66" s="115">
        <f t="shared" si="57"/>
        <v>70.37133248791352</v>
      </c>
      <c r="K66" s="115">
        <f t="shared" si="57"/>
        <v>80.139689972698633</v>
      </c>
      <c r="L66" s="115">
        <f t="shared" si="57"/>
        <v>91.46589330591604</v>
      </c>
      <c r="M66" s="115">
        <f t="shared" si="57"/>
        <v>104.62745272027064</v>
      </c>
      <c r="N66" s="115">
        <f t="shared" si="57"/>
        <v>119.95617053831572</v>
      </c>
      <c r="O66" s="115">
        <f t="shared" si="57"/>
        <v>137.84967091734231</v>
      </c>
      <c r="P66" s="115">
        <f t="shared" si="57"/>
        <v>158.7855644892899</v>
      </c>
      <c r="Q66" s="115">
        <f t="shared" si="57"/>
        <v>183.33889153597471</v>
      </c>
      <c r="R66" s="68">
        <f t="shared" si="54"/>
        <v>0.14403209754977875</v>
      </c>
      <c r="S66" s="113" t="s">
        <v>62</v>
      </c>
      <c r="T66" s="135">
        <v>0.14000000000000001</v>
      </c>
      <c r="U66" s="135">
        <v>0.14007667063947282</v>
      </c>
      <c r="V66" s="135">
        <v>0.14015338326742385</v>
      </c>
      <c r="W66" s="135">
        <v>0.1402301379068481</v>
      </c>
      <c r="X66" s="135">
        <v>0.14030693458075291</v>
      </c>
      <c r="Y66" s="135">
        <v>0.14038377331215846</v>
      </c>
      <c r="Z66" s="135">
        <v>0.14046065412409731</v>
      </c>
      <c r="AA66" s="135">
        <v>0.14053757703961495</v>
      </c>
      <c r="AB66" s="135">
        <v>0.14061454208176913</v>
      </c>
      <c r="AC66" s="135">
        <v>0.14069154927363042</v>
      </c>
      <c r="AD66" s="135">
        <v>0.14076859863828203</v>
      </c>
      <c r="AE66" s="135">
        <v>0.14084569019881982</v>
      </c>
      <c r="AF66" s="135">
        <v>0.14092282397835218</v>
      </c>
      <c r="AG66" s="135">
        <v>0.14100000000000026</v>
      </c>
    </row>
    <row r="67" spans="1:33" s="117" customFormat="1" x14ac:dyDescent="0.35">
      <c r="A67" s="148"/>
      <c r="B67" s="113" t="s">
        <v>63</v>
      </c>
      <c r="C67" s="114"/>
      <c r="D67" s="115">
        <f>D63*T67</f>
        <v>24.092250000000014</v>
      </c>
      <c r="E67" s="115">
        <f t="shared" ref="E67:Q67" si="58">E63*U67</f>
        <v>27.181512454594387</v>
      </c>
      <c r="F67" s="115">
        <f t="shared" si="58"/>
        <v>30.72854117557555</v>
      </c>
      <c r="G67" s="115">
        <f t="shared" si="58"/>
        <v>34.809391190230933</v>
      </c>
      <c r="H67" s="115">
        <f t="shared" si="58"/>
        <v>39.514033579554123</v>
      </c>
      <c r="I67" s="115">
        <f t="shared" si="58"/>
        <v>44.949125370412432</v>
      </c>
      <c r="J67" s="115">
        <f t="shared" si="58"/>
        <v>51.241373751979509</v>
      </c>
      <c r="K67" s="115">
        <f t="shared" si="58"/>
        <v>58.54163112040137</v>
      </c>
      <c r="L67" s="115">
        <f t="shared" si="58"/>
        <v>67.029890827862175</v>
      </c>
      <c r="M67" s="115">
        <f t="shared" si="58"/>
        <v>76.921395528830914</v>
      </c>
      <c r="N67" s="115">
        <f t="shared" si="58"/>
        <v>88.474123040589475</v>
      </c>
      <c r="O67" s="115">
        <f t="shared" si="58"/>
        <v>101.99798171012914</v>
      </c>
      <c r="P67" s="115">
        <f t="shared" si="58"/>
        <v>117.86613233282462</v>
      </c>
      <c r="Q67" s="115">
        <f t="shared" si="58"/>
        <v>136.52896178210872</v>
      </c>
      <c r="R67" s="68">
        <f t="shared" si="54"/>
        <v>0.14770528194457561</v>
      </c>
      <c r="S67" s="113" t="s">
        <v>63</v>
      </c>
      <c r="T67" s="135">
        <v>0.10000000000000006</v>
      </c>
      <c r="U67" s="135">
        <v>0.10037601412111632</v>
      </c>
      <c r="V67" s="135">
        <v>0.10075344210842535</v>
      </c>
      <c r="W67" s="135">
        <v>0.10113228927826372</v>
      </c>
      <c r="X67" s="135">
        <v>0.10151256096695813</v>
      </c>
      <c r="Y67" s="135">
        <v>0.10189426253090064</v>
      </c>
      <c r="Z67" s="135">
        <v>0.10227739934662408</v>
      </c>
      <c r="AA67" s="135">
        <v>0.10266197681087785</v>
      </c>
      <c r="AB67" s="135">
        <v>0.10304800034070384</v>
      </c>
      <c r="AC67" s="135">
        <v>0.10343547537351282</v>
      </c>
      <c r="AD67" s="135">
        <v>0.10382440736716095</v>
      </c>
      <c r="AE67" s="135">
        <v>0.10421480180002674</v>
      </c>
      <c r="AF67" s="135">
        <v>0.10460666417108815</v>
      </c>
      <c r="AG67" s="135">
        <v>0.10500000000000011</v>
      </c>
    </row>
    <row r="68" spans="1:33" s="117" customFormat="1" x14ac:dyDescent="0.35">
      <c r="A68" s="148"/>
      <c r="B68" s="113" t="s">
        <v>64</v>
      </c>
      <c r="C68" s="114"/>
      <c r="D68" s="115">
        <f>D63*T68</f>
        <v>12.046124999999929</v>
      </c>
      <c r="E68" s="115">
        <f t="shared" ref="E68:Q68" si="59">E63*U68</f>
        <v>13.169232667435681</v>
      </c>
      <c r="F68" s="115">
        <f t="shared" si="59"/>
        <v>14.413758884412548</v>
      </c>
      <c r="G68" s="115">
        <f t="shared" si="59"/>
        <v>15.7938983004927</v>
      </c>
      <c r="H68" s="115">
        <f>H63*X68</f>
        <v>17.325526002183413</v>
      </c>
      <c r="I68" s="115">
        <f t="shared" si="59"/>
        <v>19.026374412081154</v>
      </c>
      <c r="J68" s="115">
        <f t="shared" si="59"/>
        <v>20.916218335091557</v>
      </c>
      <c r="K68" s="115">
        <f t="shared" si="59"/>
        <v>23.017063892953821</v>
      </c>
      <c r="L68" s="115">
        <f t="shared" si="59"/>
        <v>25.353334689210794</v>
      </c>
      <c r="M68" s="115">
        <f t="shared" si="59"/>
        <v>27.952045204482594</v>
      </c>
      <c r="N68" s="115">
        <f t="shared" si="59"/>
        <v>30.842946797437399</v>
      </c>
      <c r="O68" s="115">
        <f t="shared" si="59"/>
        <v>34.058625322118075</v>
      </c>
      <c r="P68" s="115">
        <f t="shared" si="59"/>
        <v>37.634520648011595</v>
      </c>
      <c r="Q68" s="115">
        <f t="shared" si="59"/>
        <v>41.60882644787916</v>
      </c>
      <c r="R68" s="68">
        <f t="shared" si="54"/>
        <v>0.10224381592879835</v>
      </c>
      <c r="S68" s="113" t="s">
        <v>64</v>
      </c>
      <c r="T68" s="135">
        <f>1-SUM(T64:T67)</f>
        <v>4.9999999999999711E-2</v>
      </c>
      <c r="U68" s="135">
        <f t="shared" ref="U68:AG68" si="60">1-SUM(U64:U67)</f>
        <v>4.8631402921339606E-2</v>
      </c>
      <c r="V68" s="135">
        <f t="shared" si="60"/>
        <v>4.7260161588138283E-2</v>
      </c>
      <c r="W68" s="135">
        <f t="shared" si="60"/>
        <v>4.5886269111341749E-2</v>
      </c>
      <c r="X68" s="135">
        <f t="shared" si="60"/>
        <v>4.4509718579864299E-2</v>
      </c>
      <c r="Y68" s="135">
        <f t="shared" si="60"/>
        <v>4.3130503060509695E-2</v>
      </c>
      <c r="Z68" s="135">
        <f t="shared" si="60"/>
        <v>4.1748615597892669E-2</v>
      </c>
      <c r="AA68" s="135">
        <f t="shared" si="60"/>
        <v>4.0364049214362208E-2</v>
      </c>
      <c r="AB68" s="135">
        <f t="shared" si="60"/>
        <v>3.8976796909921174E-2</v>
      </c>
      <c r="AC68" s="135">
        <f t="shared" si="60"/>
        <v>3.7586851662147924E-2</v>
      </c>
      <c r="AD68" s="135">
        <f t="shared" si="60"/>
        <v>3.6194206426117481E-2</v>
      </c>
      <c r="AE68" s="135">
        <f t="shared" si="60"/>
        <v>3.4798854134320822E-2</v>
      </c>
      <c r="AF68" s="135">
        <f t="shared" si="60"/>
        <v>3.3400787696586387E-2</v>
      </c>
      <c r="AG68" s="135">
        <f t="shared" si="60"/>
        <v>3.1999999999998807E-2</v>
      </c>
    </row>
    <row r="69" spans="1:33" x14ac:dyDescent="0.35">
      <c r="A69" s="1"/>
      <c r="D69" s="81" t="b">
        <f>D63=SUM(D64:D68)</f>
        <v>1</v>
      </c>
      <c r="E69" s="81" t="b">
        <f t="shared" ref="E69:Q69" si="61">E63=SUM(E64:E68)</f>
        <v>1</v>
      </c>
      <c r="F69" s="81" t="b">
        <f t="shared" si="61"/>
        <v>1</v>
      </c>
      <c r="G69" s="81" t="b">
        <f t="shared" si="61"/>
        <v>1</v>
      </c>
      <c r="H69" s="81" t="b">
        <f t="shared" si="61"/>
        <v>1</v>
      </c>
      <c r="I69" s="81" t="b">
        <f t="shared" si="61"/>
        <v>1</v>
      </c>
      <c r="J69" s="81" t="b">
        <f t="shared" si="61"/>
        <v>1</v>
      </c>
      <c r="K69" s="81" t="b">
        <f t="shared" si="61"/>
        <v>1</v>
      </c>
      <c r="L69" s="81" t="b">
        <f t="shared" si="61"/>
        <v>1</v>
      </c>
      <c r="M69" s="81" t="b">
        <f t="shared" si="61"/>
        <v>1</v>
      </c>
      <c r="N69" s="81" t="b">
        <f t="shared" si="61"/>
        <v>1</v>
      </c>
      <c r="O69" s="81" t="b">
        <f t="shared" si="61"/>
        <v>1</v>
      </c>
      <c r="P69" s="81" t="b">
        <f t="shared" si="61"/>
        <v>1</v>
      </c>
      <c r="Q69" s="81" t="b">
        <f t="shared" si="61"/>
        <v>1</v>
      </c>
      <c r="R69" s="21"/>
    </row>
    <row r="70" spans="1:33" s="117" customFormat="1" x14ac:dyDescent="0.35">
      <c r="A70" s="149" t="s">
        <v>65</v>
      </c>
      <c r="B70" s="122" t="s">
        <v>66</v>
      </c>
      <c r="C70" s="123"/>
      <c r="D70" s="124">
        <f>D63*T70</f>
        <v>113.47449749999996</v>
      </c>
      <c r="E70" s="124">
        <f t="shared" ref="E70:Q70" si="62">E63*U70</f>
        <v>127.20670452533452</v>
      </c>
      <c r="F70" s="124">
        <f t="shared" si="62"/>
        <v>142.88735673175282</v>
      </c>
      <c r="G70" s="124">
        <f t="shared" si="62"/>
        <v>160.82877844113611</v>
      </c>
      <c r="H70" s="124">
        <f t="shared" si="62"/>
        <v>181.39870255564446</v>
      </c>
      <c r="I70" s="124">
        <f t="shared" si="62"/>
        <v>205.03100176641291</v>
      </c>
      <c r="J70" s="124">
        <f t="shared" si="62"/>
        <v>232.2386662542952</v>
      </c>
      <c r="K70" s="124">
        <f t="shared" si="62"/>
        <v>263.62953236606802</v>
      </c>
      <c r="L70" s="124">
        <f t="shared" si="62"/>
        <v>299.9253875470489</v>
      </c>
      <c r="M70" s="124">
        <f t="shared" si="62"/>
        <v>341.98522829920529</v>
      </c>
      <c r="N70" s="124">
        <f t="shared" si="62"/>
        <v>390.83363835223196</v>
      </c>
      <c r="O70" s="124">
        <f t="shared" si="62"/>
        <v>447.69549415298627</v>
      </c>
      <c r="P70" s="124">
        <f t="shared" si="62"/>
        <v>514.0385077863516</v>
      </c>
      <c r="Q70" s="124">
        <f t="shared" si="62"/>
        <v>591.6255010558034</v>
      </c>
      <c r="R70" s="68">
        <f>RATE(9,,-H70,Q70)</f>
        <v>0.14037019126094646</v>
      </c>
      <c r="S70" s="122" t="s">
        <v>66</v>
      </c>
      <c r="T70" s="135">
        <v>0.47099999999999986</v>
      </c>
      <c r="U70" s="135">
        <v>0.46974950312514485</v>
      </c>
      <c r="V70" s="135">
        <v>0.46850232629792044</v>
      </c>
      <c r="W70" s="135">
        <v>0.4672584607036574</v>
      </c>
      <c r="X70" s="135">
        <v>0.46601789755108947</v>
      </c>
      <c r="Y70" s="135">
        <v>0.46478062807229081</v>
      </c>
      <c r="Z70" s="135">
        <v>0.46354664352261449</v>
      </c>
      <c r="AA70" s="135">
        <v>0.46231593518063024</v>
      </c>
      <c r="AB70" s="135">
        <v>0.46108849434806326</v>
      </c>
      <c r="AC70" s="135">
        <v>0.45986431234973235</v>
      </c>
      <c r="AD70" s="135">
        <v>0.4586433805334888</v>
      </c>
      <c r="AE70" s="135">
        <v>0.45742569027015528</v>
      </c>
      <c r="AF70" s="135">
        <v>0.45621123295346477</v>
      </c>
      <c r="AG70" s="135">
        <v>0.45499999999999963</v>
      </c>
    </row>
    <row r="71" spans="1:33" s="117" customFormat="1" x14ac:dyDescent="0.35">
      <c r="A71" s="149"/>
      <c r="B71" s="122" t="s">
        <v>67</v>
      </c>
      <c r="C71" s="123"/>
      <c r="D71" s="124">
        <f>D63*T71</f>
        <v>120.46124999999998</v>
      </c>
      <c r="E71" s="124">
        <f t="shared" ref="E71:Q71" si="63">E63*U71</f>
        <v>135.60485177863211</v>
      </c>
      <c r="F71" s="124">
        <f t="shared" si="63"/>
        <v>152.95904320272535</v>
      </c>
      <c r="G71" s="124">
        <f t="shared" si="63"/>
        <v>172.88656624745008</v>
      </c>
      <c r="H71" s="124">
        <f t="shared" si="63"/>
        <v>195.81582706117942</v>
      </c>
      <c r="I71" s="124">
        <f t="shared" si="63"/>
        <v>222.25384235610593</v>
      </c>
      <c r="J71" s="124">
        <f t="shared" si="63"/>
        <v>252.80193994564968</v>
      </c>
      <c r="K71" s="124">
        <f t="shared" si="63"/>
        <v>288.17484106281859</v>
      </c>
      <c r="L71" s="124">
        <f t="shared" si="63"/>
        <v>329.22390443025586</v>
      </c>
      <c r="M71" s="124">
        <f t="shared" si="63"/>
        <v>376.96550358418966</v>
      </c>
      <c r="N71" s="124">
        <f t="shared" si="63"/>
        <v>432.61575032892489</v>
      </c>
      <c r="O71" s="124">
        <f t="shared" si="63"/>
        <v>497.63308210805582</v>
      </c>
      <c r="P71" s="124">
        <f t="shared" si="63"/>
        <v>573.77061717275546</v>
      </c>
      <c r="Q71" s="124">
        <f t="shared" si="63"/>
        <v>663.1406715130978</v>
      </c>
      <c r="R71" s="68">
        <f>RATE(9,,-H71,Q71)</f>
        <v>0.14514896773039004</v>
      </c>
      <c r="S71" s="122" t="s">
        <v>67</v>
      </c>
      <c r="T71" s="135">
        <v>0.49999999999999994</v>
      </c>
      <c r="U71" s="135">
        <v>0.50076221990079761</v>
      </c>
      <c r="V71" s="135">
        <v>0.50152560175994976</v>
      </c>
      <c r="W71" s="135">
        <v>0.50229014734879163</v>
      </c>
      <c r="X71" s="135">
        <v>0.50305585844135947</v>
      </c>
      <c r="Y71" s="135">
        <v>0.50382273681439316</v>
      </c>
      <c r="Z71" s="135">
        <v>0.50459078424734172</v>
      </c>
      <c r="AA71" s="135">
        <v>0.50536000252236668</v>
      </c>
      <c r="AB71" s="135">
        <v>0.50613039342434607</v>
      </c>
      <c r="AC71" s="135">
        <v>0.50690195874087929</v>
      </c>
      <c r="AD71" s="135">
        <v>0.50767470026229067</v>
      </c>
      <c r="AE71" s="135">
        <v>0.50844861978163358</v>
      </c>
      <c r="AF71" s="135">
        <v>0.50922371909469488</v>
      </c>
      <c r="AG71" s="135">
        <v>0.50999999999999923</v>
      </c>
    </row>
    <row r="72" spans="1:33" s="117" customFormat="1" x14ac:dyDescent="0.35">
      <c r="A72" s="149"/>
      <c r="B72" s="122" t="s">
        <v>68</v>
      </c>
      <c r="C72" s="123"/>
      <c r="D72" s="124">
        <f>D63*T72</f>
        <v>6.9867525000000326</v>
      </c>
      <c r="E72" s="124">
        <f t="shared" ref="E72:Q72" si="64">E63*U72</f>
        <v>7.9853336960333925</v>
      </c>
      <c r="F72" s="124">
        <f t="shared" si="64"/>
        <v>9.1411075147181631</v>
      </c>
      <c r="G72" s="124">
        <f t="shared" si="64"/>
        <v>10.481265895927603</v>
      </c>
      <c r="H72" s="124">
        <f t="shared" si="64"/>
        <v>12.038122499949729</v>
      </c>
      <c r="I72" s="124">
        <f t="shared" si="64"/>
        <v>13.850154590299494</v>
      </c>
      <c r="J72" s="124">
        <f t="shared" si="64"/>
        <v>15.963272265125413</v>
      </c>
      <c r="K72" s="124">
        <f t="shared" si="64"/>
        <v>18.432367952450399</v>
      </c>
      <c r="L72" s="124">
        <f t="shared" si="64"/>
        <v>21.323212159056013</v>
      </c>
      <c r="M72" s="124">
        <f>M63*AC72</f>
        <v>24.714777953170497</v>
      </c>
      <c r="N72" s="124">
        <f t="shared" si="64"/>
        <v>28.702097507565025</v>
      </c>
      <c r="O72" s="124">
        <f t="shared" si="64"/>
        <v>33.399780444454002</v>
      </c>
      <c r="P72" s="124">
        <f t="shared" si="64"/>
        <v>38.946357273364363</v>
      </c>
      <c r="Q72" s="124">
        <f t="shared" si="64"/>
        <v>45.509653927371012</v>
      </c>
      <c r="R72" s="68">
        <f>RATE(9,,-H72,Q72)</f>
        <v>0.15923541800130903</v>
      </c>
      <c r="S72" s="122" t="s">
        <v>68</v>
      </c>
      <c r="T72" s="135">
        <f>1-SUM(T70:T71)</f>
        <v>2.9000000000000137E-2</v>
      </c>
      <c r="U72" s="135">
        <f t="shared" ref="U72:AG72" si="65">1-SUM(U70:U71)</f>
        <v>2.9488276974057537E-2</v>
      </c>
      <c r="V72" s="135">
        <f t="shared" si="65"/>
        <v>2.9972071942129808E-2</v>
      </c>
      <c r="W72" s="135">
        <f t="shared" si="65"/>
        <v>3.0451391947550976E-2</v>
      </c>
      <c r="X72" s="135">
        <f t="shared" si="65"/>
        <v>3.0926244007551063E-2</v>
      </c>
      <c r="Y72" s="135">
        <f t="shared" si="65"/>
        <v>3.1396635113316029E-2</v>
      </c>
      <c r="Z72" s="135">
        <f t="shared" si="65"/>
        <v>3.1862572230043851E-2</v>
      </c>
      <c r="AA72" s="135">
        <f t="shared" si="65"/>
        <v>3.2324062297003131E-2</v>
      </c>
      <c r="AB72" s="135">
        <f t="shared" si="65"/>
        <v>3.2781112227590725E-2</v>
      </c>
      <c r="AC72" s="135">
        <f t="shared" si="65"/>
        <v>3.323372890938836E-2</v>
      </c>
      <c r="AD72" s="135">
        <f t="shared" si="65"/>
        <v>3.3681919204220589E-2</v>
      </c>
      <c r="AE72" s="135">
        <f t="shared" si="65"/>
        <v>3.4125689948211191E-2</v>
      </c>
      <c r="AF72" s="135">
        <f t="shared" si="65"/>
        <v>3.4565047951840344E-2</v>
      </c>
      <c r="AG72" s="135">
        <f t="shared" si="65"/>
        <v>3.5000000000001141E-2</v>
      </c>
    </row>
    <row r="73" spans="1:33" x14ac:dyDescent="0.35">
      <c r="A73" s="1"/>
      <c r="D73" s="81" t="b">
        <f>D63=SUM(D70:D72)</f>
        <v>1</v>
      </c>
      <c r="E73" s="81" t="b">
        <f t="shared" ref="E73:Q73" si="66">E63=SUM(E70:E72)</f>
        <v>1</v>
      </c>
      <c r="F73" s="81" t="b">
        <f t="shared" si="66"/>
        <v>1</v>
      </c>
      <c r="G73" s="81" t="b">
        <f t="shared" si="66"/>
        <v>1</v>
      </c>
      <c r="H73" s="81" t="b">
        <f t="shared" si="66"/>
        <v>1</v>
      </c>
      <c r="I73" s="81" t="b">
        <f t="shared" si="66"/>
        <v>1</v>
      </c>
      <c r="J73" s="81" t="b">
        <f t="shared" si="66"/>
        <v>1</v>
      </c>
      <c r="K73" s="81" t="b">
        <f t="shared" si="66"/>
        <v>1</v>
      </c>
      <c r="L73" s="81" t="b">
        <f t="shared" si="66"/>
        <v>1</v>
      </c>
      <c r="M73" s="81" t="b">
        <f t="shared" si="66"/>
        <v>1</v>
      </c>
      <c r="N73" s="81" t="b">
        <f t="shared" si="66"/>
        <v>1</v>
      </c>
      <c r="O73" s="81" t="b">
        <f t="shared" si="66"/>
        <v>1</v>
      </c>
      <c r="P73" s="81" t="b">
        <f t="shared" si="66"/>
        <v>1</v>
      </c>
      <c r="Q73" s="81" t="b">
        <f t="shared" si="66"/>
        <v>1</v>
      </c>
      <c r="R73" s="21"/>
    </row>
    <row r="74" spans="1:33" s="117" customFormat="1" x14ac:dyDescent="0.35">
      <c r="A74" s="149" t="s">
        <v>69</v>
      </c>
      <c r="B74" s="125" t="s">
        <v>70</v>
      </c>
      <c r="C74" s="126"/>
      <c r="D74" s="127">
        <f>D63*T74</f>
        <v>134.91660000000002</v>
      </c>
      <c r="E74" s="127">
        <f t="shared" ref="E74:Q74" si="67">E63*U74</f>
        <v>151.66708893000003</v>
      </c>
      <c r="F74" s="127">
        <f t="shared" si="67"/>
        <v>170.83992532654216</v>
      </c>
      <c r="G74" s="127">
        <f t="shared" si="67"/>
        <v>192.82953191438571</v>
      </c>
      <c r="H74" s="127">
        <f t="shared" si="67"/>
        <v>218.10125523219841</v>
      </c>
      <c r="I74" s="127">
        <f t="shared" si="67"/>
        <v>247.20526658637556</v>
      </c>
      <c r="J74" s="127">
        <f t="shared" si="67"/>
        <v>280.79340449973091</v>
      </c>
      <c r="K74" s="127">
        <f t="shared" si="67"/>
        <v>319.63962572660017</v>
      </c>
      <c r="L74" s="127">
        <f t="shared" si="67"/>
        <v>364.66489308813823</v>
      </c>
      <c r="M74" s="127">
        <f t="shared" si="67"/>
        <v>416.96753086144042</v>
      </c>
      <c r="N74" s="127">
        <f t="shared" si="67"/>
        <v>477.86033340890634</v>
      </c>
      <c r="O74" s="127">
        <f t="shared" si="67"/>
        <v>548.91603451844401</v>
      </c>
      <c r="P74" s="127">
        <f t="shared" si="67"/>
        <v>632.02315203378328</v>
      </c>
      <c r="Q74" s="127">
        <f t="shared" si="67"/>
        <v>729.45473866440875</v>
      </c>
      <c r="R74" s="68">
        <f>RATE(9,,-H74,Q74)</f>
        <v>0.14356280311165601</v>
      </c>
      <c r="S74" s="125" t="s">
        <v>70</v>
      </c>
      <c r="T74" s="135">
        <v>0.56000000000000005</v>
      </c>
      <c r="U74" s="135">
        <v>0.56007692307692314</v>
      </c>
      <c r="V74" s="135">
        <v>0.56015384615384622</v>
      </c>
      <c r="W74" s="135">
        <v>0.56023076923076931</v>
      </c>
      <c r="X74" s="135">
        <v>0.5603076923076924</v>
      </c>
      <c r="Y74" s="135">
        <v>0.56038461538461548</v>
      </c>
      <c r="Z74" s="135">
        <v>0.56046153846153846</v>
      </c>
      <c r="AA74" s="135">
        <v>0.56053846153846154</v>
      </c>
      <c r="AB74" s="135">
        <v>0.56061538461538463</v>
      </c>
      <c r="AC74" s="135">
        <v>0.56069230769230771</v>
      </c>
      <c r="AD74" s="135">
        <v>0.5607692307692308</v>
      </c>
      <c r="AE74" s="135">
        <v>0.56084615384615388</v>
      </c>
      <c r="AF74" s="135">
        <v>0.56092307692307697</v>
      </c>
      <c r="AG74" s="135">
        <v>0.56100000000000005</v>
      </c>
    </row>
    <row r="75" spans="1:33" s="117" customFormat="1" x14ac:dyDescent="0.35">
      <c r="A75" s="149"/>
      <c r="B75" s="125" t="s">
        <v>71</v>
      </c>
      <c r="C75" s="126"/>
      <c r="D75" s="127">
        <f>D63*T75</f>
        <v>60.230624999999996</v>
      </c>
      <c r="E75" s="127">
        <f t="shared" ref="E75:Q75" si="68">E63*U75</f>
        <v>67.761714090000012</v>
      </c>
      <c r="F75" s="127">
        <f t="shared" si="68"/>
        <v>76.387640327275633</v>
      </c>
      <c r="G75" s="127">
        <f t="shared" si="68"/>
        <v>86.287442607302353</v>
      </c>
      <c r="H75" s="127">
        <f t="shared" si="68"/>
        <v>97.672473169608878</v>
      </c>
      <c r="I75" s="127">
        <f t="shared" si="68"/>
        <v>110.7927515997963</v>
      </c>
      <c r="J75" s="127">
        <f t="shared" si="68"/>
        <v>125.94466729414228</v>
      </c>
      <c r="K75" s="127">
        <f t="shared" si="68"/>
        <v>143.48033700448872</v>
      </c>
      <c r="L75" s="127">
        <f t="shared" si="68"/>
        <v>163.81899834941885</v>
      </c>
      <c r="M75" s="127">
        <f t="shared" si="68"/>
        <v>187.4609135180327</v>
      </c>
      <c r="N75" s="127">
        <f t="shared" si="68"/>
        <v>215.00437497684672</v>
      </c>
      <c r="O75" s="127">
        <f t="shared" si="68"/>
        <v>247.16655346647258</v>
      </c>
      <c r="P75" s="127">
        <f t="shared" si="68"/>
        <v>284.80911650891551</v>
      </c>
      <c r="Q75" s="127">
        <f t="shared" si="68"/>
        <v>328.96978410355689</v>
      </c>
      <c r="R75" s="68">
        <f>RATE(9,,-H75,Q75)</f>
        <v>0.14445363475076295</v>
      </c>
      <c r="S75" s="125" t="s">
        <v>71</v>
      </c>
      <c r="T75" s="135">
        <v>0.25</v>
      </c>
      <c r="U75" s="135">
        <v>0.25023076923076926</v>
      </c>
      <c r="V75" s="135">
        <v>0.25046153846153846</v>
      </c>
      <c r="W75" s="135">
        <v>0.25069230769230771</v>
      </c>
      <c r="X75" s="135">
        <v>0.25092307692307692</v>
      </c>
      <c r="Y75" s="135">
        <v>0.25115384615384617</v>
      </c>
      <c r="Z75" s="135">
        <v>0.25138461538461537</v>
      </c>
      <c r="AA75" s="135">
        <v>0.25161538461538463</v>
      </c>
      <c r="AB75" s="135">
        <v>0.25184615384615383</v>
      </c>
      <c r="AC75" s="135">
        <v>0.25207692307692309</v>
      </c>
      <c r="AD75" s="135">
        <v>0.25230769230769229</v>
      </c>
      <c r="AE75" s="135">
        <v>0.25253846153846154</v>
      </c>
      <c r="AF75" s="135">
        <v>0.2527692307692308</v>
      </c>
      <c r="AG75" s="135">
        <v>0.253</v>
      </c>
    </row>
    <row r="76" spans="1:33" s="117" customFormat="1" x14ac:dyDescent="0.35">
      <c r="A76" s="149"/>
      <c r="B76" s="125" t="s">
        <v>72</v>
      </c>
      <c r="C76" s="126"/>
      <c r="D76" s="127">
        <f>D63*T76</f>
        <v>31.319924999999998</v>
      </c>
      <c r="E76" s="127">
        <f t="shared" ref="E76:Q76" si="69">E63*U76</f>
        <v>35.245256760000011</v>
      </c>
      <c r="F76" s="127">
        <f t="shared" si="69"/>
        <v>39.742218278379895</v>
      </c>
      <c r="G76" s="127">
        <f t="shared" si="69"/>
        <v>44.904419350102735</v>
      </c>
      <c r="H76" s="127">
        <f t="shared" si="69"/>
        <v>50.842384868790901</v>
      </c>
      <c r="I76" s="127">
        <f t="shared" si="69"/>
        <v>57.686884447060862</v>
      </c>
      <c r="J76" s="127">
        <f t="shared" si="69"/>
        <v>65.592969319042282</v>
      </c>
      <c r="K76" s="127">
        <f t="shared" si="69"/>
        <v>74.744877485676795</v>
      </c>
      <c r="L76" s="127">
        <f t="shared" si="69"/>
        <v>85.362007081279344</v>
      </c>
      <c r="M76" s="127">
        <f t="shared" si="69"/>
        <v>97.706206984681074</v>
      </c>
      <c r="N76" s="127">
        <f t="shared" si="69"/>
        <v>112.09069549097804</v>
      </c>
      <c r="O76" s="127">
        <f t="shared" si="69"/>
        <v>128.89099589844687</v>
      </c>
      <c r="P76" s="127">
        <f t="shared" si="69"/>
        <v>148.5583766574197</v>
      </c>
      <c r="Q76" s="127">
        <f t="shared" si="69"/>
        <v>171.63640909750794</v>
      </c>
      <c r="R76" s="68">
        <f>RATE(9,,-H76,Q76)</f>
        <v>0.14474637894012737</v>
      </c>
      <c r="S76" s="125" t="s">
        <v>72</v>
      </c>
      <c r="T76" s="135">
        <v>0.13</v>
      </c>
      <c r="U76" s="135">
        <v>0.13015384615384618</v>
      </c>
      <c r="V76" s="135">
        <v>0.13030769230769232</v>
      </c>
      <c r="W76" s="135">
        <v>0.13046153846153849</v>
      </c>
      <c r="X76" s="135">
        <v>0.13061538461538463</v>
      </c>
      <c r="Y76" s="135">
        <v>0.13076923076923078</v>
      </c>
      <c r="Z76" s="135">
        <v>0.13092307692307695</v>
      </c>
      <c r="AA76" s="135">
        <v>0.13107692307692309</v>
      </c>
      <c r="AB76" s="135">
        <v>0.13123076923076923</v>
      </c>
      <c r="AC76" s="135">
        <v>0.13138461538461541</v>
      </c>
      <c r="AD76" s="135">
        <v>0.13153846153846155</v>
      </c>
      <c r="AE76" s="135">
        <v>0.13169230769230772</v>
      </c>
      <c r="AF76" s="135">
        <v>0.13184615384615386</v>
      </c>
      <c r="AG76" s="135">
        <v>0.13200000000000001</v>
      </c>
    </row>
    <row r="77" spans="1:33" s="117" customFormat="1" x14ac:dyDescent="0.35">
      <c r="A77" s="149"/>
      <c r="B77" s="125" t="s">
        <v>73</v>
      </c>
      <c r="C77" s="126"/>
      <c r="D77" s="127">
        <f>D63*T77</f>
        <v>4.8184499999999995</v>
      </c>
      <c r="E77" s="127">
        <f t="shared" ref="E77:Q77" si="70">E63*U77</f>
        <v>5.4367683299999996</v>
      </c>
      <c r="F77" s="127">
        <f t="shared" si="70"/>
        <v>6.1466713039761114</v>
      </c>
      <c r="G77" s="127">
        <f t="shared" si="70"/>
        <v>6.9633621987482401</v>
      </c>
      <c r="H77" s="127">
        <f t="shared" si="70"/>
        <v>7.9048230891406339</v>
      </c>
      <c r="I77" s="127">
        <f t="shared" si="70"/>
        <v>8.9923672814536033</v>
      </c>
      <c r="J77" s="127">
        <f t="shared" si="70"/>
        <v>10.251310128592976</v>
      </c>
      <c r="K77" s="127">
        <f t="shared" si="70"/>
        <v>11.711785380678227</v>
      </c>
      <c r="L77" s="127">
        <f t="shared" si="70"/>
        <v>13.409740854503436</v>
      </c>
      <c r="M77" s="127">
        <f t="shared" si="70"/>
        <v>15.388155549695083</v>
      </c>
      <c r="N77" s="127">
        <f t="shared" si="70"/>
        <v>17.698530866996531</v>
      </c>
      <c r="O77" s="127">
        <f t="shared" si="70"/>
        <v>20.402721897476109</v>
      </c>
      <c r="P77" s="127">
        <f t="shared" si="70"/>
        <v>23.575191628248632</v>
      </c>
      <c r="Q77" s="127">
        <f t="shared" si="70"/>
        <v>27.305792356421719</v>
      </c>
      <c r="R77" s="68">
        <f>RATE(9,,-H77,Q77)</f>
        <v>0.14767274956132556</v>
      </c>
      <c r="S77" s="125" t="s">
        <v>73</v>
      </c>
      <c r="T77" s="135">
        <v>0.02</v>
      </c>
      <c r="U77" s="135">
        <v>2.0076923076923076E-2</v>
      </c>
      <c r="V77" s="135">
        <v>2.0153846153846154E-2</v>
      </c>
      <c r="W77" s="135">
        <v>2.0230769230769229E-2</v>
      </c>
      <c r="X77" s="135">
        <v>2.0307692307692308E-2</v>
      </c>
      <c r="Y77" s="135">
        <v>2.0384615384615383E-2</v>
      </c>
      <c r="Z77" s="135">
        <v>2.0461538461538462E-2</v>
      </c>
      <c r="AA77" s="135">
        <v>2.0538461538461537E-2</v>
      </c>
      <c r="AB77" s="135">
        <v>2.0615384615384615E-2</v>
      </c>
      <c r="AC77" s="135">
        <v>2.069230769230769E-2</v>
      </c>
      <c r="AD77" s="135">
        <v>2.0769230769230769E-2</v>
      </c>
      <c r="AE77" s="135">
        <v>2.0846153846153844E-2</v>
      </c>
      <c r="AF77" s="135">
        <v>2.0923076923076923E-2</v>
      </c>
      <c r="AG77" s="135">
        <v>2.1000000000000001E-2</v>
      </c>
    </row>
    <row r="78" spans="1:33" s="117" customFormat="1" x14ac:dyDescent="0.35">
      <c r="A78" s="149"/>
      <c r="B78" s="125" t="s">
        <v>74</v>
      </c>
      <c r="C78" s="126"/>
      <c r="D78" s="127">
        <f>D63*T78</f>
        <v>9.6368999999999811</v>
      </c>
      <c r="E78" s="127">
        <f t="shared" ref="E78:Q78" si="71">E63*U78</f>
        <v>10.686061889999964</v>
      </c>
      <c r="F78" s="127">
        <f t="shared" si="71"/>
        <v>11.871052213022507</v>
      </c>
      <c r="G78" s="127">
        <f t="shared" si="71"/>
        <v>13.211854513974711</v>
      </c>
      <c r="H78" s="127">
        <f t="shared" si="71"/>
        <v>14.731715757034737</v>
      </c>
      <c r="I78" s="127">
        <f t="shared" si="71"/>
        <v>16.457728798132049</v>
      </c>
      <c r="J78" s="127">
        <f t="shared" si="71"/>
        <v>18.421527223561817</v>
      </c>
      <c r="K78" s="127">
        <f t="shared" si="71"/>
        <v>20.660115783893023</v>
      </c>
      <c r="L78" s="127">
        <f t="shared" si="71"/>
        <v>23.216864763020872</v>
      </c>
      <c r="M78" s="127">
        <f t="shared" si="71"/>
        <v>26.14270292271614</v>
      </c>
      <c r="N78" s="127">
        <f t="shared" si="71"/>
        <v>29.497551444994208</v>
      </c>
      <c r="O78" s="127">
        <f t="shared" si="71"/>
        <v>33.352050924656446</v>
      </c>
      <c r="P78" s="127">
        <f t="shared" si="71"/>
        <v>37.789645404104405</v>
      </c>
      <c r="Q78" s="127">
        <f t="shared" si="71"/>
        <v>42.909102274376878</v>
      </c>
      <c r="R78" s="68">
        <f>RATE(9,,-H78,Q78)</f>
        <v>0.12612981101761137</v>
      </c>
      <c r="S78" s="125" t="s">
        <v>74</v>
      </c>
      <c r="T78" s="135">
        <f>1-SUM(T74:T77)</f>
        <v>3.9999999999999925E-2</v>
      </c>
      <c r="U78" s="135">
        <f t="shared" ref="U78:AG78" si="72">1-SUM(U74:U77)</f>
        <v>3.9461538461538326E-2</v>
      </c>
      <c r="V78" s="135">
        <f t="shared" si="72"/>
        <v>3.8923076923076727E-2</v>
      </c>
      <c r="W78" s="135">
        <f t="shared" si="72"/>
        <v>3.8384615384615128E-2</v>
      </c>
      <c r="X78" s="135">
        <f t="shared" si="72"/>
        <v>3.7846153846153641E-2</v>
      </c>
      <c r="Y78" s="135">
        <f t="shared" si="72"/>
        <v>3.7307692307692264E-2</v>
      </c>
      <c r="Z78" s="135">
        <f t="shared" si="72"/>
        <v>3.6769230769230776E-2</v>
      </c>
      <c r="AA78" s="135">
        <f t="shared" si="72"/>
        <v>3.6230769230769178E-2</v>
      </c>
      <c r="AB78" s="135">
        <f t="shared" si="72"/>
        <v>3.569230769230769E-2</v>
      </c>
      <c r="AC78" s="135">
        <f t="shared" si="72"/>
        <v>3.5153846153846091E-2</v>
      </c>
      <c r="AD78" s="135">
        <f t="shared" si="72"/>
        <v>3.4615384615384603E-2</v>
      </c>
      <c r="AE78" s="135">
        <f t="shared" si="72"/>
        <v>3.4076923076923005E-2</v>
      </c>
      <c r="AF78" s="135">
        <f t="shared" si="72"/>
        <v>3.3538461538461517E-2</v>
      </c>
      <c r="AG78" s="135">
        <f t="shared" si="72"/>
        <v>3.2999999999999918E-2</v>
      </c>
    </row>
    <row r="79" spans="1:33" x14ac:dyDescent="0.35">
      <c r="A79" s="2"/>
      <c r="D79" s="81" t="b">
        <f>D63=SUM(D74:D78)</f>
        <v>1</v>
      </c>
      <c r="E79" s="81" t="b">
        <f t="shared" ref="E79:Q79" si="73">E63=SUM(E74:E78)</f>
        <v>1</v>
      </c>
      <c r="F79" s="81" t="b">
        <f t="shared" si="73"/>
        <v>1</v>
      </c>
      <c r="G79" s="81" t="b">
        <f t="shared" si="73"/>
        <v>1</v>
      </c>
      <c r="H79" s="81" t="b">
        <f t="shared" si="73"/>
        <v>1</v>
      </c>
      <c r="I79" s="81" t="b">
        <f t="shared" si="73"/>
        <v>1</v>
      </c>
      <c r="J79" s="81" t="b">
        <f t="shared" si="73"/>
        <v>1</v>
      </c>
      <c r="K79" s="81" t="b">
        <f t="shared" si="73"/>
        <v>1</v>
      </c>
      <c r="L79" s="81" t="b">
        <f t="shared" si="73"/>
        <v>1</v>
      </c>
      <c r="M79" s="81" t="b">
        <f t="shared" si="73"/>
        <v>1</v>
      </c>
      <c r="N79" s="81" t="b">
        <f t="shared" si="73"/>
        <v>1</v>
      </c>
      <c r="O79" s="81" t="b">
        <f t="shared" si="73"/>
        <v>1</v>
      </c>
      <c r="P79" s="81" t="b">
        <f t="shared" si="73"/>
        <v>1</v>
      </c>
      <c r="Q79" s="81" t="b">
        <f t="shared" si="73"/>
        <v>1</v>
      </c>
      <c r="R79" s="21"/>
    </row>
    <row r="80" spans="1:33" s="117" customFormat="1" x14ac:dyDescent="0.35">
      <c r="A80" s="149" t="s">
        <v>75</v>
      </c>
      <c r="B80" s="128" t="s">
        <v>76</v>
      </c>
      <c r="C80" s="129"/>
      <c r="D80" s="130">
        <f>D63*T80</f>
        <v>60.230624999999996</v>
      </c>
      <c r="E80" s="130">
        <f t="shared" ref="E80:Q80" si="74">E63*U80</f>
        <v>67.740730518813194</v>
      </c>
      <c r="F80" s="130">
        <f t="shared" si="74"/>
        <v>76.340403106979196</v>
      </c>
      <c r="G80" s="130">
        <f t="shared" si="74"/>
        <v>86.207526113761077</v>
      </c>
      <c r="H80" s="130">
        <f t="shared" si="74"/>
        <v>97.552042758524053</v>
      </c>
      <c r="I80" s="130">
        <f t="shared" si="74"/>
        <v>110.62225258683311</v>
      </c>
      <c r="J80" s="130">
        <f t="shared" si="74"/>
        <v>125.71244272198049</v>
      </c>
      <c r="K80" s="130">
        <f t="shared" si="74"/>
        <v>143.17215712330571</v>
      </c>
      <c r="L80" s="130">
        <f t="shared" si="74"/>
        <v>163.41748043983932</v>
      </c>
      <c r="M80" s="130">
        <f t="shared" si="74"/>
        <v>186.9448052524842</v>
      </c>
      <c r="N80" s="130">
        <f t="shared" si="74"/>
        <v>214.34766763183242</v>
      </c>
      <c r="O80" s="130">
        <f t="shared" si="74"/>
        <v>246.33738255847047</v>
      </c>
      <c r="P80" s="130">
        <f t="shared" si="74"/>
        <v>283.76839630536034</v>
      </c>
      <c r="Q80" s="130">
        <f t="shared" si="74"/>
        <v>327.66950827706017</v>
      </c>
      <c r="R80" s="68">
        <f t="shared" ref="R80:R86" si="75">RATE(9,,-H80,Q80)</f>
        <v>0.1441069638652118</v>
      </c>
      <c r="S80" s="128" t="s">
        <v>76</v>
      </c>
      <c r="T80" s="135">
        <v>0.25</v>
      </c>
      <c r="U80" s="135">
        <v>0.25015328100264811</v>
      </c>
      <c r="V80" s="135">
        <v>0.25030665598555929</v>
      </c>
      <c r="W80" s="135">
        <v>0.25046012500635517</v>
      </c>
      <c r="X80" s="135">
        <v>0.25061368812269258</v>
      </c>
      <c r="Y80" s="135">
        <v>0.2507673453922637</v>
      </c>
      <c r="Z80" s="135">
        <v>0.25092109687279618</v>
      </c>
      <c r="AA80" s="135">
        <v>0.2510749426220531</v>
      </c>
      <c r="AB80" s="135">
        <v>0.25122888269783278</v>
      </c>
      <c r="AC80" s="135">
        <v>0.25138291715796912</v>
      </c>
      <c r="AD80" s="135">
        <v>0.25153704606033145</v>
      </c>
      <c r="AE80" s="135">
        <v>0.25169126946282455</v>
      </c>
      <c r="AF80" s="135">
        <v>0.25184558742338869</v>
      </c>
      <c r="AG80" s="135">
        <v>0.25199999999999967</v>
      </c>
    </row>
    <row r="81" spans="1:33" s="117" customFormat="1" x14ac:dyDescent="0.35">
      <c r="A81" s="149"/>
      <c r="B81" s="128" t="s">
        <v>77</v>
      </c>
      <c r="C81" s="129"/>
      <c r="D81" s="130">
        <f>D63*T81</f>
        <v>48.184500000000007</v>
      </c>
      <c r="E81" s="130">
        <f t="shared" ref="E81:Q81" si="76">E63*U81</f>
        <v>54.557909453898851</v>
      </c>
      <c r="F81" s="130">
        <f t="shared" si="76"/>
        <v>61.898503836043488</v>
      </c>
      <c r="G81" s="130">
        <f t="shared" si="76"/>
        <v>70.370193163624947</v>
      </c>
      <c r="H81" s="130">
        <f t="shared" si="76"/>
        <v>80.167397786133918</v>
      </c>
      <c r="I81" s="130">
        <f t="shared" si="76"/>
        <v>91.521214435409831</v>
      </c>
      <c r="J81" s="130">
        <f t="shared" si="76"/>
        <v>104.70692361560526</v>
      </c>
      <c r="K81" s="130">
        <f t="shared" si="76"/>
        <v>120.0531503099304</v>
      </c>
      <c r="L81" s="130">
        <f t="shared" si="76"/>
        <v>137.95306714386723</v>
      </c>
      <c r="M81" s="130">
        <f t="shared" si="76"/>
        <v>158.87812651236973</v>
      </c>
      <c r="N81" s="130">
        <f t="shared" si="76"/>
        <v>183.39493133155747</v>
      </c>
      <c r="O81" s="130">
        <f t="shared" si="76"/>
        <v>212.18601021396896</v>
      </c>
      <c r="P81" s="130">
        <f t="shared" si="76"/>
        <v>246.07546130447912</v>
      </c>
      <c r="Q81" s="130">
        <f t="shared" si="76"/>
        <v>286.06068182917994</v>
      </c>
      <c r="R81" s="68">
        <f t="shared" si="75"/>
        <v>0.15181965971709213</v>
      </c>
      <c r="S81" s="128" t="s">
        <v>77</v>
      </c>
      <c r="T81" s="135">
        <v>0.20000000000000004</v>
      </c>
      <c r="U81" s="135">
        <v>0.20147169878464574</v>
      </c>
      <c r="V81" s="135">
        <v>0.20295422705585509</v>
      </c>
      <c r="W81" s="135">
        <v>0.20444766450233912</v>
      </c>
      <c r="X81" s="135">
        <v>0.20595209139919785</v>
      </c>
      <c r="Y81" s="135">
        <v>0.20746758861223505</v>
      </c>
      <c r="Z81" s="135">
        <v>0.20899423760230507</v>
      </c>
      <c r="AA81" s="135">
        <v>0.21053212042969136</v>
      </c>
      <c r="AB81" s="135">
        <v>0.21208131975851768</v>
      </c>
      <c r="AC81" s="135">
        <v>0.21364191886119097</v>
      </c>
      <c r="AD81" s="135">
        <v>0.21521400162287799</v>
      </c>
      <c r="AE81" s="135">
        <v>0.21679765254601358</v>
      </c>
      <c r="AF81" s="135">
        <v>0.21839295675484363</v>
      </c>
      <c r="AG81" s="135">
        <v>0.22000000000000006</v>
      </c>
    </row>
    <row r="82" spans="1:33" s="117" customFormat="1" x14ac:dyDescent="0.35">
      <c r="A82" s="149"/>
      <c r="B82" s="128" t="s">
        <v>78</v>
      </c>
      <c r="C82" s="129"/>
      <c r="D82" s="132">
        <f>D63*T82</f>
        <v>43.366050000000001</v>
      </c>
      <c r="E82" s="132">
        <f t="shared" ref="E82:Q82" si="77">E63*U82</f>
        <v>48.784889122987977</v>
      </c>
      <c r="F82" s="132">
        <f t="shared" si="77"/>
        <v>54.991155504466079</v>
      </c>
      <c r="G82" s="132">
        <f t="shared" si="77"/>
        <v>62.113575405173506</v>
      </c>
      <c r="H82" s="132">
        <f t="shared" si="77"/>
        <v>70.304101898322912</v>
      </c>
      <c r="I82" s="132">
        <f t="shared" si="77"/>
        <v>79.742481155217405</v>
      </c>
      <c r="J82" s="132">
        <f t="shared" si="77"/>
        <v>90.641787627346645</v>
      </c>
      <c r="K82" s="132">
        <f t="shared" si="77"/>
        <v>103.25514840226099</v>
      </c>
      <c r="L82" s="132">
        <f t="shared" si="77"/>
        <v>117.88393035863332</v>
      </c>
      <c r="M82" s="132">
        <f t="shared" si="77"/>
        <v>134.88773079217515</v>
      </c>
      <c r="N82" s="132">
        <f t="shared" si="77"/>
        <v>154.6965966427536</v>
      </c>
      <c r="O82" s="132">
        <f t="shared" si="77"/>
        <v>177.82600409839256</v>
      </c>
      <c r="P82" s="132">
        <f t="shared" si="77"/>
        <v>204.89526533547075</v>
      </c>
      <c r="Q82" s="132">
        <f t="shared" si="77"/>
        <v>236.65020042232121</v>
      </c>
      <c r="R82" s="68">
        <f t="shared" si="75"/>
        <v>0.14437820802454035</v>
      </c>
      <c r="S82" s="128" t="s">
        <v>78</v>
      </c>
      <c r="T82" s="133">
        <v>0.18000000000000002</v>
      </c>
      <c r="U82" s="133">
        <v>0.18015306277331314</v>
      </c>
      <c r="V82" s="133">
        <v>0.18030625570336284</v>
      </c>
      <c r="W82" s="133">
        <v>0.18045957890082762</v>
      </c>
      <c r="X82" s="133">
        <v>0.18061303247648028</v>
      </c>
      <c r="Y82" s="133">
        <v>0.18076661654118778</v>
      </c>
      <c r="Z82" s="133">
        <v>0.18092033120591131</v>
      </c>
      <c r="AA82" s="133">
        <v>0.18107417658170627</v>
      </c>
      <c r="AB82" s="133">
        <v>0.1812281527797229</v>
      </c>
      <c r="AC82" s="133">
        <v>0.1813822599112056</v>
      </c>
      <c r="AD82" s="133">
        <v>0.18153649808749345</v>
      </c>
      <c r="AE82" s="133">
        <v>0.18169086742002025</v>
      </c>
      <c r="AF82" s="133">
        <v>0.18184536802031454</v>
      </c>
      <c r="AG82" s="133">
        <v>0.18199999999999975</v>
      </c>
    </row>
    <row r="83" spans="1:33" s="117" customFormat="1" x14ac:dyDescent="0.35">
      <c r="A83" s="149"/>
      <c r="B83" s="128" t="s">
        <v>79</v>
      </c>
      <c r="C83" s="129"/>
      <c r="D83" s="132">
        <f>D63*T83</f>
        <v>24.092249999999996</v>
      </c>
      <c r="E83" s="132">
        <f t="shared" ref="E83:Q83" si="78">E63*U83</f>
        <v>27.120970355726424</v>
      </c>
      <c r="F83" s="132">
        <f t="shared" si="78"/>
        <v>30.591808640545068</v>
      </c>
      <c r="G83" s="132">
        <f t="shared" si="78"/>
        <v>34.577313249490018</v>
      </c>
      <c r="H83" s="132">
        <f t="shared" si="78"/>
        <v>39.163165412235877</v>
      </c>
      <c r="I83" s="132">
        <f t="shared" si="78"/>
        <v>44.450768471221188</v>
      </c>
      <c r="J83" s="132">
        <f t="shared" si="78"/>
        <v>50.560387989129936</v>
      </c>
      <c r="K83" s="132">
        <f t="shared" si="78"/>
        <v>57.63496821256372</v>
      </c>
      <c r="L83" s="132">
        <f t="shared" si="78"/>
        <v>65.844780886051169</v>
      </c>
      <c r="M83" s="132">
        <f t="shared" si="78"/>
        <v>75.393100716837935</v>
      </c>
      <c r="N83" s="132">
        <f t="shared" si="78"/>
        <v>86.523150065784975</v>
      </c>
      <c r="O83" s="132">
        <f t="shared" si="78"/>
        <v>99.526616421611152</v>
      </c>
      <c r="P83" s="132">
        <f t="shared" si="78"/>
        <v>114.75412343455109</v>
      </c>
      <c r="Q83" s="132">
        <f t="shared" si="78"/>
        <v>132.62813430261957</v>
      </c>
      <c r="R83" s="68">
        <f t="shared" si="75"/>
        <v>0.14514896773038988</v>
      </c>
      <c r="S83" s="128" t="s">
        <v>79</v>
      </c>
      <c r="T83" s="133">
        <v>9.9999999999999992E-2</v>
      </c>
      <c r="U83" s="133">
        <v>0.10015244398015953</v>
      </c>
      <c r="V83" s="133">
        <v>0.10030512035198993</v>
      </c>
      <c r="W83" s="133">
        <v>0.10045802946975833</v>
      </c>
      <c r="X83" s="133">
        <v>0.10061117168827188</v>
      </c>
      <c r="Y83" s="133">
        <v>0.10076454736287864</v>
      </c>
      <c r="Z83" s="133">
        <v>0.10091815684946834</v>
      </c>
      <c r="AA83" s="133">
        <v>0.10107200050447333</v>
      </c>
      <c r="AB83" s="133">
        <v>0.10122607868486923</v>
      </c>
      <c r="AC83" s="133">
        <v>0.10138039174817587</v>
      </c>
      <c r="AD83" s="133">
        <v>0.10153494005245813</v>
      </c>
      <c r="AE83" s="133">
        <v>0.10168972395632671</v>
      </c>
      <c r="AF83" s="133">
        <v>0.10184474381893897</v>
      </c>
      <c r="AG83" s="133">
        <v>0.10199999999999985</v>
      </c>
    </row>
    <row r="84" spans="1:33" s="117" customFormat="1" x14ac:dyDescent="0.35">
      <c r="A84" s="149"/>
      <c r="B84" s="128" t="s">
        <v>80</v>
      </c>
      <c r="C84" s="129"/>
      <c r="D84" s="132">
        <f>D63*T84</f>
        <v>31.319925000000005</v>
      </c>
      <c r="E84" s="132">
        <f t="shared" ref="E84:Q84" si="79">E63*U84</f>
        <v>35.305943826103451</v>
      </c>
      <c r="F84" s="132">
        <f t="shared" si="79"/>
        <v>39.879252148158109</v>
      </c>
      <c r="G84" s="132">
        <f t="shared" si="79"/>
        <v>45.136964123086948</v>
      </c>
      <c r="H84" s="132">
        <f t="shared" si="79"/>
        <v>51.193890777619956</v>
      </c>
      <c r="I84" s="132">
        <f t="shared" si="79"/>
        <v>58.186049713885879</v>
      </c>
      <c r="J84" s="132">
        <f t="shared" si="79"/>
        <v>66.274925421822488</v>
      </c>
      <c r="K84" s="132">
        <f t="shared" si="79"/>
        <v>75.652652083123542</v>
      </c>
      <c r="L84" s="132">
        <f t="shared" si="79"/>
        <v>86.54833265769885</v>
      </c>
      <c r="M84" s="132">
        <f t="shared" si="79"/>
        <v>99.235760777035125</v>
      </c>
      <c r="N84" s="132">
        <f t="shared" si="79"/>
        <v>114.04287848231985</v>
      </c>
      <c r="O84" s="132">
        <f t="shared" si="79"/>
        <v>131.36338693895323</v>
      </c>
      <c r="P84" s="132">
        <f t="shared" si="79"/>
        <v>151.6710338357355</v>
      </c>
      <c r="Q84" s="132">
        <f t="shared" si="79"/>
        <v>175.53723657699669</v>
      </c>
      <c r="R84" s="68">
        <f t="shared" si="75"/>
        <v>0.14673016139599149</v>
      </c>
      <c r="S84" s="128" t="s">
        <v>80</v>
      </c>
      <c r="T84" s="133">
        <v>0.13000000000000003</v>
      </c>
      <c r="U84" s="133">
        <v>0.13037795163047644</v>
      </c>
      <c r="V84" s="133">
        <v>0.13075700208737578</v>
      </c>
      <c r="W84" s="133">
        <v>0.13113715456533831</v>
      </c>
      <c r="X84" s="133">
        <v>0.1315184122682922</v>
      </c>
      <c r="Y84" s="133">
        <v>0.13190077840948042</v>
      </c>
      <c r="Z84" s="133">
        <v>0.13228425621148787</v>
      </c>
      <c r="AA84" s="133">
        <v>0.13266884890626857</v>
      </c>
      <c r="AB84" s="133">
        <v>0.1330545597351728</v>
      </c>
      <c r="AC84" s="133">
        <v>0.13344139194897456</v>
      </c>
      <c r="AD84" s="133">
        <v>0.13382934880789885</v>
      </c>
      <c r="AE84" s="133">
        <v>0.13421843358164914</v>
      </c>
      <c r="AF84" s="133">
        <v>0.13460864954943511</v>
      </c>
      <c r="AG84" s="133">
        <v>0.13499999999999995</v>
      </c>
    </row>
    <row r="85" spans="1:33" s="117" customFormat="1" x14ac:dyDescent="0.35">
      <c r="A85" s="149"/>
      <c r="B85" s="128" t="s">
        <v>81</v>
      </c>
      <c r="C85" s="129"/>
      <c r="D85" s="132">
        <f>D63*T85</f>
        <v>4.8184499999999986</v>
      </c>
      <c r="E85" s="132">
        <f t="shared" ref="E85:Q85" si="80">E63*U85</f>
        <v>5.4744782244888652</v>
      </c>
      <c r="F85" s="132">
        <f t="shared" si="80"/>
        <v>6.232326190652838</v>
      </c>
      <c r="G85" s="132">
        <f t="shared" si="80"/>
        <v>7.1095772746588155</v>
      </c>
      <c r="H85" s="132">
        <f t="shared" si="80"/>
        <v>8.1271417480690911</v>
      </c>
      <c r="I85" s="132">
        <f t="shared" si="80"/>
        <v>9.3099389697622694</v>
      </c>
      <c r="J85" s="132">
        <f t="shared" si="80"/>
        <v>10.687729940579469</v>
      </c>
      <c r="K85" s="132">
        <f t="shared" si="80"/>
        <v>12.296135615822617</v>
      </c>
      <c r="L85" s="132">
        <f t="shared" si="80"/>
        <v>14.177885223004012</v>
      </c>
      <c r="M85" s="132">
        <f t="shared" si="80"/>
        <v>16.38435002660044</v>
      </c>
      <c r="N85" s="132">
        <f t="shared" si="80"/>
        <v>18.977432171141718</v>
      </c>
      <c r="O85" s="132">
        <f t="shared" si="80"/>
        <v>22.031896263293426</v>
      </c>
      <c r="P85" s="132">
        <f t="shared" si="80"/>
        <v>25.638254317368482</v>
      </c>
      <c r="Q85" s="132">
        <f t="shared" si="80"/>
        <v>29.906344009414209</v>
      </c>
      <c r="R85" s="68">
        <f t="shared" si="75"/>
        <v>0.15576489436194374</v>
      </c>
      <c r="S85" s="128" t="s">
        <v>81</v>
      </c>
      <c r="T85" s="133">
        <v>1.9999999999999997E-2</v>
      </c>
      <c r="U85" s="133">
        <v>2.0216178348609781E-2</v>
      </c>
      <c r="V85" s="133">
        <v>2.0434693351139947E-2</v>
      </c>
      <c r="W85" s="133">
        <v>2.065557026428979E-2</v>
      </c>
      <c r="X85" s="133">
        <v>2.0878834617756165E-2</v>
      </c>
      <c r="Y85" s="133">
        <v>2.1104512217184332E-2</v>
      </c>
      <c r="Z85" s="133">
        <v>2.1332629147150631E-2</v>
      </c>
      <c r="AA85" s="133">
        <v>2.1563211774177433E-2</v>
      </c>
      <c r="AB85" s="133">
        <v>2.179628674978067E-2</v>
      </c>
      <c r="AC85" s="133">
        <v>2.2031881013550313E-2</v>
      </c>
      <c r="AD85" s="133">
        <v>2.2270021796264142E-2</v>
      </c>
      <c r="AE85" s="133">
        <v>2.2510736623035158E-2</v>
      </c>
      <c r="AF85" s="133">
        <v>2.275405331649304E-2</v>
      </c>
      <c r="AG85" s="133">
        <v>2.2999999999999961E-2</v>
      </c>
    </row>
    <row r="86" spans="1:33" s="117" customFormat="1" x14ac:dyDescent="0.35">
      <c r="A86" s="149"/>
      <c r="B86" s="128" t="s">
        <v>82</v>
      </c>
      <c r="C86" s="129"/>
      <c r="D86" s="132">
        <f>D63*T86</f>
        <v>28.91069999999997</v>
      </c>
      <c r="E86" s="132">
        <f t="shared" ref="E86:Q86" si="81">E63*U86</f>
        <v>31.811968497981269</v>
      </c>
      <c r="F86" s="132">
        <f t="shared" si="81"/>
        <v>35.054058022351626</v>
      </c>
      <c r="G86" s="132">
        <f t="shared" si="81"/>
        <v>38.681461254718513</v>
      </c>
      <c r="H86" s="132">
        <f t="shared" si="81"/>
        <v>42.744911735867781</v>
      </c>
      <c r="I86" s="132">
        <f t="shared" si="81"/>
        <v>47.302293380488628</v>
      </c>
      <c r="J86" s="132">
        <f t="shared" si="81"/>
        <v>52.419681148605946</v>
      </c>
      <c r="K86" s="132">
        <f t="shared" si="81"/>
        <v>58.172529634330083</v>
      </c>
      <c r="L86" s="132">
        <f t="shared" si="81"/>
        <v>64.647027427266863</v>
      </c>
      <c r="M86" s="132">
        <f t="shared" si="81"/>
        <v>71.941635759062876</v>
      </c>
      <c r="N86" s="132">
        <f t="shared" si="81"/>
        <v>80.168829863331766</v>
      </c>
      <c r="O86" s="132">
        <f t="shared" si="81"/>
        <v>89.457060210806318</v>
      </c>
      <c r="P86" s="132">
        <f t="shared" si="81"/>
        <v>99.952947699506154</v>
      </c>
      <c r="Q86" s="132">
        <f t="shared" si="81"/>
        <v>111.82372107868038</v>
      </c>
      <c r="R86" s="68">
        <f t="shared" si="75"/>
        <v>0.11277023835162331</v>
      </c>
      <c r="S86" s="128" t="s">
        <v>82</v>
      </c>
      <c r="T86" s="133">
        <f>1-SUM(T80:T85)</f>
        <v>0.11999999999999988</v>
      </c>
      <c r="U86" s="133">
        <f t="shared" ref="U86:AG86" si="82">1-SUM(U80:U85)</f>
        <v>0.1174753834801473</v>
      </c>
      <c r="V86" s="133">
        <f t="shared" si="82"/>
        <v>0.11493604546471725</v>
      </c>
      <c r="W86" s="133">
        <f t="shared" si="82"/>
        <v>0.11238187729109173</v>
      </c>
      <c r="X86" s="133">
        <f t="shared" si="82"/>
        <v>0.109812769427309</v>
      </c>
      <c r="Y86" s="133">
        <f t="shared" si="82"/>
        <v>0.10722861146477003</v>
      </c>
      <c r="Z86" s="133">
        <f t="shared" si="82"/>
        <v>0.10462929211088057</v>
      </c>
      <c r="AA86" s="133">
        <f t="shared" si="82"/>
        <v>0.10201469918163009</v>
      </c>
      <c r="AB86" s="133">
        <f t="shared" si="82"/>
        <v>9.9384719594103998E-2</v>
      </c>
      <c r="AC86" s="133">
        <f t="shared" si="82"/>
        <v>9.6739239358933582E-2</v>
      </c>
      <c r="AD86" s="133">
        <f t="shared" si="82"/>
        <v>9.4078143572675965E-2</v>
      </c>
      <c r="AE86" s="133">
        <f t="shared" si="82"/>
        <v>9.1401316410130717E-2</v>
      </c>
      <c r="AF86" s="133">
        <f t="shared" si="82"/>
        <v>8.8708641116586051E-2</v>
      </c>
      <c r="AG86" s="133">
        <f t="shared" si="82"/>
        <v>8.6000000000000743E-2</v>
      </c>
    </row>
    <row r="87" spans="1:33" x14ac:dyDescent="0.35">
      <c r="D87" t="b">
        <f>D63=SUM(D80:D86)</f>
        <v>1</v>
      </c>
      <c r="E87" t="b">
        <f t="shared" ref="E87:Q87" si="83">E63=SUM(E80:E86)</f>
        <v>1</v>
      </c>
      <c r="F87" t="b">
        <f t="shared" si="83"/>
        <v>1</v>
      </c>
      <c r="G87" t="b">
        <f t="shared" si="83"/>
        <v>1</v>
      </c>
      <c r="H87" t="b">
        <f t="shared" si="83"/>
        <v>1</v>
      </c>
      <c r="I87" t="b">
        <f t="shared" si="83"/>
        <v>1</v>
      </c>
      <c r="J87" t="b">
        <f t="shared" si="83"/>
        <v>1</v>
      </c>
      <c r="K87" t="b">
        <f t="shared" si="83"/>
        <v>1</v>
      </c>
      <c r="L87" t="b">
        <f t="shared" si="83"/>
        <v>1</v>
      </c>
      <c r="M87" t="b">
        <f t="shared" si="83"/>
        <v>1</v>
      </c>
      <c r="N87" t="b">
        <f t="shared" si="83"/>
        <v>1</v>
      </c>
      <c r="O87" t="b">
        <f t="shared" si="83"/>
        <v>1</v>
      </c>
      <c r="P87" t="b">
        <f t="shared" si="83"/>
        <v>1</v>
      </c>
      <c r="Q87" t="b">
        <f t="shared" si="83"/>
        <v>1</v>
      </c>
    </row>
    <row r="89" spans="1:33" ht="25" x14ac:dyDescent="0.5">
      <c r="A89" s="146" t="s">
        <v>109</v>
      </c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63"/>
    </row>
    <row r="90" spans="1:33" ht="23.5" thickBot="1" x14ac:dyDescent="0.55000000000000004">
      <c r="A90" s="63"/>
      <c r="B90" s="63"/>
      <c r="C90" s="63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</row>
    <row r="91" spans="1:33" ht="16" hidden="1" thickBot="1" x14ac:dyDescent="0.4">
      <c r="A91" s="42"/>
      <c r="B91" s="43"/>
      <c r="C91" s="93"/>
      <c r="D91" s="91">
        <v>2023</v>
      </c>
      <c r="E91" s="65">
        <v>2024</v>
      </c>
      <c r="F91" s="65">
        <v>2025</v>
      </c>
      <c r="G91" s="65">
        <v>2026</v>
      </c>
      <c r="H91" s="65">
        <v>2027</v>
      </c>
      <c r="I91" s="65">
        <v>2028</v>
      </c>
      <c r="J91" s="65">
        <v>2029</v>
      </c>
      <c r="K91" s="65">
        <v>2030</v>
      </c>
      <c r="L91" s="65">
        <v>2031</v>
      </c>
      <c r="M91" s="65">
        <v>2032</v>
      </c>
      <c r="N91" s="65">
        <v>2033</v>
      </c>
      <c r="O91" s="65">
        <v>2034</v>
      </c>
      <c r="P91" s="65">
        <v>2035</v>
      </c>
      <c r="Q91" s="65">
        <v>2036</v>
      </c>
      <c r="R91" s="66" t="s">
        <v>13</v>
      </c>
    </row>
    <row r="92" spans="1:33" ht="16" hidden="1" thickBot="1" x14ac:dyDescent="0.4">
      <c r="A92" s="25"/>
      <c r="B92" s="94"/>
      <c r="C92" s="95"/>
      <c r="D92" s="92" t="e">
        <f>#REF!</f>
        <v>#REF!</v>
      </c>
      <c r="E92" s="92" t="e">
        <f>#REF!</f>
        <v>#REF!</v>
      </c>
      <c r="F92" s="92" t="e">
        <f>#REF!</f>
        <v>#REF!</v>
      </c>
      <c r="G92" s="92" t="e">
        <f>#REF!</f>
        <v>#REF!</v>
      </c>
      <c r="H92" s="92" t="e">
        <f>#REF!</f>
        <v>#REF!</v>
      </c>
      <c r="I92" s="92" t="e">
        <f>#REF!</f>
        <v>#REF!</v>
      </c>
      <c r="J92" s="92" t="e">
        <f>#REF!</f>
        <v>#REF!</v>
      </c>
      <c r="K92" s="92" t="e">
        <f>#REF!</f>
        <v>#REF!</v>
      </c>
      <c r="L92" s="92" t="e">
        <f>#REF!</f>
        <v>#REF!</v>
      </c>
      <c r="M92" s="92" t="e">
        <f>#REF!</f>
        <v>#REF!</v>
      </c>
      <c r="N92" s="92" t="e">
        <f>#REF!</f>
        <v>#REF!</v>
      </c>
      <c r="O92" s="92" t="e">
        <f>#REF!</f>
        <v>#REF!</v>
      </c>
      <c r="P92" s="92" t="e">
        <f>#REF!</f>
        <v>#REF!</v>
      </c>
      <c r="Q92" s="92" t="e">
        <f>#REF!</f>
        <v>#REF!</v>
      </c>
      <c r="R92" s="68" t="e">
        <f>RATE(12,,-E92,Q92)</f>
        <v>#REF!</v>
      </c>
      <c r="T92" s="65">
        <v>2023</v>
      </c>
      <c r="U92" s="65">
        <v>2024</v>
      </c>
      <c r="V92" s="65">
        <v>2025</v>
      </c>
      <c r="W92" s="65">
        <v>2026</v>
      </c>
      <c r="X92" s="65">
        <v>2027</v>
      </c>
      <c r="Y92" s="65">
        <v>2028</v>
      </c>
      <c r="Z92" s="65">
        <v>2029</v>
      </c>
      <c r="AA92" s="65">
        <v>2030</v>
      </c>
      <c r="AB92" s="65">
        <v>2031</v>
      </c>
      <c r="AC92" s="65">
        <v>2032</v>
      </c>
      <c r="AD92" s="65">
        <v>2033</v>
      </c>
      <c r="AE92" s="65">
        <v>2034</v>
      </c>
      <c r="AF92" s="65">
        <v>2035</v>
      </c>
      <c r="AG92" s="65">
        <v>2036</v>
      </c>
    </row>
    <row r="93" spans="1:33" ht="15" hidden="1" thickBot="1" x14ac:dyDescent="0.4">
      <c r="A93" s="150" t="s">
        <v>49</v>
      </c>
      <c r="B93" s="52" t="s">
        <v>34</v>
      </c>
      <c r="C93" s="45"/>
      <c r="D93" s="79" t="e">
        <f t="shared" ref="D93:Q93" si="84">D92*T93</f>
        <v>#REF!</v>
      </c>
      <c r="E93" s="79" t="e">
        <f t="shared" si="84"/>
        <v>#REF!</v>
      </c>
      <c r="F93" s="79" t="e">
        <f t="shared" si="84"/>
        <v>#REF!</v>
      </c>
      <c r="G93" s="79" t="e">
        <f t="shared" si="84"/>
        <v>#REF!</v>
      </c>
      <c r="H93" s="79" t="e">
        <f t="shared" si="84"/>
        <v>#REF!</v>
      </c>
      <c r="I93" s="79" t="e">
        <f t="shared" si="84"/>
        <v>#REF!</v>
      </c>
      <c r="J93" s="79" t="e">
        <f t="shared" si="84"/>
        <v>#REF!</v>
      </c>
      <c r="K93" s="79" t="e">
        <f t="shared" si="84"/>
        <v>#REF!</v>
      </c>
      <c r="L93" s="79" t="e">
        <f t="shared" si="84"/>
        <v>#REF!</v>
      </c>
      <c r="M93" s="79" t="e">
        <f t="shared" si="84"/>
        <v>#REF!</v>
      </c>
      <c r="N93" s="79" t="e">
        <f t="shared" si="84"/>
        <v>#REF!</v>
      </c>
      <c r="O93" s="79" t="e">
        <f t="shared" si="84"/>
        <v>#REF!</v>
      </c>
      <c r="P93" s="79" t="e">
        <f t="shared" si="84"/>
        <v>#REF!</v>
      </c>
      <c r="Q93" s="79" t="e">
        <f t="shared" si="84"/>
        <v>#REF!</v>
      </c>
      <c r="R93" s="77" t="e">
        <f>RATE(12,,-E93,Q93)</f>
        <v>#REF!</v>
      </c>
      <c r="S93" s="52"/>
      <c r="T93" s="12">
        <v>0.56000000000000005</v>
      </c>
      <c r="U93" s="12">
        <v>0.56092161367703952</v>
      </c>
      <c r="V93" s="12">
        <v>0.56184474408938223</v>
      </c>
      <c r="W93" s="12">
        <v>0.56276939373317769</v>
      </c>
      <c r="X93" s="12">
        <v>0.56369556510868446</v>
      </c>
      <c r="Y93" s="12">
        <v>0.56462326072027491</v>
      </c>
      <c r="Z93" s="12">
        <v>0.56555248307644368</v>
      </c>
      <c r="AA93" s="12">
        <v>0.56648323468981299</v>
      </c>
      <c r="AB93" s="12">
        <v>0.56741551807714108</v>
      </c>
      <c r="AC93" s="12">
        <v>0.56834933575932756</v>
      </c>
      <c r="AD93" s="12">
        <v>0.56928469026142059</v>
      </c>
      <c r="AE93" s="12">
        <v>0.57022158411262425</v>
      </c>
      <c r="AF93" s="12">
        <v>0.57116001984630527</v>
      </c>
      <c r="AG93" s="12">
        <v>0.57209999999999905</v>
      </c>
    </row>
    <row r="94" spans="1:33" ht="15" hidden="1" thickBot="1" x14ac:dyDescent="0.4">
      <c r="A94" s="151"/>
      <c r="B94" s="53" t="s">
        <v>35</v>
      </c>
      <c r="C94" s="46"/>
      <c r="D94" s="80" t="e">
        <f t="shared" ref="D94:Q94" si="85">D92*T94</f>
        <v>#REF!</v>
      </c>
      <c r="E94" s="80" t="e">
        <f t="shared" si="85"/>
        <v>#REF!</v>
      </c>
      <c r="F94" s="80" t="e">
        <f t="shared" si="85"/>
        <v>#REF!</v>
      </c>
      <c r="G94" s="80" t="e">
        <f t="shared" si="85"/>
        <v>#REF!</v>
      </c>
      <c r="H94" s="80" t="e">
        <f t="shared" si="85"/>
        <v>#REF!</v>
      </c>
      <c r="I94" s="80" t="e">
        <f t="shared" si="85"/>
        <v>#REF!</v>
      </c>
      <c r="J94" s="80" t="e">
        <f t="shared" si="85"/>
        <v>#REF!</v>
      </c>
      <c r="K94" s="80" t="e">
        <f t="shared" si="85"/>
        <v>#REF!</v>
      </c>
      <c r="L94" s="80" t="e">
        <f t="shared" si="85"/>
        <v>#REF!</v>
      </c>
      <c r="M94" s="80" t="e">
        <f t="shared" si="85"/>
        <v>#REF!</v>
      </c>
      <c r="N94" s="80" t="e">
        <f t="shared" si="85"/>
        <v>#REF!</v>
      </c>
      <c r="O94" s="80" t="e">
        <f t="shared" si="85"/>
        <v>#REF!</v>
      </c>
      <c r="P94" s="80" t="e">
        <f t="shared" si="85"/>
        <v>#REF!</v>
      </c>
      <c r="Q94" s="80" t="e">
        <f t="shared" si="85"/>
        <v>#REF!</v>
      </c>
      <c r="R94" s="78" t="e">
        <f>RATE(12,,-E94,Q94)</f>
        <v>#REF!</v>
      </c>
      <c r="S94" s="53"/>
      <c r="T94" s="12">
        <f>1-T93</f>
        <v>0.43999999999999995</v>
      </c>
      <c r="U94" s="12">
        <f t="shared" ref="U94:AG94" si="86">1-U93</f>
        <v>0.43907838632296048</v>
      </c>
      <c r="V94" s="12">
        <f t="shared" si="86"/>
        <v>0.43815525591061777</v>
      </c>
      <c r="W94" s="12">
        <f t="shared" si="86"/>
        <v>0.43723060626682231</v>
      </c>
      <c r="X94" s="12">
        <f t="shared" si="86"/>
        <v>0.43630443489131554</v>
      </c>
      <c r="Y94" s="12">
        <f t="shared" si="86"/>
        <v>0.43537673927972509</v>
      </c>
      <c r="Z94" s="12">
        <f t="shared" si="86"/>
        <v>0.43444751692355632</v>
      </c>
      <c r="AA94" s="12">
        <f t="shared" si="86"/>
        <v>0.43351676531018701</v>
      </c>
      <c r="AB94" s="12">
        <f t="shared" si="86"/>
        <v>0.43258448192285892</v>
      </c>
      <c r="AC94" s="12">
        <f t="shared" si="86"/>
        <v>0.43165066424067244</v>
      </c>
      <c r="AD94" s="12">
        <f t="shared" si="86"/>
        <v>0.43071530973857941</v>
      </c>
      <c r="AE94" s="12">
        <f t="shared" si="86"/>
        <v>0.42977841588737575</v>
      </c>
      <c r="AF94" s="12">
        <f t="shared" si="86"/>
        <v>0.42883998015369473</v>
      </c>
      <c r="AG94" s="12">
        <f t="shared" si="86"/>
        <v>0.42790000000000095</v>
      </c>
    </row>
    <row r="95" spans="1:33" ht="15" hidden="1" thickBot="1" x14ac:dyDescent="0.4">
      <c r="A95" s="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21"/>
    </row>
    <row r="96" spans="1:33" ht="15" hidden="1" thickBot="1" x14ac:dyDescent="0.4">
      <c r="A96" s="150" t="s">
        <v>15</v>
      </c>
      <c r="B96" s="57" t="s">
        <v>16</v>
      </c>
      <c r="C96" s="47"/>
      <c r="D96" s="82" t="e">
        <f t="shared" ref="D96:Q96" si="87">D92*T96</f>
        <v>#REF!</v>
      </c>
      <c r="E96" s="82" t="e">
        <f t="shared" si="87"/>
        <v>#REF!</v>
      </c>
      <c r="F96" s="82" t="e">
        <f t="shared" si="87"/>
        <v>#REF!</v>
      </c>
      <c r="G96" s="82" t="e">
        <f t="shared" si="87"/>
        <v>#REF!</v>
      </c>
      <c r="H96" s="82" t="e">
        <f t="shared" si="87"/>
        <v>#REF!</v>
      </c>
      <c r="I96" s="82" t="e">
        <f t="shared" si="87"/>
        <v>#REF!</v>
      </c>
      <c r="J96" s="82" t="e">
        <f t="shared" si="87"/>
        <v>#REF!</v>
      </c>
      <c r="K96" s="82" t="e">
        <f t="shared" si="87"/>
        <v>#REF!</v>
      </c>
      <c r="L96" s="82" t="e">
        <f t="shared" si="87"/>
        <v>#REF!</v>
      </c>
      <c r="M96" s="82" t="e">
        <f t="shared" si="87"/>
        <v>#REF!</v>
      </c>
      <c r="N96" s="82" t="e">
        <f t="shared" si="87"/>
        <v>#REF!</v>
      </c>
      <c r="O96" s="82" t="e">
        <f t="shared" si="87"/>
        <v>#REF!</v>
      </c>
      <c r="P96" s="82" t="e">
        <f t="shared" si="87"/>
        <v>#REF!</v>
      </c>
      <c r="Q96" s="82" t="e">
        <f t="shared" si="87"/>
        <v>#REF!</v>
      </c>
      <c r="R96" s="69" t="e">
        <f>RATE(12,,-E96,Q96)</f>
        <v>#REF!</v>
      </c>
      <c r="S96" s="57"/>
      <c r="T96" s="12">
        <v>0.47099999999999992</v>
      </c>
      <c r="U96" s="12">
        <v>0.47038461538461535</v>
      </c>
      <c r="V96" s="12">
        <v>0.46976923076923072</v>
      </c>
      <c r="W96" s="12">
        <v>0.46915384615384609</v>
      </c>
      <c r="X96" s="12">
        <v>0.46853846153846151</v>
      </c>
      <c r="Y96" s="12">
        <v>0.46792307692307689</v>
      </c>
      <c r="Z96" s="12">
        <v>0.46730769230769226</v>
      </c>
      <c r="AA96" s="12">
        <v>0.46669230769230763</v>
      </c>
      <c r="AB96" s="12">
        <v>0.46607692307692306</v>
      </c>
      <c r="AC96" s="12">
        <v>0.46546153846153843</v>
      </c>
      <c r="AD96" s="12">
        <v>0.4648461538461538</v>
      </c>
      <c r="AE96" s="12">
        <v>0.46423076923076922</v>
      </c>
      <c r="AF96" s="12">
        <v>0.4636153846153846</v>
      </c>
      <c r="AG96" s="12">
        <v>0.46299999999999997</v>
      </c>
    </row>
    <row r="97" spans="1:33" ht="15" hidden="1" thickBot="1" x14ac:dyDescent="0.4">
      <c r="A97" s="151"/>
      <c r="B97" s="58" t="s">
        <v>17</v>
      </c>
      <c r="C97" s="48"/>
      <c r="D97" s="83" t="e">
        <f t="shared" ref="D97:Q97" si="88">D92*T97</f>
        <v>#REF!</v>
      </c>
      <c r="E97" s="83" t="e">
        <f t="shared" si="88"/>
        <v>#REF!</v>
      </c>
      <c r="F97" s="83" t="e">
        <f t="shared" si="88"/>
        <v>#REF!</v>
      </c>
      <c r="G97" s="83" t="e">
        <f t="shared" si="88"/>
        <v>#REF!</v>
      </c>
      <c r="H97" s="83" t="e">
        <f t="shared" si="88"/>
        <v>#REF!</v>
      </c>
      <c r="I97" s="83" t="e">
        <f t="shared" si="88"/>
        <v>#REF!</v>
      </c>
      <c r="J97" s="83" t="e">
        <f t="shared" si="88"/>
        <v>#REF!</v>
      </c>
      <c r="K97" s="83" t="e">
        <f t="shared" si="88"/>
        <v>#REF!</v>
      </c>
      <c r="L97" s="83" t="e">
        <f t="shared" si="88"/>
        <v>#REF!</v>
      </c>
      <c r="M97" s="83" t="e">
        <f t="shared" si="88"/>
        <v>#REF!</v>
      </c>
      <c r="N97" s="83" t="e">
        <f t="shared" si="88"/>
        <v>#REF!</v>
      </c>
      <c r="O97" s="83" t="e">
        <f t="shared" si="88"/>
        <v>#REF!</v>
      </c>
      <c r="P97" s="83" t="e">
        <f t="shared" si="88"/>
        <v>#REF!</v>
      </c>
      <c r="Q97" s="83" t="e">
        <f t="shared" si="88"/>
        <v>#REF!</v>
      </c>
      <c r="R97" s="70" t="e">
        <f>RATE(12,,-E97,Q97)</f>
        <v>#REF!</v>
      </c>
      <c r="S97" s="58"/>
      <c r="T97" s="12">
        <f>1-T96</f>
        <v>0.52900000000000014</v>
      </c>
      <c r="U97" s="12">
        <f t="shared" ref="U97:AG97" si="89">1-U96</f>
        <v>0.5296153846153846</v>
      </c>
      <c r="V97" s="12">
        <f t="shared" si="89"/>
        <v>0.53023076923076928</v>
      </c>
      <c r="W97" s="12">
        <f t="shared" si="89"/>
        <v>0.53084615384615397</v>
      </c>
      <c r="X97" s="12">
        <f t="shared" si="89"/>
        <v>0.53146153846153843</v>
      </c>
      <c r="Y97" s="12">
        <f t="shared" si="89"/>
        <v>0.53207692307692311</v>
      </c>
      <c r="Z97" s="12">
        <f t="shared" si="89"/>
        <v>0.5326923076923078</v>
      </c>
      <c r="AA97" s="12">
        <f t="shared" si="89"/>
        <v>0.53330769230769237</v>
      </c>
      <c r="AB97" s="12">
        <f t="shared" si="89"/>
        <v>0.53392307692307694</v>
      </c>
      <c r="AC97" s="12">
        <f t="shared" si="89"/>
        <v>0.53453846153846163</v>
      </c>
      <c r="AD97" s="12">
        <f t="shared" si="89"/>
        <v>0.5351538461538462</v>
      </c>
      <c r="AE97" s="12">
        <f t="shared" si="89"/>
        <v>0.53576923076923078</v>
      </c>
      <c r="AF97" s="12">
        <f t="shared" si="89"/>
        <v>0.53638461538461546</v>
      </c>
      <c r="AG97" s="12">
        <f t="shared" si="89"/>
        <v>0.53700000000000003</v>
      </c>
    </row>
    <row r="98" spans="1:33" ht="15" hidden="1" thickBot="1" x14ac:dyDescent="0.4">
      <c r="A98" s="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21"/>
    </row>
    <row r="99" spans="1:33" ht="15" hidden="1" thickBot="1" x14ac:dyDescent="0.4">
      <c r="A99" s="150" t="s">
        <v>18</v>
      </c>
      <c r="B99" s="54" t="s">
        <v>19</v>
      </c>
      <c r="C99" s="49"/>
      <c r="D99" s="84" t="e">
        <f t="shared" ref="D99:Q99" si="90">D92*T99</f>
        <v>#REF!</v>
      </c>
      <c r="E99" s="84" t="e">
        <f t="shared" si="90"/>
        <v>#REF!</v>
      </c>
      <c r="F99" s="84" t="e">
        <f t="shared" si="90"/>
        <v>#REF!</v>
      </c>
      <c r="G99" s="84" t="e">
        <f t="shared" si="90"/>
        <v>#REF!</v>
      </c>
      <c r="H99" s="84" t="e">
        <f t="shared" si="90"/>
        <v>#REF!</v>
      </c>
      <c r="I99" s="84" t="e">
        <f t="shared" si="90"/>
        <v>#REF!</v>
      </c>
      <c r="J99" s="84" t="e">
        <f t="shared" si="90"/>
        <v>#REF!</v>
      </c>
      <c r="K99" s="84" t="e">
        <f t="shared" si="90"/>
        <v>#REF!</v>
      </c>
      <c r="L99" s="84" t="e">
        <f t="shared" si="90"/>
        <v>#REF!</v>
      </c>
      <c r="M99" s="84" t="e">
        <f t="shared" si="90"/>
        <v>#REF!</v>
      </c>
      <c r="N99" s="84" t="e">
        <f t="shared" si="90"/>
        <v>#REF!</v>
      </c>
      <c r="O99" s="84" t="e">
        <f t="shared" si="90"/>
        <v>#REF!</v>
      </c>
      <c r="P99" s="84" t="e">
        <f t="shared" si="90"/>
        <v>#REF!</v>
      </c>
      <c r="Q99" s="84" t="e">
        <f t="shared" si="90"/>
        <v>#REF!</v>
      </c>
      <c r="R99" s="71" t="e">
        <f>RATE(12,,-E99,Q99)</f>
        <v>#REF!</v>
      </c>
      <c r="S99" s="54"/>
      <c r="T99" s="12">
        <v>0.40099999999999997</v>
      </c>
      <c r="U99" s="12">
        <v>0.40265090533119946</v>
      </c>
      <c r="V99" s="12">
        <v>0.40430860739160734</v>
      </c>
      <c r="W99" s="12">
        <v>0.40597313416316017</v>
      </c>
      <c r="X99" s="12">
        <v>0.40764451374299493</v>
      </c>
      <c r="Y99" s="12">
        <v>0.40932277434392395</v>
      </c>
      <c r="Z99" s="12">
        <v>0.41100794429491083</v>
      </c>
      <c r="AA99" s="12">
        <v>0.4127000520415488</v>
      </c>
      <c r="AB99" s="12">
        <v>0.41439912614654062</v>
      </c>
      <c r="AC99" s="12">
        <v>0.41610519529018092</v>
      </c>
      <c r="AD99" s="12">
        <v>0.41781828827084017</v>
      </c>
      <c r="AE99" s="12">
        <v>0.4195384340054511</v>
      </c>
      <c r="AF99" s="12">
        <v>0.4212656615299965</v>
      </c>
      <c r="AG99" s="12">
        <v>0.42299999999999938</v>
      </c>
    </row>
    <row r="100" spans="1:33" ht="15" hidden="1" thickBot="1" x14ac:dyDescent="0.4">
      <c r="A100" s="151"/>
      <c r="B100" s="56" t="s">
        <v>20</v>
      </c>
      <c r="C100" s="44"/>
      <c r="D100" s="85" t="e">
        <f t="shared" ref="D100:Q100" si="91">D92*T100</f>
        <v>#REF!</v>
      </c>
      <c r="E100" s="85" t="e">
        <f t="shared" si="91"/>
        <v>#REF!</v>
      </c>
      <c r="F100" s="85" t="e">
        <f t="shared" si="91"/>
        <v>#REF!</v>
      </c>
      <c r="G100" s="85" t="e">
        <f t="shared" si="91"/>
        <v>#REF!</v>
      </c>
      <c r="H100" s="85" t="e">
        <f t="shared" si="91"/>
        <v>#REF!</v>
      </c>
      <c r="I100" s="85" t="e">
        <f t="shared" si="91"/>
        <v>#REF!</v>
      </c>
      <c r="J100" s="85" t="e">
        <f t="shared" si="91"/>
        <v>#REF!</v>
      </c>
      <c r="K100" s="85" t="e">
        <f t="shared" si="91"/>
        <v>#REF!</v>
      </c>
      <c r="L100" s="85" t="e">
        <f t="shared" si="91"/>
        <v>#REF!</v>
      </c>
      <c r="M100" s="85" t="e">
        <f t="shared" si="91"/>
        <v>#REF!</v>
      </c>
      <c r="N100" s="85" t="e">
        <f t="shared" si="91"/>
        <v>#REF!</v>
      </c>
      <c r="O100" s="85" t="e">
        <f t="shared" si="91"/>
        <v>#REF!</v>
      </c>
      <c r="P100" s="85" t="e">
        <f t="shared" si="91"/>
        <v>#REF!</v>
      </c>
      <c r="Q100" s="85" t="e">
        <f t="shared" si="91"/>
        <v>#REF!</v>
      </c>
      <c r="R100" s="72" t="e">
        <f>RATE(12,,-E100,Q100)</f>
        <v>#REF!</v>
      </c>
      <c r="S100" s="56"/>
      <c r="T100" s="12">
        <f>1-T99</f>
        <v>0.59899999999999998</v>
      </c>
      <c r="U100" s="12">
        <f t="shared" ref="U100:AG100" si="92">1-U99</f>
        <v>0.59734909466880048</v>
      </c>
      <c r="V100" s="12">
        <f t="shared" si="92"/>
        <v>0.59569139260839266</v>
      </c>
      <c r="W100" s="12">
        <f t="shared" si="92"/>
        <v>0.59402686583683983</v>
      </c>
      <c r="X100" s="12">
        <f t="shared" si="92"/>
        <v>0.59235548625700507</v>
      </c>
      <c r="Y100" s="12">
        <f t="shared" si="92"/>
        <v>0.59067722565607605</v>
      </c>
      <c r="Z100" s="12">
        <f t="shared" si="92"/>
        <v>0.58899205570508917</v>
      </c>
      <c r="AA100" s="12">
        <f t="shared" si="92"/>
        <v>0.5872999479584512</v>
      </c>
      <c r="AB100" s="12">
        <f t="shared" si="92"/>
        <v>0.58560087385345938</v>
      </c>
      <c r="AC100" s="12">
        <f t="shared" si="92"/>
        <v>0.58389480470981914</v>
      </c>
      <c r="AD100" s="12">
        <f t="shared" si="92"/>
        <v>0.58218171172915989</v>
      </c>
      <c r="AE100" s="12">
        <f t="shared" si="92"/>
        <v>0.5804615659945489</v>
      </c>
      <c r="AF100" s="12">
        <f t="shared" si="92"/>
        <v>0.57873433847000344</v>
      </c>
      <c r="AG100" s="12">
        <f t="shared" si="92"/>
        <v>0.57700000000000062</v>
      </c>
    </row>
    <row r="101" spans="1:33" ht="15" hidden="1" thickBot="1" x14ac:dyDescent="0.4">
      <c r="A101" s="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21"/>
    </row>
    <row r="102" spans="1:33" ht="15" hidden="1" thickBot="1" x14ac:dyDescent="0.4">
      <c r="A102" s="150" t="s">
        <v>14</v>
      </c>
      <c r="B102" s="59" t="s">
        <v>21</v>
      </c>
      <c r="C102" s="50"/>
      <c r="D102" s="86" t="e">
        <f t="shared" ref="D102:Q102" si="93">D92*T102</f>
        <v>#REF!</v>
      </c>
      <c r="E102" s="86" t="e">
        <f t="shared" si="93"/>
        <v>#REF!</v>
      </c>
      <c r="F102" s="86" t="e">
        <f t="shared" si="93"/>
        <v>#REF!</v>
      </c>
      <c r="G102" s="86" t="e">
        <f t="shared" si="93"/>
        <v>#REF!</v>
      </c>
      <c r="H102" s="86" t="e">
        <f t="shared" si="93"/>
        <v>#REF!</v>
      </c>
      <c r="I102" s="86" t="e">
        <f t="shared" si="93"/>
        <v>#REF!</v>
      </c>
      <c r="J102" s="86" t="e">
        <f t="shared" si="93"/>
        <v>#REF!</v>
      </c>
      <c r="K102" s="86" t="e">
        <f t="shared" si="93"/>
        <v>#REF!</v>
      </c>
      <c r="L102" s="86" t="e">
        <f t="shared" si="93"/>
        <v>#REF!</v>
      </c>
      <c r="M102" s="86" t="e">
        <f t="shared" si="93"/>
        <v>#REF!</v>
      </c>
      <c r="N102" s="86" t="e">
        <f t="shared" si="93"/>
        <v>#REF!</v>
      </c>
      <c r="O102" s="86" t="e">
        <f t="shared" si="93"/>
        <v>#REF!</v>
      </c>
      <c r="P102" s="86" t="e">
        <f t="shared" si="93"/>
        <v>#REF!</v>
      </c>
      <c r="Q102" s="86" t="e">
        <f t="shared" si="93"/>
        <v>#REF!</v>
      </c>
      <c r="R102" s="73" t="e">
        <f t="shared" ref="R102:R107" si="94">RATE(12,,-E102,Q102)</f>
        <v>#REF!</v>
      </c>
      <c r="S102" s="59"/>
      <c r="T102" s="12">
        <v>0.25</v>
      </c>
      <c r="U102" s="12">
        <v>0.25155593539307364</v>
      </c>
      <c r="V102" s="12">
        <v>0.25312155452593693</v>
      </c>
      <c r="W102" s="12">
        <v>0.25469691766768382</v>
      </c>
      <c r="X102" s="12">
        <v>0.25628208546250747</v>
      </c>
      <c r="Y102" s="12">
        <v>0.2578771189320348</v>
      </c>
      <c r="Z102" s="12">
        <v>0.25948207947767565</v>
      </c>
      <c r="AA102" s="12">
        <v>0.2610970288829863</v>
      </c>
      <c r="AB102" s="12">
        <v>0.26272202931604799</v>
      </c>
      <c r="AC102" s="12">
        <v>0.26435714333185978</v>
      </c>
      <c r="AD102" s="12">
        <v>0.26600243387474731</v>
      </c>
      <c r="AE102" s="12">
        <v>0.26765796428078514</v>
      </c>
      <c r="AF102" s="12">
        <v>0.26932379828023517</v>
      </c>
      <c r="AG102" s="12">
        <v>0.27100000000000013</v>
      </c>
    </row>
    <row r="103" spans="1:33" ht="15" hidden="1" thickBot="1" x14ac:dyDescent="0.4">
      <c r="A103" s="155"/>
      <c r="B103" s="60" t="s">
        <v>22</v>
      </c>
      <c r="C103" s="41"/>
      <c r="D103" s="87" t="e">
        <f t="shared" ref="D103:Q103" si="95">D92*T103</f>
        <v>#REF!</v>
      </c>
      <c r="E103" s="87" t="e">
        <f t="shared" si="95"/>
        <v>#REF!</v>
      </c>
      <c r="F103" s="87" t="e">
        <f t="shared" si="95"/>
        <v>#REF!</v>
      </c>
      <c r="G103" s="87" t="e">
        <f t="shared" si="95"/>
        <v>#REF!</v>
      </c>
      <c r="H103" s="87" t="e">
        <f t="shared" si="95"/>
        <v>#REF!</v>
      </c>
      <c r="I103" s="87" t="e">
        <f t="shared" si="95"/>
        <v>#REF!</v>
      </c>
      <c r="J103" s="87" t="e">
        <f t="shared" si="95"/>
        <v>#REF!</v>
      </c>
      <c r="K103" s="87" t="e">
        <f t="shared" si="95"/>
        <v>#REF!</v>
      </c>
      <c r="L103" s="87" t="e">
        <f t="shared" si="95"/>
        <v>#REF!</v>
      </c>
      <c r="M103" s="87" t="e">
        <f t="shared" si="95"/>
        <v>#REF!</v>
      </c>
      <c r="N103" s="87" t="e">
        <f t="shared" si="95"/>
        <v>#REF!</v>
      </c>
      <c r="O103" s="87" t="e">
        <f t="shared" si="95"/>
        <v>#REF!</v>
      </c>
      <c r="P103" s="87" t="e">
        <f t="shared" si="95"/>
        <v>#REF!</v>
      </c>
      <c r="Q103" s="87" t="e">
        <f t="shared" si="95"/>
        <v>#REF!</v>
      </c>
      <c r="R103" s="74" t="e">
        <f t="shared" si="94"/>
        <v>#REF!</v>
      </c>
      <c r="S103" s="60"/>
      <c r="T103" s="12">
        <v>0.38</v>
      </c>
      <c r="U103" s="12">
        <v>0.38090988938047371</v>
      </c>
      <c r="V103" s="12">
        <v>0.38182195744169661</v>
      </c>
      <c r="W103" s="12">
        <v>0.38273620940040159</v>
      </c>
      <c r="X103" s="12">
        <v>0.38365265048581265</v>
      </c>
      <c r="Y103" s="12">
        <v>0.38457128593967477</v>
      </c>
      <c r="Z103" s="12">
        <v>0.38549212101628438</v>
      </c>
      <c r="AA103" s="12">
        <v>0.38641516098251855</v>
      </c>
      <c r="AB103" s="12">
        <v>0.38734041111786593</v>
      </c>
      <c r="AC103" s="12">
        <v>0.38826787671445667</v>
      </c>
      <c r="AD103" s="12">
        <v>0.38919756307709236</v>
      </c>
      <c r="AE103" s="12">
        <v>0.39012947552327681</v>
      </c>
      <c r="AF103" s="12">
        <v>0.3910636193832463</v>
      </c>
      <c r="AG103" s="12">
        <v>0.39200000000000002</v>
      </c>
    </row>
    <row r="104" spans="1:33" ht="15" hidden="1" thickBot="1" x14ac:dyDescent="0.4">
      <c r="A104" s="155"/>
      <c r="B104" s="61" t="s">
        <v>23</v>
      </c>
      <c r="C104" s="41"/>
      <c r="D104" s="88" t="e">
        <f t="shared" ref="D104:Q104" si="96">D103*T104</f>
        <v>#REF!</v>
      </c>
      <c r="E104" s="88" t="e">
        <f t="shared" si="96"/>
        <v>#REF!</v>
      </c>
      <c r="F104" s="88" t="e">
        <f t="shared" si="96"/>
        <v>#REF!</v>
      </c>
      <c r="G104" s="88" t="e">
        <f t="shared" si="96"/>
        <v>#REF!</v>
      </c>
      <c r="H104" s="88" t="e">
        <f t="shared" si="96"/>
        <v>#REF!</v>
      </c>
      <c r="I104" s="88" t="e">
        <f t="shared" si="96"/>
        <v>#REF!</v>
      </c>
      <c r="J104" s="88" t="e">
        <f t="shared" si="96"/>
        <v>#REF!</v>
      </c>
      <c r="K104" s="88" t="e">
        <f t="shared" si="96"/>
        <v>#REF!</v>
      </c>
      <c r="L104" s="88" t="e">
        <f t="shared" si="96"/>
        <v>#REF!</v>
      </c>
      <c r="M104" s="88" t="e">
        <f t="shared" si="96"/>
        <v>#REF!</v>
      </c>
      <c r="N104" s="88" t="e">
        <f t="shared" si="96"/>
        <v>#REF!</v>
      </c>
      <c r="O104" s="88" t="e">
        <f t="shared" si="96"/>
        <v>#REF!</v>
      </c>
      <c r="P104" s="88" t="e">
        <f t="shared" si="96"/>
        <v>#REF!</v>
      </c>
      <c r="Q104" s="88" t="e">
        <f t="shared" si="96"/>
        <v>#REF!</v>
      </c>
      <c r="R104" s="74" t="e">
        <f t="shared" si="94"/>
        <v>#REF!</v>
      </c>
      <c r="S104" s="61"/>
      <c r="T104" s="67">
        <v>0.34999999999999987</v>
      </c>
      <c r="U104" s="67">
        <v>0.34938588387166564</v>
      </c>
      <c r="V104" s="67">
        <v>0.34877284528224306</v>
      </c>
      <c r="W104" s="67">
        <v>0.34816088234106346</v>
      </c>
      <c r="X104" s="67">
        <v>0.34754999316077562</v>
      </c>
      <c r="Y104" s="67">
        <v>0.34694017585733994</v>
      </c>
      <c r="Z104" s="67">
        <v>0.34633142855002247</v>
      </c>
      <c r="AA104" s="67">
        <v>0.34572374936138933</v>
      </c>
      <c r="AB104" s="67">
        <v>0.34511713641730069</v>
      </c>
      <c r="AC104" s="67">
        <v>0.34451158784690528</v>
      </c>
      <c r="AD104" s="67">
        <v>0.34390710178263434</v>
      </c>
      <c r="AE104" s="67">
        <v>0.34330367636019604</v>
      </c>
      <c r="AF104" s="67">
        <v>0.34270130971856966</v>
      </c>
      <c r="AG104" s="67">
        <v>0.34209999999999979</v>
      </c>
    </row>
    <row r="105" spans="1:33" ht="15" hidden="1" thickBot="1" x14ac:dyDescent="0.4">
      <c r="A105" s="155"/>
      <c r="B105" s="61" t="s">
        <v>24</v>
      </c>
      <c r="C105" s="41"/>
      <c r="D105" s="88" t="e">
        <f t="shared" ref="D105:Q105" si="97">D103*T105</f>
        <v>#REF!</v>
      </c>
      <c r="E105" s="88" t="e">
        <f t="shared" si="97"/>
        <v>#REF!</v>
      </c>
      <c r="F105" s="88" t="e">
        <f t="shared" si="97"/>
        <v>#REF!</v>
      </c>
      <c r="G105" s="88" t="e">
        <f t="shared" si="97"/>
        <v>#REF!</v>
      </c>
      <c r="H105" s="88" t="e">
        <f t="shared" si="97"/>
        <v>#REF!</v>
      </c>
      <c r="I105" s="88" t="e">
        <f t="shared" si="97"/>
        <v>#REF!</v>
      </c>
      <c r="J105" s="88" t="e">
        <f t="shared" si="97"/>
        <v>#REF!</v>
      </c>
      <c r="K105" s="88" t="e">
        <f t="shared" si="97"/>
        <v>#REF!</v>
      </c>
      <c r="L105" s="88" t="e">
        <f t="shared" si="97"/>
        <v>#REF!</v>
      </c>
      <c r="M105" s="88" t="e">
        <f t="shared" si="97"/>
        <v>#REF!</v>
      </c>
      <c r="N105" s="88" t="e">
        <f t="shared" si="97"/>
        <v>#REF!</v>
      </c>
      <c r="O105" s="88" t="e">
        <f t="shared" si="97"/>
        <v>#REF!</v>
      </c>
      <c r="P105" s="88" t="e">
        <f t="shared" si="97"/>
        <v>#REF!</v>
      </c>
      <c r="Q105" s="88" t="e">
        <f t="shared" si="97"/>
        <v>#REF!</v>
      </c>
      <c r="R105" s="74" t="e">
        <f t="shared" si="94"/>
        <v>#REF!</v>
      </c>
      <c r="S105" s="61"/>
      <c r="T105" s="67">
        <v>0.28000000000000003</v>
      </c>
      <c r="U105" s="67">
        <v>0.28097918830490543</v>
      </c>
      <c r="V105" s="67">
        <v>0.28196180093029821</v>
      </c>
      <c r="W105" s="67">
        <v>0.28294784985137333</v>
      </c>
      <c r="X105" s="67">
        <v>0.28393734708520407</v>
      </c>
      <c r="Y105" s="67">
        <v>0.28493030469088876</v>
      </c>
      <c r="Z105" s="67">
        <v>0.28592673476969749</v>
      </c>
      <c r="AA105" s="67">
        <v>0.28692664946521995</v>
      </c>
      <c r="AB105" s="67">
        <v>0.28793006096351298</v>
      </c>
      <c r="AC105" s="67">
        <v>0.28893698149324931</v>
      </c>
      <c r="AD105" s="67">
        <v>0.28994742332586665</v>
      </c>
      <c r="AE105" s="67">
        <v>0.29096139877571725</v>
      </c>
      <c r="AF105" s="67">
        <v>0.29197892020021765</v>
      </c>
      <c r="AG105" s="67">
        <v>0.29299999999999965</v>
      </c>
    </row>
    <row r="106" spans="1:33" ht="15" hidden="1" thickBot="1" x14ac:dyDescent="0.4">
      <c r="A106" s="155"/>
      <c r="B106" s="61" t="s">
        <v>25</v>
      </c>
      <c r="C106" s="41"/>
      <c r="D106" s="88" t="e">
        <f t="shared" ref="D106:Q106" si="98">D103*T106</f>
        <v>#REF!</v>
      </c>
      <c r="E106" s="88" t="e">
        <f t="shared" si="98"/>
        <v>#REF!</v>
      </c>
      <c r="F106" s="88" t="e">
        <f t="shared" si="98"/>
        <v>#REF!</v>
      </c>
      <c r="G106" s="88" t="e">
        <f t="shared" si="98"/>
        <v>#REF!</v>
      </c>
      <c r="H106" s="88" t="e">
        <f t="shared" si="98"/>
        <v>#REF!</v>
      </c>
      <c r="I106" s="88" t="e">
        <f t="shared" si="98"/>
        <v>#REF!</v>
      </c>
      <c r="J106" s="88" t="e">
        <f t="shared" si="98"/>
        <v>#REF!</v>
      </c>
      <c r="K106" s="88" t="e">
        <f t="shared" si="98"/>
        <v>#REF!</v>
      </c>
      <c r="L106" s="88" t="e">
        <f t="shared" si="98"/>
        <v>#REF!</v>
      </c>
      <c r="M106" s="88" t="e">
        <f t="shared" si="98"/>
        <v>#REF!</v>
      </c>
      <c r="N106" s="88" t="e">
        <f t="shared" si="98"/>
        <v>#REF!</v>
      </c>
      <c r="O106" s="88" t="e">
        <f t="shared" si="98"/>
        <v>#REF!</v>
      </c>
      <c r="P106" s="88" t="e">
        <f t="shared" si="98"/>
        <v>#REF!</v>
      </c>
      <c r="Q106" s="88" t="e">
        <f t="shared" si="98"/>
        <v>#REF!</v>
      </c>
      <c r="R106" s="74" t="e">
        <f t="shared" si="94"/>
        <v>#REF!</v>
      </c>
      <c r="S106" s="61"/>
      <c r="T106" s="67">
        <f>1-SUM(T104:T105)</f>
        <v>0.37000000000000011</v>
      </c>
      <c r="U106" s="67">
        <f t="shared" ref="U106:AG106" si="99">1-SUM(U104:U105)</f>
        <v>0.36963492782342899</v>
      </c>
      <c r="V106" s="67">
        <f t="shared" si="99"/>
        <v>0.36926535378745873</v>
      </c>
      <c r="W106" s="67">
        <f t="shared" si="99"/>
        <v>0.36889126780756321</v>
      </c>
      <c r="X106" s="67">
        <f t="shared" si="99"/>
        <v>0.36851265975402026</v>
      </c>
      <c r="Y106" s="67">
        <f t="shared" si="99"/>
        <v>0.3681295194517713</v>
      </c>
      <c r="Z106" s="67">
        <f t="shared" si="99"/>
        <v>0.36774183668028004</v>
      </c>
      <c r="AA106" s="67">
        <f t="shared" si="99"/>
        <v>0.36734960117339077</v>
      </c>
      <c r="AB106" s="67">
        <f t="shared" si="99"/>
        <v>0.36695280261918639</v>
      </c>
      <c r="AC106" s="67">
        <f t="shared" si="99"/>
        <v>0.36655143065984541</v>
      </c>
      <c r="AD106" s="67">
        <f t="shared" si="99"/>
        <v>0.36614547489149896</v>
      </c>
      <c r="AE106" s="67">
        <f t="shared" si="99"/>
        <v>0.36573492486408665</v>
      </c>
      <c r="AF106" s="67">
        <f t="shared" si="99"/>
        <v>0.36531977008121275</v>
      </c>
      <c r="AG106" s="67">
        <f t="shared" si="99"/>
        <v>0.36490000000000056</v>
      </c>
    </row>
    <row r="107" spans="1:33" ht="15" hidden="1" thickBot="1" x14ac:dyDescent="0.4">
      <c r="A107" s="151"/>
      <c r="B107" s="62" t="s">
        <v>26</v>
      </c>
      <c r="C107" s="51"/>
      <c r="D107" s="89" t="e">
        <f t="shared" ref="D107:Q107" si="100">D92*T107</f>
        <v>#REF!</v>
      </c>
      <c r="E107" s="89" t="e">
        <f t="shared" si="100"/>
        <v>#REF!</v>
      </c>
      <c r="F107" s="89" t="e">
        <f t="shared" si="100"/>
        <v>#REF!</v>
      </c>
      <c r="G107" s="89" t="e">
        <f t="shared" si="100"/>
        <v>#REF!</v>
      </c>
      <c r="H107" s="89" t="e">
        <f t="shared" si="100"/>
        <v>#REF!</v>
      </c>
      <c r="I107" s="89" t="e">
        <f t="shared" si="100"/>
        <v>#REF!</v>
      </c>
      <c r="J107" s="89" t="e">
        <f t="shared" si="100"/>
        <v>#REF!</v>
      </c>
      <c r="K107" s="89" t="e">
        <f t="shared" si="100"/>
        <v>#REF!</v>
      </c>
      <c r="L107" s="89" t="e">
        <f t="shared" si="100"/>
        <v>#REF!</v>
      </c>
      <c r="M107" s="89" t="e">
        <f t="shared" si="100"/>
        <v>#REF!</v>
      </c>
      <c r="N107" s="89" t="e">
        <f t="shared" si="100"/>
        <v>#REF!</v>
      </c>
      <c r="O107" s="89" t="e">
        <f t="shared" si="100"/>
        <v>#REF!</v>
      </c>
      <c r="P107" s="89" t="e">
        <f t="shared" si="100"/>
        <v>#REF!</v>
      </c>
      <c r="Q107" s="89" t="e">
        <f t="shared" si="100"/>
        <v>#REF!</v>
      </c>
      <c r="R107" s="75" t="e">
        <f t="shared" si="94"/>
        <v>#REF!</v>
      </c>
      <c r="S107" s="62"/>
      <c r="T107" s="12">
        <f>1-SUM(T102+T103)</f>
        <v>0.37</v>
      </c>
      <c r="U107" s="12">
        <f t="shared" ref="U107:AG107" si="101">1-SUM(U102+U103)</f>
        <v>0.36753417522645271</v>
      </c>
      <c r="V107" s="12">
        <f t="shared" si="101"/>
        <v>0.36505648803236646</v>
      </c>
      <c r="W107" s="12">
        <f t="shared" si="101"/>
        <v>0.36256687293191459</v>
      </c>
      <c r="X107" s="12">
        <f t="shared" si="101"/>
        <v>0.36006526405167993</v>
      </c>
      <c r="Y107" s="12">
        <f t="shared" si="101"/>
        <v>0.35755159512829038</v>
      </c>
      <c r="Z107" s="12">
        <f t="shared" si="101"/>
        <v>0.35502579950603996</v>
      </c>
      <c r="AA107" s="12">
        <f t="shared" si="101"/>
        <v>0.35248781013449515</v>
      </c>
      <c r="AB107" s="12">
        <f t="shared" si="101"/>
        <v>0.34993755956608608</v>
      </c>
      <c r="AC107" s="12">
        <f t="shared" si="101"/>
        <v>0.3473749799536836</v>
      </c>
      <c r="AD107" s="12">
        <f t="shared" si="101"/>
        <v>0.34480000304816039</v>
      </c>
      <c r="AE107" s="12">
        <f t="shared" si="101"/>
        <v>0.34221256019593804</v>
      </c>
      <c r="AF107" s="12">
        <f t="shared" si="101"/>
        <v>0.33961258233651859</v>
      </c>
      <c r="AG107" s="12">
        <f t="shared" si="101"/>
        <v>0.33699999999999986</v>
      </c>
    </row>
    <row r="108" spans="1:33" ht="15" hidden="1" thickBot="1" x14ac:dyDescent="0.4">
      <c r="A108" s="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21"/>
    </row>
    <row r="109" spans="1:33" ht="15" hidden="1" thickBot="1" x14ac:dyDescent="0.4">
      <c r="A109" s="152" t="s">
        <v>27</v>
      </c>
      <c r="B109" s="54" t="s">
        <v>28</v>
      </c>
      <c r="C109" s="49"/>
      <c r="D109" s="84" t="e">
        <f t="shared" ref="D109:Q109" si="102">D92*T109</f>
        <v>#REF!</v>
      </c>
      <c r="E109" s="84" t="e">
        <f t="shared" si="102"/>
        <v>#REF!</v>
      </c>
      <c r="F109" s="84" t="e">
        <f t="shared" si="102"/>
        <v>#REF!</v>
      </c>
      <c r="G109" s="84" t="e">
        <f t="shared" si="102"/>
        <v>#REF!</v>
      </c>
      <c r="H109" s="84" t="e">
        <f t="shared" si="102"/>
        <v>#REF!</v>
      </c>
      <c r="I109" s="84" t="e">
        <f t="shared" si="102"/>
        <v>#REF!</v>
      </c>
      <c r="J109" s="84" t="e">
        <f t="shared" si="102"/>
        <v>#REF!</v>
      </c>
      <c r="K109" s="84" t="e">
        <f t="shared" si="102"/>
        <v>#REF!</v>
      </c>
      <c r="L109" s="84" t="e">
        <f t="shared" si="102"/>
        <v>#REF!</v>
      </c>
      <c r="M109" s="84" t="e">
        <f t="shared" si="102"/>
        <v>#REF!</v>
      </c>
      <c r="N109" s="84" t="e">
        <f t="shared" si="102"/>
        <v>#REF!</v>
      </c>
      <c r="O109" s="84" t="e">
        <f t="shared" si="102"/>
        <v>#REF!</v>
      </c>
      <c r="P109" s="84" t="e">
        <f t="shared" si="102"/>
        <v>#REF!</v>
      </c>
      <c r="Q109" s="84" t="e">
        <f t="shared" si="102"/>
        <v>#REF!</v>
      </c>
      <c r="R109" s="71" t="e">
        <f>RATE(12,,-E109,Q109)</f>
        <v>#REF!</v>
      </c>
      <c r="S109" s="54"/>
      <c r="T109" s="12">
        <v>0.40099999999999997</v>
      </c>
      <c r="U109" s="12">
        <v>0.40265090533119946</v>
      </c>
      <c r="V109" s="12">
        <v>0.40430860739160734</v>
      </c>
      <c r="W109" s="12">
        <v>0.40597313416316017</v>
      </c>
      <c r="X109" s="12">
        <v>0.40764451374299493</v>
      </c>
      <c r="Y109" s="12">
        <v>0.40932277434392395</v>
      </c>
      <c r="Z109" s="12">
        <v>0.41100794429491083</v>
      </c>
      <c r="AA109" s="12">
        <v>0.4127000520415488</v>
      </c>
      <c r="AB109" s="12">
        <v>0.41439912614654062</v>
      </c>
      <c r="AC109" s="12">
        <v>0.41610519529018092</v>
      </c>
      <c r="AD109" s="12">
        <v>0.41781828827084017</v>
      </c>
      <c r="AE109" s="12">
        <v>0.4195384340054511</v>
      </c>
      <c r="AF109" s="12">
        <v>0.4212656615299965</v>
      </c>
      <c r="AG109" s="12">
        <v>0.42299999999999938</v>
      </c>
    </row>
    <row r="110" spans="1:33" ht="15" hidden="1" thickBot="1" x14ac:dyDescent="0.4">
      <c r="A110" s="154"/>
      <c r="B110" s="55" t="s">
        <v>29</v>
      </c>
      <c r="C110" s="40"/>
      <c r="D110" s="90" t="e">
        <f t="shared" ref="D110:Q110" si="103">D92*T110</f>
        <v>#REF!</v>
      </c>
      <c r="E110" s="90" t="e">
        <f t="shared" si="103"/>
        <v>#REF!</v>
      </c>
      <c r="F110" s="90" t="e">
        <f t="shared" si="103"/>
        <v>#REF!</v>
      </c>
      <c r="G110" s="90" t="e">
        <f t="shared" si="103"/>
        <v>#REF!</v>
      </c>
      <c r="H110" s="90" t="e">
        <f t="shared" si="103"/>
        <v>#REF!</v>
      </c>
      <c r="I110" s="90" t="e">
        <f t="shared" si="103"/>
        <v>#REF!</v>
      </c>
      <c r="J110" s="90" t="e">
        <f t="shared" si="103"/>
        <v>#REF!</v>
      </c>
      <c r="K110" s="90" t="e">
        <f t="shared" si="103"/>
        <v>#REF!</v>
      </c>
      <c r="L110" s="90" t="e">
        <f t="shared" si="103"/>
        <v>#REF!</v>
      </c>
      <c r="M110" s="90" t="e">
        <f t="shared" si="103"/>
        <v>#REF!</v>
      </c>
      <c r="N110" s="90" t="e">
        <f t="shared" si="103"/>
        <v>#REF!</v>
      </c>
      <c r="O110" s="90" t="e">
        <f t="shared" si="103"/>
        <v>#REF!</v>
      </c>
      <c r="P110" s="90" t="e">
        <f t="shared" si="103"/>
        <v>#REF!</v>
      </c>
      <c r="Q110" s="90" t="e">
        <f t="shared" si="103"/>
        <v>#REF!</v>
      </c>
      <c r="R110" s="76" t="e">
        <f>RATE(12,,-E110,Q110)</f>
        <v>#REF!</v>
      </c>
      <c r="S110" s="55"/>
      <c r="T110" s="12">
        <v>0.43099999999999999</v>
      </c>
      <c r="U110" s="12">
        <v>0.43183634674261745</v>
      </c>
      <c r="V110" s="12">
        <v>0.43267431639909548</v>
      </c>
      <c r="W110" s="12">
        <v>0.43351391211866536</v>
      </c>
      <c r="X110" s="12">
        <v>0.43435513705666956</v>
      </c>
      <c r="Y110" s="12">
        <v>0.43519799437457324</v>
      </c>
      <c r="Z110" s="12">
        <v>0.43604248723997657</v>
      </c>
      <c r="AA110" s="12">
        <v>0.43688861882662616</v>
      </c>
      <c r="AB110" s="12">
        <v>0.43773639231442729</v>
      </c>
      <c r="AC110" s="12">
        <v>0.43858581088945586</v>
      </c>
      <c r="AD110" s="12">
        <v>0.43943687774397006</v>
      </c>
      <c r="AE110" s="12">
        <v>0.44028959607642287</v>
      </c>
      <c r="AF110" s="12">
        <v>0.44114396909147369</v>
      </c>
      <c r="AG110" s="12">
        <v>0.44200000000000028</v>
      </c>
    </row>
    <row r="111" spans="1:33" ht="15" hidden="1" thickBot="1" x14ac:dyDescent="0.4">
      <c r="A111" s="153"/>
      <c r="B111" s="56" t="s">
        <v>30</v>
      </c>
      <c r="C111" s="44"/>
      <c r="D111" s="85" t="e">
        <f t="shared" ref="D111:Q111" si="104">D92*T111</f>
        <v>#REF!</v>
      </c>
      <c r="E111" s="85" t="e">
        <f t="shared" si="104"/>
        <v>#REF!</v>
      </c>
      <c r="F111" s="85" t="e">
        <f t="shared" si="104"/>
        <v>#REF!</v>
      </c>
      <c r="G111" s="85" t="e">
        <f t="shared" si="104"/>
        <v>#REF!</v>
      </c>
      <c r="H111" s="85" t="e">
        <f t="shared" si="104"/>
        <v>#REF!</v>
      </c>
      <c r="I111" s="85" t="e">
        <f t="shared" si="104"/>
        <v>#REF!</v>
      </c>
      <c r="J111" s="85" t="e">
        <f t="shared" si="104"/>
        <v>#REF!</v>
      </c>
      <c r="K111" s="85" t="e">
        <f t="shared" si="104"/>
        <v>#REF!</v>
      </c>
      <c r="L111" s="85" t="e">
        <f t="shared" si="104"/>
        <v>#REF!</v>
      </c>
      <c r="M111" s="85" t="e">
        <f t="shared" si="104"/>
        <v>#REF!</v>
      </c>
      <c r="N111" s="85" t="e">
        <f t="shared" si="104"/>
        <v>#REF!</v>
      </c>
      <c r="O111" s="85" t="e">
        <f t="shared" si="104"/>
        <v>#REF!</v>
      </c>
      <c r="P111" s="85" t="e">
        <f t="shared" si="104"/>
        <v>#REF!</v>
      </c>
      <c r="Q111" s="85" t="e">
        <f t="shared" si="104"/>
        <v>#REF!</v>
      </c>
      <c r="R111" s="72" t="e">
        <f>RATE(12,,-E111,Q111)</f>
        <v>#REF!</v>
      </c>
      <c r="S111" s="56"/>
      <c r="T111" s="12">
        <f>1-SUM(T109:T110)</f>
        <v>0.16800000000000004</v>
      </c>
      <c r="U111" s="12">
        <f t="shared" ref="U111:AG111" si="105">1-SUM(U109:U110)</f>
        <v>0.16551274792618309</v>
      </c>
      <c r="V111" s="12">
        <f t="shared" si="105"/>
        <v>0.16301707620929717</v>
      </c>
      <c r="W111" s="12">
        <f t="shared" si="105"/>
        <v>0.16051295371817442</v>
      </c>
      <c r="X111" s="12">
        <f t="shared" si="105"/>
        <v>0.15800034920033545</v>
      </c>
      <c r="Y111" s="12">
        <f t="shared" si="105"/>
        <v>0.15547923128150276</v>
      </c>
      <c r="Z111" s="12">
        <f t="shared" si="105"/>
        <v>0.15294956846511254</v>
      </c>
      <c r="AA111" s="12">
        <f t="shared" si="105"/>
        <v>0.15041132913182498</v>
      </c>
      <c r="AB111" s="12">
        <f t="shared" si="105"/>
        <v>0.14786448153903209</v>
      </c>
      <c r="AC111" s="12">
        <f t="shared" si="105"/>
        <v>0.14530899382036322</v>
      </c>
      <c r="AD111" s="12">
        <f t="shared" si="105"/>
        <v>0.14274483398518978</v>
      </c>
      <c r="AE111" s="12">
        <f t="shared" si="105"/>
        <v>0.14017196991812608</v>
      </c>
      <c r="AF111" s="12">
        <f t="shared" si="105"/>
        <v>0.13759036937852986</v>
      </c>
      <c r="AG111" s="12">
        <f t="shared" si="105"/>
        <v>0.13500000000000034</v>
      </c>
    </row>
    <row r="112" spans="1:33" ht="15.5" x14ac:dyDescent="0.35">
      <c r="A112" s="42"/>
      <c r="B112" s="43"/>
      <c r="C112" s="93"/>
      <c r="D112" s="91">
        <v>2023</v>
      </c>
      <c r="E112" s="65">
        <v>2024</v>
      </c>
      <c r="F112" s="65">
        <v>2025</v>
      </c>
      <c r="G112" s="65">
        <v>2026</v>
      </c>
      <c r="H112" s="65">
        <v>2027</v>
      </c>
      <c r="I112" s="65">
        <v>2028</v>
      </c>
      <c r="J112" s="65">
        <v>2029</v>
      </c>
      <c r="K112" s="65">
        <v>2030</v>
      </c>
      <c r="L112" s="65">
        <v>2031</v>
      </c>
      <c r="M112" s="65">
        <v>2032</v>
      </c>
      <c r="N112" s="65">
        <v>2033</v>
      </c>
      <c r="O112" s="65">
        <v>2034</v>
      </c>
      <c r="P112" s="65">
        <v>2035</v>
      </c>
      <c r="Q112" s="65">
        <v>2036</v>
      </c>
      <c r="R112" s="66" t="s">
        <v>84</v>
      </c>
    </row>
    <row r="113" spans="1:33" ht="16" thickBot="1" x14ac:dyDescent="0.4">
      <c r="A113" s="1"/>
      <c r="C113" s="21"/>
      <c r="D113" s="92">
        <f>'Market Analysis '!C49</f>
        <v>154.19039999999998</v>
      </c>
      <c r="E113" s="92">
        <f>'Market Analysis '!D49</f>
        <v>169.76363039999998</v>
      </c>
      <c r="F113" s="92">
        <f>'Market Analysis '!E49</f>
        <v>187.20542042121855</v>
      </c>
      <c r="G113" s="92">
        <f>'Market Analysis '!F49</f>
        <v>206.77087060119788</v>
      </c>
      <c r="H113" s="92">
        <f>'Market Analysis '!G49</f>
        <v>228.753812292623</v>
      </c>
      <c r="I113" s="92">
        <f>'Market Analysis '!H49</f>
        <v>253.49324963537629</v>
      </c>
      <c r="J113" s="92">
        <f>'Market Analysis '!I49</f>
        <v>281.38096276468343</v>
      </c>
      <c r="K113" s="92">
        <f>'Market Analysis '!J49</f>
        <v>312.87049727201941</v>
      </c>
      <c r="L113" s="92">
        <f>'Market Analysis '!K49</f>
        <v>348.48781150530112</v>
      </c>
      <c r="M113" s="92">
        <f>'Market Analysis '!L49</f>
        <v>388.84391010527179</v>
      </c>
      <c r="N113" s="92">
        <f>'Market Analysis '!M49</f>
        <v>434.64986160811293</v>
      </c>
      <c r="O113" s="92">
        <f>'Market Analysis '!N49</f>
        <v>486.73468296654465</v>
      </c>
      <c r="P113" s="92">
        <f>'Market Analysis '!O49</f>
        <v>546.06667815394849</v>
      </c>
      <c r="Q113" s="92">
        <f>'Market Analysis '!P49</f>
        <v>613.77894624503801</v>
      </c>
      <c r="R113" s="68">
        <f>RATE(12,,-E113,Q113)</f>
        <v>0.11304813024717045</v>
      </c>
      <c r="T113" s="65">
        <v>2023</v>
      </c>
      <c r="U113" s="65">
        <v>2024</v>
      </c>
      <c r="V113" s="65">
        <v>2025</v>
      </c>
      <c r="W113" s="65">
        <v>2026</v>
      </c>
      <c r="X113" s="65">
        <v>2027</v>
      </c>
      <c r="Y113" s="65">
        <v>2028</v>
      </c>
      <c r="Z113" s="65">
        <v>2029</v>
      </c>
      <c r="AA113" s="65">
        <v>2030</v>
      </c>
      <c r="AB113" s="65">
        <v>2031</v>
      </c>
      <c r="AC113" s="65">
        <v>2032</v>
      </c>
      <c r="AD113" s="65">
        <v>2033</v>
      </c>
      <c r="AE113" s="65">
        <v>2034</v>
      </c>
      <c r="AF113" s="65">
        <v>2035</v>
      </c>
      <c r="AG113" s="65">
        <v>2036</v>
      </c>
    </row>
    <row r="114" spans="1:33" s="121" customFormat="1" x14ac:dyDescent="0.35">
      <c r="A114" s="147" t="s">
        <v>59</v>
      </c>
      <c r="B114" s="118" t="s">
        <v>60</v>
      </c>
      <c r="C114" s="119"/>
      <c r="D114" s="120">
        <f>D113*T114</f>
        <v>53.966639999999984</v>
      </c>
      <c r="E114" s="120">
        <f t="shared" ref="E114" si="106">E113*U114</f>
        <v>60.03072900553309</v>
      </c>
      <c r="F114" s="120">
        <f>F113*V114</f>
        <v>66.881853722847637</v>
      </c>
      <c r="G114" s="120">
        <f t="shared" ref="G114:Q114" si="107">G113*W114</f>
        <v>74.634591080481073</v>
      </c>
      <c r="H114" s="120">
        <f t="shared" si="107"/>
        <v>83.421896896883098</v>
      </c>
      <c r="I114" s="120">
        <f t="shared" si="107"/>
        <v>93.398314352412527</v>
      </c>
      <c r="J114" s="120">
        <f t="shared" si="107"/>
        <v>104.74378649213051</v>
      </c>
      <c r="K114" s="120">
        <f t="shared" si="107"/>
        <v>117.66819452297766</v>
      </c>
      <c r="L114" s="120">
        <f t="shared" si="107"/>
        <v>132.41676980257449</v>
      </c>
      <c r="M114" s="120">
        <f t="shared" si="107"/>
        <v>149.27655949447018</v>
      </c>
      <c r="N114" s="120">
        <f t="shared" si="107"/>
        <v>168.5841653132141</v>
      </c>
      <c r="O114" s="120">
        <f t="shared" si="107"/>
        <v>190.73502338960787</v>
      </c>
      <c r="P114" s="120">
        <f t="shared" si="107"/>
        <v>216.19455329531897</v>
      </c>
      <c r="Q114" s="120">
        <f t="shared" si="107"/>
        <v>245.5115784980153</v>
      </c>
      <c r="R114" s="68">
        <f>RATE(9,,-H114,Q114)</f>
        <v>0.12742585676887594</v>
      </c>
      <c r="S114" s="118" t="s">
        <v>60</v>
      </c>
      <c r="T114" s="116">
        <v>0.34999999999999992</v>
      </c>
      <c r="U114" s="116">
        <v>0.35361360300841621</v>
      </c>
      <c r="V114" s="116">
        <v>0.35726451495026795</v>
      </c>
      <c r="W114" s="116">
        <v>0.36095312102462412</v>
      </c>
      <c r="X114" s="116">
        <v>0.36467981040757214</v>
      </c>
      <c r="Y114" s="116">
        <v>0.36844497629327921</v>
      </c>
      <c r="Z114" s="116">
        <v>0.37224901593547705</v>
      </c>
      <c r="AA114" s="116">
        <v>0.37609233068937542</v>
      </c>
      <c r="AB114" s="116">
        <v>0.37997532605400802</v>
      </c>
      <c r="AC114" s="116">
        <v>0.38389841171501571</v>
      </c>
      <c r="AD114" s="116">
        <v>0.38786200158787171</v>
      </c>
      <c r="AE114" s="116">
        <v>0.39186651386155258</v>
      </c>
      <c r="AF114" s="116">
        <v>0.39591237104266019</v>
      </c>
      <c r="AG114" s="116">
        <v>0.40000000000000013</v>
      </c>
    </row>
    <row r="115" spans="1:33" s="117" customFormat="1" x14ac:dyDescent="0.35">
      <c r="A115" s="148"/>
      <c r="B115" s="113" t="s">
        <v>61</v>
      </c>
      <c r="C115" s="114"/>
      <c r="D115" s="115">
        <f>D113*T115</f>
        <v>46.25712</v>
      </c>
      <c r="E115" s="115">
        <f t="shared" ref="E115:Q115" si="108">E113*U115</f>
        <v>50.955126581878908</v>
      </c>
      <c r="F115" s="115">
        <f t="shared" si="108"/>
        <v>56.219065991327483</v>
      </c>
      <c r="G115" s="115">
        <f t="shared" si="108"/>
        <v>62.126450148259828</v>
      </c>
      <c r="H115" s="115">
        <f t="shared" si="108"/>
        <v>68.766591623328651</v>
      </c>
      <c r="I115" s="115">
        <f t="shared" si="108"/>
        <v>76.242571138306559</v>
      </c>
      <c r="J115" s="115">
        <f t="shared" si="108"/>
        <v>84.673560496527088</v>
      </c>
      <c r="K115" s="115">
        <f t="shared" si="108"/>
        <v>94.197569951589983</v>
      </c>
      <c r="L115" s="115">
        <f t="shared" si="108"/>
        <v>104.97470333039179</v>
      </c>
      <c r="M115" s="115">
        <f t="shared" si="108"/>
        <v>117.19102168590963</v>
      </c>
      <c r="N115" s="115">
        <f t="shared" si="108"/>
        <v>131.06313760032037</v>
      </c>
      <c r="O115" s="115">
        <f t="shared" si="108"/>
        <v>146.84368840455588</v>
      </c>
      <c r="P115" s="115">
        <f t="shared" si="108"/>
        <v>164.82786866769629</v>
      </c>
      <c r="Q115" s="115">
        <f t="shared" si="108"/>
        <v>185.36124176600168</v>
      </c>
      <c r="R115" s="68">
        <f>RATE(9,,-H115,Q115)</f>
        <v>0.11647511578706039</v>
      </c>
      <c r="S115" s="113" t="s">
        <v>61</v>
      </c>
      <c r="T115" s="116">
        <v>0.30000000000000004</v>
      </c>
      <c r="U115" s="116">
        <v>0.30015337479422161</v>
      </c>
      <c r="V115" s="116">
        <v>0.30030682800120145</v>
      </c>
      <c r="W115" s="116">
        <v>0.30046035966102813</v>
      </c>
      <c r="X115" s="116">
        <v>0.30061396981381056</v>
      </c>
      <c r="Y115" s="116">
        <v>0.30076765849967829</v>
      </c>
      <c r="Z115" s="116">
        <v>0.30092142575878128</v>
      </c>
      <c r="AA115" s="116">
        <v>0.30107527163128989</v>
      </c>
      <c r="AB115" s="116">
        <v>0.30122919615739541</v>
      </c>
      <c r="AC115" s="116">
        <v>0.30138319937730923</v>
      </c>
      <c r="AD115" s="116">
        <v>0.30153728133126367</v>
      </c>
      <c r="AE115" s="116">
        <v>0.30169144205951126</v>
      </c>
      <c r="AF115" s="116">
        <v>0.3018456816023255</v>
      </c>
      <c r="AG115" s="116">
        <v>0.30200000000000032</v>
      </c>
    </row>
    <row r="116" spans="1:33" s="117" customFormat="1" x14ac:dyDescent="0.35">
      <c r="A116" s="148"/>
      <c r="B116" s="113" t="s">
        <v>62</v>
      </c>
      <c r="C116" s="114"/>
      <c r="D116" s="115">
        <f>D113*T116</f>
        <v>23.128559999999997</v>
      </c>
      <c r="E116" s="115">
        <f t="shared" ref="E116:Q116" si="109">E113*U116</f>
        <v>25.503363725256758</v>
      </c>
      <c r="F116" s="115">
        <f t="shared" si="109"/>
        <v>28.166493338842805</v>
      </c>
      <c r="G116" s="115">
        <f t="shared" si="109"/>
        <v>31.157691318514086</v>
      </c>
      <c r="H116" s="115">
        <f t="shared" si="109"/>
        <v>34.52278362437972</v>
      </c>
      <c r="I116" s="115">
        <f t="shared" si="109"/>
        <v>38.314698838580838</v>
      </c>
      <c r="J116" s="115">
        <f t="shared" si="109"/>
        <v>42.594672202111106</v>
      </c>
      <c r="K116" s="115">
        <f t="shared" si="109"/>
        <v>47.43367058716855</v>
      </c>
      <c r="L116" s="115">
        <f t="shared" si="109"/>
        <v>52.914081942230226</v>
      </c>
      <c r="M116" s="115">
        <f t="shared" si="109"/>
        <v>59.131721903047406</v>
      </c>
      <c r="N116" s="115">
        <f t="shared" si="109"/>
        <v>66.19822146328346</v>
      </c>
      <c r="O116" s="115">
        <f t="shared" si="109"/>
        <v>74.243873326257187</v>
      </c>
      <c r="P116" s="115">
        <f t="shared" si="109"/>
        <v>83.421031416971815</v>
      </c>
      <c r="Q116" s="115">
        <f t="shared" si="109"/>
        <v>93.908178775490683</v>
      </c>
      <c r="R116" s="68">
        <f>RATE(9,,-H116,Q116)</f>
        <v>0.11760573972322071</v>
      </c>
      <c r="S116" s="113" t="s">
        <v>62</v>
      </c>
      <c r="T116" s="116">
        <v>0.15</v>
      </c>
      <c r="U116" s="116">
        <v>0.15022866597023929</v>
      </c>
      <c r="V116" s="116">
        <v>0.15045768052798492</v>
      </c>
      <c r="W116" s="116">
        <v>0.15068704420463749</v>
      </c>
      <c r="X116" s="116">
        <v>0.15091675753240782</v>
      </c>
      <c r="Y116" s="116">
        <v>0.15114682104431795</v>
      </c>
      <c r="Z116" s="116">
        <v>0.15137723527420252</v>
      </c>
      <c r="AA116" s="116">
        <v>0.15160800075670999</v>
      </c>
      <c r="AB116" s="116">
        <v>0.15183911802730382</v>
      </c>
      <c r="AC116" s="116">
        <v>0.1520705876222638</v>
      </c>
      <c r="AD116" s="116">
        <v>0.15230241007868719</v>
      </c>
      <c r="AE116" s="116">
        <v>0.15253458593449007</v>
      </c>
      <c r="AF116" s="116">
        <v>0.15276711572840845</v>
      </c>
      <c r="AG116" s="116">
        <v>0.15299999999999978</v>
      </c>
    </row>
    <row r="117" spans="1:33" s="117" customFormat="1" x14ac:dyDescent="0.35">
      <c r="A117" s="148"/>
      <c r="B117" s="113" t="s">
        <v>63</v>
      </c>
      <c r="C117" s="114"/>
      <c r="D117" s="115">
        <f>D113*T117</f>
        <v>18.502848</v>
      </c>
      <c r="E117" s="115">
        <f t="shared" ref="E117:Q117" si="110">E113*U117</f>
        <v>20.397554346497596</v>
      </c>
      <c r="F117" s="115">
        <f t="shared" si="110"/>
        <v>22.521850069785618</v>
      </c>
      <c r="G117" s="115">
        <f t="shared" si="110"/>
        <v>24.907331377903741</v>
      </c>
      <c r="H117" s="115">
        <f t="shared" si="110"/>
        <v>27.590424459122676</v>
      </c>
      <c r="I117" s="115">
        <f t="shared" si="110"/>
        <v>30.613193667774372</v>
      </c>
      <c r="J117" s="115">
        <f t="shared" si="110"/>
        <v>34.024296179067392</v>
      </c>
      <c r="K117" s="115">
        <f t="shared" si="110"/>
        <v>37.880111633621844</v>
      </c>
      <c r="L117" s="115">
        <f t="shared" si="110"/>
        <v>42.246081221723244</v>
      </c>
      <c r="M117" s="115">
        <f t="shared" si="110"/>
        <v>47.198297895822378</v>
      </c>
      <c r="N117" s="115">
        <f t="shared" si="110"/>
        <v>52.825398253356582</v>
      </c>
      <c r="O117" s="115">
        <f t="shared" si="110"/>
        <v>59.23081748154101</v>
      </c>
      <c r="P117" s="115">
        <f t="shared" si="110"/>
        <v>66.535482077079251</v>
      </c>
      <c r="Q117" s="115">
        <f t="shared" si="110"/>
        <v>74.881031441894535</v>
      </c>
      <c r="R117" s="68">
        <f>RATE(9,,-H117,Q117)</f>
        <v>0.11732436844135004</v>
      </c>
      <c r="S117" s="113" t="s">
        <v>63</v>
      </c>
      <c r="T117" s="116">
        <v>0.12000000000000002</v>
      </c>
      <c r="U117" s="116">
        <v>0.12015267521339246</v>
      </c>
      <c r="V117" s="116">
        <v>0.12030554467445809</v>
      </c>
      <c r="W117" s="116">
        <v>0.12045860863033696</v>
      </c>
      <c r="X117" s="116">
        <v>0.12061186732848356</v>
      </c>
      <c r="Y117" s="116">
        <v>0.12076532101666719</v>
      </c>
      <c r="Z117" s="116">
        <v>0.1209189699429724</v>
      </c>
      <c r="AA117" s="116">
        <v>0.12107281435579939</v>
      </c>
      <c r="AB117" s="116">
        <v>0.12122685450386435</v>
      </c>
      <c r="AC117" s="116">
        <v>0.12138109063619994</v>
      </c>
      <c r="AD117" s="116">
        <v>0.12153552300215566</v>
      </c>
      <c r="AE117" s="116">
        <v>0.12169015185139827</v>
      </c>
      <c r="AF117" s="116">
        <v>0.12184497743391219</v>
      </c>
      <c r="AG117" s="116">
        <v>0.12199999999999984</v>
      </c>
    </row>
    <row r="118" spans="1:33" s="117" customFormat="1" x14ac:dyDescent="0.35">
      <c r="A118" s="148"/>
      <c r="B118" s="113" t="s">
        <v>64</v>
      </c>
      <c r="C118" s="114"/>
      <c r="D118" s="115">
        <f>D113*T118</f>
        <v>12.33523200000001</v>
      </c>
      <c r="E118" s="115">
        <f t="shared" ref="E118:G118" si="111">E113*U118</f>
        <v>12.876856740833626</v>
      </c>
      <c r="F118" s="115">
        <f t="shared" si="111"/>
        <v>13.416157298415023</v>
      </c>
      <c r="G118" s="115">
        <f t="shared" si="111"/>
        <v>13.944806676039162</v>
      </c>
      <c r="H118" s="115">
        <f>H113*X118</f>
        <v>14.452115688908817</v>
      </c>
      <c r="I118" s="115">
        <f t="shared" ref="I118:Q118" si="112">I113*Y118</f>
        <v>14.924471638302018</v>
      </c>
      <c r="J118" s="115">
        <f t="shared" si="112"/>
        <v>15.344647394847341</v>
      </c>
      <c r="K118" s="115">
        <f t="shared" si="112"/>
        <v>15.690950576661365</v>
      </c>
      <c r="L118" s="115">
        <f t="shared" si="112"/>
        <v>15.93617520838141</v>
      </c>
      <c r="M118" s="115">
        <f t="shared" si="112"/>
        <v>16.046309126022173</v>
      </c>
      <c r="N118" s="115">
        <f t="shared" si="112"/>
        <v>15.978938977938451</v>
      </c>
      <c r="O118" s="115">
        <f t="shared" si="112"/>
        <v>15.681280364582662</v>
      </c>
      <c r="P118" s="115">
        <f t="shared" si="112"/>
        <v>15.087742696882197</v>
      </c>
      <c r="Q118" s="115">
        <f t="shared" si="112"/>
        <v>14.116915763635818</v>
      </c>
      <c r="R118" s="68">
        <f>RATE(9,,-H118,Q118)</f>
        <v>-2.6040524943392288E-3</v>
      </c>
      <c r="S118" s="113" t="s">
        <v>64</v>
      </c>
      <c r="T118" s="116">
        <f>1-SUM(T114:T117)</f>
        <v>8.0000000000000071E-2</v>
      </c>
      <c r="U118" s="116">
        <f t="shared" ref="U118:AG118" si="113">1-SUM(U114:U117)</f>
        <v>7.585168101373041E-2</v>
      </c>
      <c r="V118" s="116">
        <f t="shared" si="113"/>
        <v>7.1665431846087646E-2</v>
      </c>
      <c r="W118" s="116">
        <f t="shared" si="113"/>
        <v>6.7440866479373307E-2</v>
      </c>
      <c r="X118" s="116">
        <f t="shared" si="113"/>
        <v>6.3177594917725788E-2</v>
      </c>
      <c r="Y118" s="116">
        <f t="shared" si="113"/>
        <v>5.887522314605742E-2</v>
      </c>
      <c r="Z118" s="116">
        <f t="shared" si="113"/>
        <v>5.4533353088566772E-2</v>
      </c>
      <c r="AA118" s="116">
        <f t="shared" si="113"/>
        <v>5.0151582566825281E-2</v>
      </c>
      <c r="AB118" s="116">
        <f t="shared" si="113"/>
        <v>4.5729505257428471E-2</v>
      </c>
      <c r="AC118" s="116">
        <f t="shared" si="113"/>
        <v>4.126671064921128E-2</v>
      </c>
      <c r="AD118" s="116">
        <f t="shared" si="113"/>
        <v>3.6762784000021864E-2</v>
      </c>
      <c r="AE118" s="116">
        <f t="shared" si="113"/>
        <v>3.2217306293047754E-2</v>
      </c>
      <c r="AF118" s="116">
        <f t="shared" si="113"/>
        <v>2.7629854192693704E-2</v>
      </c>
      <c r="AG118" s="116">
        <f t="shared" si="113"/>
        <v>2.2999999999999909E-2</v>
      </c>
    </row>
    <row r="119" spans="1:33" x14ac:dyDescent="0.35">
      <c r="A119" s="1"/>
      <c r="D119" s="81" t="b">
        <f>D113=SUM(D114:D118)</f>
        <v>1</v>
      </c>
      <c r="E119" s="81" t="b">
        <f t="shared" ref="E119:Q119" si="114">E113=SUM(E114:E118)</f>
        <v>1</v>
      </c>
      <c r="F119" s="81" t="b">
        <f t="shared" si="114"/>
        <v>1</v>
      </c>
      <c r="G119" s="81" t="b">
        <f t="shared" si="114"/>
        <v>1</v>
      </c>
      <c r="H119" s="81" t="b">
        <f t="shared" si="114"/>
        <v>1</v>
      </c>
      <c r="I119" s="81" t="b">
        <f t="shared" si="114"/>
        <v>1</v>
      </c>
      <c r="J119" s="81" t="b">
        <f t="shared" si="114"/>
        <v>1</v>
      </c>
      <c r="K119" s="81" t="b">
        <f t="shared" si="114"/>
        <v>1</v>
      </c>
      <c r="L119" s="81" t="b">
        <f t="shared" si="114"/>
        <v>1</v>
      </c>
      <c r="M119" s="81" t="b">
        <f t="shared" si="114"/>
        <v>1</v>
      </c>
      <c r="N119" s="81" t="b">
        <f t="shared" si="114"/>
        <v>1</v>
      </c>
      <c r="O119" s="81" t="b">
        <f t="shared" si="114"/>
        <v>1</v>
      </c>
      <c r="P119" s="81" t="b">
        <f t="shared" si="114"/>
        <v>1</v>
      </c>
      <c r="Q119" s="81" t="b">
        <f t="shared" si="114"/>
        <v>1</v>
      </c>
      <c r="R119" s="21"/>
    </row>
    <row r="120" spans="1:33" s="117" customFormat="1" x14ac:dyDescent="0.35">
      <c r="A120" s="149" t="s">
        <v>65</v>
      </c>
      <c r="B120" s="122" t="s">
        <v>66</v>
      </c>
      <c r="C120" s="123"/>
      <c r="D120" s="124">
        <f>D113*T120</f>
        <v>107.93328</v>
      </c>
      <c r="E120" s="124">
        <f t="shared" ref="E120:Q120" si="115">E113*U120</f>
        <v>118.89962071050996</v>
      </c>
      <c r="F120" s="124">
        <f t="shared" si="115"/>
        <v>131.18736519017131</v>
      </c>
      <c r="G120" s="124">
        <f t="shared" si="115"/>
        <v>144.97753849762509</v>
      </c>
      <c r="H120" s="124">
        <f t="shared" si="115"/>
        <v>160.47873088219441</v>
      </c>
      <c r="I120" s="124">
        <f t="shared" si="115"/>
        <v>177.93169446487531</v>
      </c>
      <c r="J120" s="124">
        <f t="shared" si="115"/>
        <v>197.61477043997851</v>
      </c>
      <c r="K120" s="124">
        <f t="shared" si="115"/>
        <v>219.85030806894534</v>
      </c>
      <c r="L120" s="124">
        <f t="shared" si="115"/>
        <v>245.01227017947897</v>
      </c>
      <c r="M120" s="124">
        <f t="shared" si="115"/>
        <v>273.53526069163485</v>
      </c>
      <c r="N120" s="124">
        <f t="shared" si="115"/>
        <v>305.92525958448635</v>
      </c>
      <c r="O120" s="124">
        <f t="shared" si="115"/>
        <v>342.77241183063364</v>
      </c>
      <c r="P120" s="124">
        <f t="shared" si="115"/>
        <v>384.7662918296619</v>
      </c>
      <c r="Q120" s="124">
        <f t="shared" si="115"/>
        <v>432.71415710275261</v>
      </c>
      <c r="R120" s="68">
        <f>RATE(9,,-H120,Q120)</f>
        <v>0.11651573260663531</v>
      </c>
      <c r="S120" s="122" t="s">
        <v>66</v>
      </c>
      <c r="T120" s="116">
        <v>0.70000000000000007</v>
      </c>
      <c r="U120" s="116">
        <v>0.70038335319736411</v>
      </c>
      <c r="V120" s="116">
        <v>0.70076691633711929</v>
      </c>
      <c r="W120" s="116">
        <v>0.70115068953424042</v>
      </c>
      <c r="X120" s="116">
        <v>0.70153467290376448</v>
      </c>
      <c r="Y120" s="116">
        <v>0.70191886656079228</v>
      </c>
      <c r="Z120" s="116">
        <v>0.70230327062048659</v>
      </c>
      <c r="AA120" s="116">
        <v>0.70268788519807479</v>
      </c>
      <c r="AB120" s="116">
        <v>0.70307271040884567</v>
      </c>
      <c r="AC120" s="116">
        <v>0.70345774636815217</v>
      </c>
      <c r="AD120" s="116">
        <v>0.70384299319141008</v>
      </c>
      <c r="AE120" s="116">
        <v>0.70422845099409903</v>
      </c>
      <c r="AF120" s="116">
        <v>0.70461411989176093</v>
      </c>
      <c r="AG120" s="116">
        <v>0.70500000000000129</v>
      </c>
    </row>
    <row r="121" spans="1:33" s="117" customFormat="1" x14ac:dyDescent="0.35">
      <c r="A121" s="149"/>
      <c r="B121" s="122" t="s">
        <v>67</v>
      </c>
      <c r="C121" s="123"/>
      <c r="D121" s="124">
        <f>D113*T121</f>
        <v>30.838080000000001</v>
      </c>
      <c r="E121" s="124">
        <f t="shared" ref="E121:Q121" si="116">E113*U121</f>
        <v>33.978723786481041</v>
      </c>
      <c r="F121" s="124">
        <f t="shared" si="116"/>
        <v>37.498443541800732</v>
      </c>
      <c r="G121" s="124">
        <f t="shared" si="116"/>
        <v>41.449241930638436</v>
      </c>
      <c r="H121" s="124">
        <f t="shared" si="116"/>
        <v>45.891049479520895</v>
      </c>
      <c r="I121" s="124">
        <f t="shared" si="116"/>
        <v>50.893047960175387</v>
      </c>
      <c r="J121" s="124">
        <f t="shared" si="116"/>
        <v>56.535233099795626</v>
      </c>
      <c r="K121" s="124">
        <f t="shared" si="116"/>
        <v>62.910263129926555</v>
      </c>
      <c r="L121" s="124">
        <f t="shared" si="116"/>
        <v>70.125649337870726</v>
      </c>
      <c r="M121" s="124">
        <f t="shared" si="116"/>
        <v>78.306356564519803</v>
      </c>
      <c r="N121" s="124">
        <f t="shared" si="116"/>
        <v>87.597895996469163</v>
      </c>
      <c r="O121" s="124">
        <f t="shared" si="116"/>
        <v>98.170010246248893</v>
      </c>
      <c r="P121" s="124">
        <f t="shared" si="116"/>
        <v>110.2210723739701</v>
      </c>
      <c r="Q121" s="124">
        <f t="shared" si="116"/>
        <v>123.98334714149787</v>
      </c>
      <c r="R121" s="68">
        <f>RATE(9,,-H121,Q121)</f>
        <v>0.11675906190269031</v>
      </c>
      <c r="S121" s="122" t="s">
        <v>67</v>
      </c>
      <c r="T121" s="116">
        <v>0.20000000000000004</v>
      </c>
      <c r="U121" s="116">
        <v>0.2001531406133327</v>
      </c>
      <c r="V121" s="116">
        <v>0.2003063984869026</v>
      </c>
      <c r="W121" s="116">
        <v>0.20045977371049628</v>
      </c>
      <c r="X121" s="116">
        <v>0.20061326637396906</v>
      </c>
      <c r="Y121" s="116">
        <v>0.2007668765672449</v>
      </c>
      <c r="Z121" s="116">
        <v>0.20092060438031684</v>
      </c>
      <c r="AA121" s="116">
        <v>0.20107444990324672</v>
      </c>
      <c r="AB121" s="116">
        <v>0.20122841322616528</v>
      </c>
      <c r="AC121" s="116">
        <v>0.20138249443927231</v>
      </c>
      <c r="AD121" s="116">
        <v>0.20153669363283677</v>
      </c>
      <c r="AE121" s="116">
        <v>0.2016910108971966</v>
      </c>
      <c r="AF121" s="116">
        <v>0.20184544632275897</v>
      </c>
      <c r="AG121" s="116">
        <v>0.20200000000000032</v>
      </c>
    </row>
    <row r="122" spans="1:33" s="117" customFormat="1" x14ac:dyDescent="0.35">
      <c r="A122" s="149"/>
      <c r="B122" s="122" t="s">
        <v>68</v>
      </c>
      <c r="C122" s="123"/>
      <c r="D122" s="124">
        <f>D113*T122</f>
        <v>15.419039999999978</v>
      </c>
      <c r="E122" s="124">
        <f t="shared" ref="E122:L122" si="117">E113*U122</f>
        <v>16.885285903008981</v>
      </c>
      <c r="F122" s="124">
        <f t="shared" si="117"/>
        <v>18.519611689246517</v>
      </c>
      <c r="G122" s="124">
        <f t="shared" si="117"/>
        <v>20.344090172934351</v>
      </c>
      <c r="H122" s="124">
        <f t="shared" si="117"/>
        <v>22.384031930907696</v>
      </c>
      <c r="I122" s="124">
        <f t="shared" si="117"/>
        <v>24.668507210325604</v>
      </c>
      <c r="J122" s="124">
        <f t="shared" si="117"/>
        <v>27.230959224909267</v>
      </c>
      <c r="K122" s="124">
        <f t="shared" si="117"/>
        <v>30.109926073147498</v>
      </c>
      <c r="L122" s="124">
        <f t="shared" si="117"/>
        <v>33.34989198795143</v>
      </c>
      <c r="M122" s="124">
        <f>M113*AC122</f>
        <v>37.002292849117126</v>
      </c>
      <c r="N122" s="124">
        <f t="shared" ref="N122:Q122" si="118">N113*AD122</f>
        <v>41.126706027157411</v>
      </c>
      <c r="O122" s="124">
        <f t="shared" si="118"/>
        <v>45.792260889662174</v>
      </c>
      <c r="P122" s="124">
        <f t="shared" si="118"/>
        <v>51.079313950316525</v>
      </c>
      <c r="Q122" s="124">
        <f t="shared" si="118"/>
        <v>57.081442000787561</v>
      </c>
      <c r="R122" s="68">
        <f>RATE(9,,-H122,Q122)</f>
        <v>0.10961663185823366</v>
      </c>
      <c r="S122" s="122" t="s">
        <v>68</v>
      </c>
      <c r="T122" s="116">
        <f>1-SUM(T120:T121)</f>
        <v>9.9999999999999867E-2</v>
      </c>
      <c r="U122" s="116">
        <f t="shared" ref="U122:AG122" si="119">1-SUM(U120:U121)</f>
        <v>9.9463506189303219E-2</v>
      </c>
      <c r="V122" s="116">
        <f t="shared" si="119"/>
        <v>9.8926685175978135E-2</v>
      </c>
      <c r="W122" s="116">
        <f t="shared" si="119"/>
        <v>9.8389536755263296E-2</v>
      </c>
      <c r="X122" s="116">
        <f t="shared" si="119"/>
        <v>9.7852060722266487E-2</v>
      </c>
      <c r="Y122" s="116">
        <f t="shared" si="119"/>
        <v>9.7314256871962823E-2</v>
      </c>
      <c r="Z122" s="116">
        <f t="shared" si="119"/>
        <v>9.6776124999196522E-2</v>
      </c>
      <c r="AA122" s="116">
        <f t="shared" si="119"/>
        <v>9.6237664898678466E-2</v>
      </c>
      <c r="AB122" s="116">
        <f t="shared" si="119"/>
        <v>9.5698876364989083E-2</v>
      </c>
      <c r="AC122" s="116">
        <f t="shared" si="119"/>
        <v>9.5159759192575466E-2</v>
      </c>
      <c r="AD122" s="116">
        <f t="shared" si="119"/>
        <v>9.4620313175753146E-2</v>
      </c>
      <c r="AE122" s="116">
        <f t="shared" si="119"/>
        <v>9.4080538108704426E-2</v>
      </c>
      <c r="AF122" s="116">
        <f t="shared" si="119"/>
        <v>9.3540433785480159E-2</v>
      </c>
      <c r="AG122" s="116">
        <f t="shared" si="119"/>
        <v>9.2999999999998417E-2</v>
      </c>
    </row>
    <row r="123" spans="1:33" x14ac:dyDescent="0.35">
      <c r="A123" s="1"/>
      <c r="D123" s="81" t="b">
        <f>D113=SUM(D120:D122)</f>
        <v>1</v>
      </c>
      <c r="E123" s="81" t="b">
        <f t="shared" ref="E123:Q123" si="120">E113=SUM(E120:E122)</f>
        <v>1</v>
      </c>
      <c r="F123" s="81" t="b">
        <f t="shared" si="120"/>
        <v>1</v>
      </c>
      <c r="G123" s="81" t="b">
        <f t="shared" si="120"/>
        <v>1</v>
      </c>
      <c r="H123" s="81" t="b">
        <f t="shared" si="120"/>
        <v>1</v>
      </c>
      <c r="I123" s="81" t="b">
        <f t="shared" si="120"/>
        <v>1</v>
      </c>
      <c r="J123" s="81" t="b">
        <f t="shared" si="120"/>
        <v>1</v>
      </c>
      <c r="K123" s="81" t="b">
        <f t="shared" si="120"/>
        <v>1</v>
      </c>
      <c r="L123" s="81" t="b">
        <f t="shared" si="120"/>
        <v>1</v>
      </c>
      <c r="M123" s="81" t="b">
        <f t="shared" si="120"/>
        <v>1</v>
      </c>
      <c r="N123" s="81" t="b">
        <f t="shared" si="120"/>
        <v>1</v>
      </c>
      <c r="O123" s="81" t="b">
        <f t="shared" si="120"/>
        <v>1</v>
      </c>
      <c r="P123" s="81" t="b">
        <f t="shared" si="120"/>
        <v>1</v>
      </c>
      <c r="Q123" s="81" t="b">
        <f t="shared" si="120"/>
        <v>1</v>
      </c>
      <c r="R123" s="21"/>
    </row>
    <row r="124" spans="1:33" s="117" customFormat="1" x14ac:dyDescent="0.35">
      <c r="A124" s="149" t="s">
        <v>69</v>
      </c>
      <c r="B124" s="125" t="s">
        <v>70</v>
      </c>
      <c r="C124" s="126"/>
      <c r="D124" s="127">
        <f>D113*T124</f>
        <v>64.759967999999986</v>
      </c>
      <c r="E124" s="127">
        <f t="shared" ref="E124:Q124" si="121">E113*U124</f>
        <v>71.313769180399461</v>
      </c>
      <c r="F124" s="127">
        <f t="shared" si="121"/>
        <v>78.655048441430012</v>
      </c>
      <c r="G124" s="127">
        <f t="shared" si="121"/>
        <v>86.891438372216925</v>
      </c>
      <c r="H124" s="127">
        <f t="shared" si="121"/>
        <v>96.146929018823229</v>
      </c>
      <c r="I124" s="127">
        <f t="shared" si="121"/>
        <v>106.5645909153249</v>
      </c>
      <c r="J124" s="127">
        <f t="shared" si="121"/>
        <v>118.30978935051569</v>
      </c>
      <c r="K124" s="127">
        <f t="shared" si="121"/>
        <v>131.57398512552666</v>
      </c>
      <c r="L124" s="127">
        <f t="shared" si="121"/>
        <v>146.57923678458684</v>
      </c>
      <c r="M124" s="127">
        <f t="shared" si="121"/>
        <v>163.58354336856388</v>
      </c>
      <c r="N124" s="127">
        <f t="shared" si="121"/>
        <v>182.88719615909199</v>
      </c>
      <c r="O124" s="127">
        <f t="shared" si="121"/>
        <v>204.84034390813784</v>
      </c>
      <c r="P124" s="127">
        <f t="shared" si="121"/>
        <v>229.85202025364481</v>
      </c>
      <c r="Q124" s="127">
        <f t="shared" si="121"/>
        <v>258.40093636916089</v>
      </c>
      <c r="R124" s="68">
        <f>RATE(9,,-H124,Q124)</f>
        <v>0.11610876420505452</v>
      </c>
      <c r="S124" s="125" t="s">
        <v>70</v>
      </c>
      <c r="T124" s="116">
        <v>0.42</v>
      </c>
      <c r="U124" s="116">
        <v>0.42007683867486062</v>
      </c>
      <c r="V124" s="116">
        <v>0.4201536914072973</v>
      </c>
      <c r="W124" s="116">
        <v>0.42023055819988187</v>
      </c>
      <c r="X124" s="116">
        <v>0.42030743905518658</v>
      </c>
      <c r="Y124" s="116">
        <v>0.42038433397578434</v>
      </c>
      <c r="Z124" s="116">
        <v>0.42046124296424836</v>
      </c>
      <c r="AA124" s="116">
        <v>0.42053816602315214</v>
      </c>
      <c r="AB124" s="116">
        <v>0.42061510315507006</v>
      </c>
      <c r="AC124" s="116">
        <v>0.42069205436257667</v>
      </c>
      <c r="AD124" s="116">
        <v>0.4207690196482472</v>
      </c>
      <c r="AE124" s="116">
        <v>0.42084599901465702</v>
      </c>
      <c r="AF124" s="116">
        <v>0.42092299246438242</v>
      </c>
      <c r="AG124" s="137">
        <v>0.42099999999999982</v>
      </c>
    </row>
    <row r="125" spans="1:33" s="117" customFormat="1" x14ac:dyDescent="0.35">
      <c r="A125" s="149"/>
      <c r="B125" s="125" t="s">
        <v>71</v>
      </c>
      <c r="C125" s="126"/>
      <c r="D125" s="127">
        <f>D113*T125</f>
        <v>35.463792000000005</v>
      </c>
      <c r="E125" s="127">
        <f t="shared" ref="E125:Q125" si="122">E113*U125</f>
        <v>39.071648234865386</v>
      </c>
      <c r="F125" s="127">
        <f t="shared" si="122"/>
        <v>43.114637579222105</v>
      </c>
      <c r="G125" s="127">
        <f t="shared" si="122"/>
        <v>47.652415401837196</v>
      </c>
      <c r="H125" s="127">
        <f t="shared" si="122"/>
        <v>52.753726743340351</v>
      </c>
      <c r="I125" s="127">
        <f t="shared" si="122"/>
        <v>58.497922927369402</v>
      </c>
      <c r="J125" s="127">
        <f t="shared" si="122"/>
        <v>64.976752327702982</v>
      </c>
      <c r="K125" s="127">
        <f t="shared" si="122"/>
        <v>72.296478551563183</v>
      </c>
      <c r="L125" s="127">
        <f t="shared" si="122"/>
        <v>80.580390348043906</v>
      </c>
      <c r="M125" s="127">
        <f t="shared" si="122"/>
        <v>89.97178103427909</v>
      </c>
      <c r="N125" s="127">
        <f t="shared" si="122"/>
        <v>100.63749171808409</v>
      </c>
      <c r="O125" s="127">
        <f t="shared" si="122"/>
        <v>112.7721327913985</v>
      </c>
      <c r="P125" s="127">
        <f t="shared" si="122"/>
        <v>126.60312295636194</v>
      </c>
      <c r="Q125" s="127">
        <f t="shared" si="122"/>
        <v>142.39671552884892</v>
      </c>
      <c r="R125" s="68">
        <f>RATE(9,,-H125,Q125)</f>
        <v>0.11664805571836366</v>
      </c>
      <c r="S125" s="125" t="s">
        <v>71</v>
      </c>
      <c r="T125" s="116">
        <v>0.23000000000000007</v>
      </c>
      <c r="U125" s="116">
        <v>0.230153232131076</v>
      </c>
      <c r="V125" s="116">
        <v>0.23030656634948232</v>
      </c>
      <c r="W125" s="116">
        <v>0.23046000272323239</v>
      </c>
      <c r="X125" s="116">
        <v>0.23061354132038475</v>
      </c>
      <c r="Y125" s="116">
        <v>0.23076718220904338</v>
      </c>
      <c r="Z125" s="116">
        <v>0.23092092545735762</v>
      </c>
      <c r="AA125" s="116">
        <v>0.23107477113352223</v>
      </c>
      <c r="AB125" s="116">
        <v>0.23122871930577729</v>
      </c>
      <c r="AC125" s="116">
        <v>0.23138277004240856</v>
      </c>
      <c r="AD125" s="116">
        <v>0.23153692341174703</v>
      </c>
      <c r="AE125" s="116">
        <v>0.23169117948216938</v>
      </c>
      <c r="AF125" s="116">
        <v>0.23184553832209787</v>
      </c>
      <c r="AG125" s="137">
        <v>0.23200000000000018</v>
      </c>
    </row>
    <row r="126" spans="1:33" s="117" customFormat="1" x14ac:dyDescent="0.35">
      <c r="A126" s="149"/>
      <c r="B126" s="125" t="s">
        <v>72</v>
      </c>
      <c r="C126" s="126"/>
      <c r="D126" s="127">
        <f>D113*T126</f>
        <v>30.838079999999994</v>
      </c>
      <c r="E126" s="127">
        <f t="shared" ref="E126:Q126" si="123">E113*U126</f>
        <v>33.965754781481074</v>
      </c>
      <c r="F126" s="127">
        <f t="shared" si="123"/>
        <v>37.469824180110372</v>
      </c>
      <c r="G126" s="127">
        <f t="shared" si="123"/>
        <v>41.401798982420807</v>
      </c>
      <c r="H126" s="127">
        <f t="shared" si="123"/>
        <v>45.821026767812647</v>
      </c>
      <c r="I126" s="127">
        <f t="shared" si="123"/>
        <v>50.795997737295366</v>
      </c>
      <c r="J126" s="127">
        <f t="shared" si="123"/>
        <v>56.405886313951058</v>
      </c>
      <c r="K126" s="127">
        <f t="shared" si="123"/>
        <v>62.742374268763683</v>
      </c>
      <c r="L126" s="127">
        <f t="shared" si="123"/>
        <v>69.911810607549882</v>
      </c>
      <c r="M126" s="127">
        <f t="shared" si="123"/>
        <v>78.037775024511944</v>
      </c>
      <c r="N126" s="127">
        <f t="shared" si="123"/>
        <v>87.264125871638967</v>
      </c>
      <c r="O126" s="127">
        <f t="shared" si="123"/>
        <v>97.758630916385982</v>
      </c>
      <c r="P126" s="127">
        <f t="shared" si="123"/>
        <v>109.71730041847692</v>
      </c>
      <c r="Q126" s="127">
        <f t="shared" si="123"/>
        <v>123.36956819525248</v>
      </c>
      <c r="R126" s="68">
        <f>RATE(9,,-H126,Q126)</f>
        <v>0.11633281711643638</v>
      </c>
      <c r="S126" s="125" t="s">
        <v>72</v>
      </c>
      <c r="T126" s="116">
        <v>0.19999999999999998</v>
      </c>
      <c r="U126" s="116">
        <v>0.20007674612901705</v>
      </c>
      <c r="V126" s="116">
        <v>0.20015352170787573</v>
      </c>
      <c r="W126" s="116">
        <v>0.2002303267478768</v>
      </c>
      <c r="X126" s="116">
        <v>0.20030716126032544</v>
      </c>
      <c r="Y126" s="116">
        <v>0.20038402525653101</v>
      </c>
      <c r="Z126" s="116">
        <v>0.20046091874780753</v>
      </c>
      <c r="AA126" s="116">
        <v>0.20053784174547304</v>
      </c>
      <c r="AB126" s="116">
        <v>0.20061479426085005</v>
      </c>
      <c r="AC126" s="116">
        <v>0.20069177630526541</v>
      </c>
      <c r="AD126" s="116">
        <v>0.20076878789005037</v>
      </c>
      <c r="AE126" s="116">
        <v>0.20084582902654041</v>
      </c>
      <c r="AF126" s="116">
        <v>0.20092289972607549</v>
      </c>
      <c r="AG126" s="137">
        <v>0.20099999999999973</v>
      </c>
    </row>
    <row r="127" spans="1:33" s="117" customFormat="1" x14ac:dyDescent="0.35">
      <c r="A127" s="149"/>
      <c r="B127" s="125" t="s">
        <v>73</v>
      </c>
      <c r="C127" s="126"/>
      <c r="D127" s="127">
        <f>D113*T127</f>
        <v>15.419039999999997</v>
      </c>
      <c r="E127" s="127">
        <f t="shared" ref="E127:Q127" si="124">E113*U127</f>
        <v>17.002242483504507</v>
      </c>
      <c r="F127" s="127">
        <f t="shared" si="124"/>
        <v>18.777662225895202</v>
      </c>
      <c r="G127" s="127">
        <f t="shared" si="124"/>
        <v>20.771794212342723</v>
      </c>
      <c r="H127" s="127">
        <f t="shared" si="124"/>
        <v>23.015189082919811</v>
      </c>
      <c r="I127" s="127">
        <f t="shared" si="124"/>
        <v>25.543132559053891</v>
      </c>
      <c r="J127" s="127">
        <f t="shared" si="124"/>
        <v>28.396448134740734</v>
      </c>
      <c r="K127" s="127">
        <f t="shared" si="124"/>
        <v>31.622447058112368</v>
      </c>
      <c r="L127" s="127">
        <f t="shared" si="124"/>
        <v>35.276054628153489</v>
      </c>
      <c r="M127" s="127">
        <f t="shared" si="124"/>
        <v>39.421147935364935</v>
      </c>
      <c r="N127" s="127">
        <f t="shared" si="124"/>
        <v>44.132147642188968</v>
      </c>
      <c r="O127" s="127">
        <f t="shared" si="124"/>
        <v>49.49591555083812</v>
      </c>
      <c r="P127" s="127">
        <f t="shared" si="124"/>
        <v>55.614020944647883</v>
      </c>
      <c r="Q127" s="127">
        <f t="shared" si="124"/>
        <v>62.605452516993786</v>
      </c>
      <c r="R127" s="68">
        <f>RATE(9,,-H127,Q127)</f>
        <v>0.11760573972322068</v>
      </c>
      <c r="S127" s="125" t="s">
        <v>73</v>
      </c>
      <c r="T127" s="116">
        <v>9.9999999999999992E-2</v>
      </c>
      <c r="U127" s="116">
        <v>0.10015244398015953</v>
      </c>
      <c r="V127" s="116">
        <v>0.10030512035198993</v>
      </c>
      <c r="W127" s="116">
        <v>0.10045802946975833</v>
      </c>
      <c r="X127" s="116">
        <v>0.10061117168827188</v>
      </c>
      <c r="Y127" s="116">
        <v>0.10076454736287864</v>
      </c>
      <c r="Z127" s="116">
        <v>0.10091815684946834</v>
      </c>
      <c r="AA127" s="116">
        <v>0.10107200050447333</v>
      </c>
      <c r="AB127" s="116">
        <v>0.10122607868486923</v>
      </c>
      <c r="AC127" s="116">
        <v>0.10138039174817587</v>
      </c>
      <c r="AD127" s="116">
        <v>0.10153494005245813</v>
      </c>
      <c r="AE127" s="116">
        <v>0.10168972395632671</v>
      </c>
      <c r="AF127" s="116">
        <v>0.10184474381893897</v>
      </c>
      <c r="AG127" s="137">
        <v>0.10199999999999985</v>
      </c>
    </row>
    <row r="128" spans="1:33" s="117" customFormat="1" x14ac:dyDescent="0.35">
      <c r="A128" s="149"/>
      <c r="B128" s="125" t="s">
        <v>74</v>
      </c>
      <c r="C128" s="126"/>
      <c r="D128" s="127">
        <f>D113*T128</f>
        <v>7.7095200000000057</v>
      </c>
      <c r="E128" s="127">
        <f t="shared" ref="E128:Q128" si="125">E113*U128</f>
        <v>8.4102157197495497</v>
      </c>
      <c r="F128" s="127">
        <f t="shared" si="125"/>
        <v>9.188247994560875</v>
      </c>
      <c r="G128" s="127">
        <f t="shared" si="125"/>
        <v>10.053423632380225</v>
      </c>
      <c r="H128" s="127">
        <f t="shared" si="125"/>
        <v>11.01694067972694</v>
      </c>
      <c r="I128" s="127">
        <f t="shared" si="125"/>
        <v>12.091605496332747</v>
      </c>
      <c r="J128" s="127">
        <f t="shared" si="125"/>
        <v>13.292086637772943</v>
      </c>
      <c r="K128" s="127">
        <f t="shared" si="125"/>
        <v>14.635212268053527</v>
      </c>
      <c r="L128" s="127">
        <f t="shared" si="125"/>
        <v>16.140319136967012</v>
      </c>
      <c r="M128" s="127">
        <f t="shared" si="125"/>
        <v>17.82966274255196</v>
      </c>
      <c r="N128" s="127">
        <f t="shared" si="125"/>
        <v>19.728900217108912</v>
      </c>
      <c r="O128" s="127">
        <f t="shared" si="125"/>
        <v>21.867659799784199</v>
      </c>
      <c r="P128" s="127">
        <f t="shared" si="125"/>
        <v>24.280213580816937</v>
      </c>
      <c r="Q128" s="127">
        <f t="shared" si="125"/>
        <v>27.006273634781902</v>
      </c>
      <c r="R128" s="68">
        <f>RATE(9,,-H128,Q128)</f>
        <v>0.10475778982671227</v>
      </c>
      <c r="S128" s="125" t="s">
        <v>74</v>
      </c>
      <c r="T128" s="116">
        <f>1-SUM(T124:T127)</f>
        <v>5.0000000000000044E-2</v>
      </c>
      <c r="U128" s="116">
        <f t="shared" ref="U128:AG128" si="126">1-SUM(U124:U127)</f>
        <v>4.9540739084886765E-2</v>
      </c>
      <c r="V128" s="116">
        <f t="shared" si="126"/>
        <v>4.9081100183354764E-2</v>
      </c>
      <c r="W128" s="116">
        <f t="shared" si="126"/>
        <v>4.8621082859250597E-2</v>
      </c>
      <c r="X128" s="116">
        <f t="shared" si="126"/>
        <v>4.8160686675831288E-2</v>
      </c>
      <c r="Y128" s="116">
        <f t="shared" si="126"/>
        <v>4.7699911195762668E-2</v>
      </c>
      <c r="Z128" s="116">
        <f t="shared" si="126"/>
        <v>4.7238755981118041E-2</v>
      </c>
      <c r="AA128" s="116">
        <f t="shared" si="126"/>
        <v>4.6777220593379298E-2</v>
      </c>
      <c r="AB128" s="116">
        <f t="shared" si="126"/>
        <v>4.631530459343336E-2</v>
      </c>
      <c r="AC128" s="116">
        <f t="shared" si="126"/>
        <v>4.5853007541573509E-2</v>
      </c>
      <c r="AD128" s="116">
        <f t="shared" si="126"/>
        <v>4.5390328997497287E-2</v>
      </c>
      <c r="AE128" s="116">
        <f t="shared" si="126"/>
        <v>4.4927268520306485E-2</v>
      </c>
      <c r="AF128" s="116">
        <f t="shared" si="126"/>
        <v>4.4463825668505264E-2</v>
      </c>
      <c r="AG128" s="116">
        <f t="shared" si="126"/>
        <v>4.4000000000000372E-2</v>
      </c>
    </row>
    <row r="129" spans="1:33" x14ac:dyDescent="0.35">
      <c r="A129" s="2"/>
      <c r="D129" s="81" t="b">
        <f>D113=SUM(D124:D128)</f>
        <v>1</v>
      </c>
      <c r="E129" s="81" t="b">
        <f t="shared" ref="E129:Q129" si="127">E113=SUM(E124:E128)</f>
        <v>1</v>
      </c>
      <c r="F129" s="81" t="b">
        <f t="shared" si="127"/>
        <v>1</v>
      </c>
      <c r="G129" s="81" t="b">
        <f t="shared" si="127"/>
        <v>1</v>
      </c>
      <c r="H129" s="81" t="b">
        <f t="shared" si="127"/>
        <v>1</v>
      </c>
      <c r="I129" s="81" t="b">
        <f t="shared" si="127"/>
        <v>1</v>
      </c>
      <c r="J129" s="81" t="b">
        <f t="shared" si="127"/>
        <v>1</v>
      </c>
      <c r="K129" s="81" t="b">
        <f t="shared" si="127"/>
        <v>1</v>
      </c>
      <c r="L129" s="81" t="b">
        <f t="shared" si="127"/>
        <v>1</v>
      </c>
      <c r="M129" s="81" t="b">
        <f t="shared" si="127"/>
        <v>1</v>
      </c>
      <c r="N129" s="81" t="b">
        <f t="shared" si="127"/>
        <v>1</v>
      </c>
      <c r="O129" s="81" t="b">
        <f t="shared" si="127"/>
        <v>1</v>
      </c>
      <c r="P129" s="81" t="b">
        <f t="shared" si="127"/>
        <v>0</v>
      </c>
      <c r="Q129" s="81" t="b">
        <f t="shared" si="127"/>
        <v>1</v>
      </c>
      <c r="R129" s="21"/>
    </row>
    <row r="130" spans="1:33" s="117" customFormat="1" x14ac:dyDescent="0.35">
      <c r="A130" s="149" t="s">
        <v>75</v>
      </c>
      <c r="B130" s="128" t="s">
        <v>76</v>
      </c>
      <c r="C130" s="129"/>
      <c r="D130" s="130">
        <f>D113*T130</f>
        <v>33.921888000000003</v>
      </c>
      <c r="E130" s="130">
        <f t="shared" ref="E130:P130" si="128">E113*U130</f>
        <v>37.41261730831954</v>
      </c>
      <c r="F130" s="130">
        <f t="shared" si="128"/>
        <v>41.327831064762734</v>
      </c>
      <c r="G130" s="130">
        <f t="shared" si="128"/>
        <v>45.72611532118016</v>
      </c>
      <c r="H130" s="130">
        <f t="shared" si="128"/>
        <v>50.675033936378632</v>
      </c>
      <c r="I130" s="130">
        <f t="shared" si="128"/>
        <v>56.252634046785566</v>
      </c>
      <c r="J130" s="130">
        <f t="shared" si="128"/>
        <v>62.549224903882362</v>
      </c>
      <c r="K130" s="130">
        <f t="shared" si="128"/>
        <v>69.669483402524023</v>
      </c>
      <c r="L130" s="130">
        <f t="shared" si="128"/>
        <v>77.73495072790179</v>
      </c>
      <c r="M130" s="130">
        <f t="shared" si="128"/>
        <v>86.886998108057384</v>
      </c>
      <c r="N130" s="130">
        <f t="shared" si="128"/>
        <v>97.290356247771228</v>
      </c>
      <c r="O130" s="130">
        <f t="shared" si="128"/>
        <v>109.13732335408139</v>
      </c>
      <c r="P130" s="130">
        <f t="shared" si="128"/>
        <v>122.65279163753617</v>
      </c>
      <c r="Q130" s="130">
        <f>Q113*AG130</f>
        <v>138.10026290513366</v>
      </c>
      <c r="R130" s="68">
        <f t="shared" ref="R130:R135" si="129">RATE(9,,-H130,Q130)</f>
        <v>0.11783532197464168</v>
      </c>
      <c r="S130" s="134" t="s">
        <v>76</v>
      </c>
      <c r="T130" s="116">
        <v>0.22000000000000003</v>
      </c>
      <c r="U130" s="116">
        <v>0.22038063877502673</v>
      </c>
      <c r="V130" s="116">
        <v>0.22076193612222184</v>
      </c>
      <c r="W130" s="116">
        <v>0.22114389318103134</v>
      </c>
      <c r="X130" s="116">
        <v>0.22152651109287255</v>
      </c>
      <c r="Y130" s="116">
        <v>0.22190979100113767</v>
      </c>
      <c r="Z130" s="116">
        <v>0.22229373405119721</v>
      </c>
      <c r="AA130" s="116">
        <v>0.22267834139040343</v>
      </c>
      <c r="AB130" s="116">
        <v>0.2230636141680935</v>
      </c>
      <c r="AC130" s="116">
        <v>0.22344955353559337</v>
      </c>
      <c r="AD130" s="116">
        <v>0.22383616064622086</v>
      </c>
      <c r="AE130" s="116">
        <v>0.22422343665528938</v>
      </c>
      <c r="AF130" s="116">
        <v>0.22461138272011094</v>
      </c>
      <c r="AG130" s="116">
        <v>0.22500000000000017</v>
      </c>
    </row>
    <row r="131" spans="1:33" s="117" customFormat="1" x14ac:dyDescent="0.35">
      <c r="A131" s="149"/>
      <c r="B131" s="128" t="s">
        <v>77</v>
      </c>
      <c r="C131" s="129"/>
      <c r="D131" s="130">
        <f>D113*T131</f>
        <v>58.592351999999991</v>
      </c>
      <c r="E131" s="130">
        <f t="shared" ref="E131:Q131" si="130">E113*U131</f>
        <v>64.510179551999997</v>
      </c>
      <c r="F131" s="130">
        <f t="shared" si="130"/>
        <v>71.138059760063044</v>
      </c>
      <c r="G131" s="130">
        <f t="shared" si="130"/>
        <v>78.572930828455199</v>
      </c>
      <c r="H131" s="130">
        <f t="shared" si="130"/>
        <v>86.926448671196738</v>
      </c>
      <c r="I131" s="130">
        <f t="shared" si="130"/>
        <v>96.327434861442995</v>
      </c>
      <c r="J131" s="130">
        <f t="shared" si="130"/>
        <v>106.9247658505797</v>
      </c>
      <c r="K131" s="130">
        <f t="shared" si="130"/>
        <v>118.89078896336737</v>
      </c>
      <c r="L131" s="130">
        <f t="shared" si="130"/>
        <v>132.42536837201442</v>
      </c>
      <c r="M131" s="130">
        <f t="shared" si="130"/>
        <v>147.76068584000328</v>
      </c>
      <c r="N131" s="130">
        <f t="shared" si="130"/>
        <v>165.1669474110829</v>
      </c>
      <c r="O131" s="130">
        <f t="shared" si="130"/>
        <v>184.95917952728698</v>
      </c>
      <c r="P131" s="130">
        <f t="shared" si="130"/>
        <v>207.50533769850043</v>
      </c>
      <c r="Q131" s="130">
        <f t="shared" si="130"/>
        <v>233.23599957311444</v>
      </c>
      <c r="R131" s="68">
        <f t="shared" si="129"/>
        <v>0.11590461032046445</v>
      </c>
      <c r="S131" s="134" t="s">
        <v>77</v>
      </c>
      <c r="T131" s="116">
        <v>0.38</v>
      </c>
      <c r="U131" s="116">
        <v>0.38</v>
      </c>
      <c r="V131" s="116">
        <v>0.38</v>
      </c>
      <c r="W131" s="116">
        <v>0.38</v>
      </c>
      <c r="X131" s="116">
        <v>0.38</v>
      </c>
      <c r="Y131" s="116">
        <v>0.38</v>
      </c>
      <c r="Z131" s="116">
        <v>0.38</v>
      </c>
      <c r="AA131" s="116">
        <v>0.38</v>
      </c>
      <c r="AB131" s="116">
        <v>0.38</v>
      </c>
      <c r="AC131" s="116">
        <v>0.38</v>
      </c>
      <c r="AD131" s="116">
        <v>0.38</v>
      </c>
      <c r="AE131" s="116">
        <v>0.38</v>
      </c>
      <c r="AF131" s="116">
        <v>0.38</v>
      </c>
      <c r="AG131" s="116">
        <v>0.38</v>
      </c>
    </row>
    <row r="132" spans="1:33" s="117" customFormat="1" x14ac:dyDescent="0.35">
      <c r="A132" s="149"/>
      <c r="B132" s="128" t="s">
        <v>78</v>
      </c>
      <c r="C132" s="129"/>
      <c r="D132" s="132">
        <f>D113*T132</f>
        <v>26.212367999999994</v>
      </c>
      <c r="E132" s="132">
        <f t="shared" ref="E132:Q132" si="131">E113*U132</f>
        <v>28.999343360140145</v>
      </c>
      <c r="F132" s="132">
        <f t="shared" si="131"/>
        <v>32.133388010084815</v>
      </c>
      <c r="G132" s="132">
        <f t="shared" si="131"/>
        <v>35.663342457019873</v>
      </c>
      <c r="H132" s="132">
        <f t="shared" si="131"/>
        <v>39.645656774971322</v>
      </c>
      <c r="I132" s="132">
        <f t="shared" si="131"/>
        <v>44.145685385715311</v>
      </c>
      <c r="J132" s="132">
        <f t="shared" si="131"/>
        <v>49.239220044170949</v>
      </c>
      <c r="K132" s="132">
        <f t="shared" si="131"/>
        <v>55.014308049642224</v>
      </c>
      <c r="L132" s="132">
        <f t="shared" si="131"/>
        <v>61.573412603240847</v>
      </c>
      <c r="M132" s="132">
        <f t="shared" si="131"/>
        <v>69.035984342233988</v>
      </c>
      <c r="N132" s="132">
        <f t="shared" si="131"/>
        <v>77.541527926023988</v>
      </c>
      <c r="O132" s="132">
        <f t="shared" si="131"/>
        <v>87.253265777894313</v>
      </c>
      <c r="P132" s="132">
        <f t="shared" si="131"/>
        <v>98.362523517155907</v>
      </c>
      <c r="Q132" s="132">
        <f t="shared" si="131"/>
        <v>111.09398927035168</v>
      </c>
      <c r="R132" s="68">
        <f t="shared" si="129"/>
        <v>0.12129958285834473</v>
      </c>
      <c r="S132" s="134" t="s">
        <v>78</v>
      </c>
      <c r="T132" s="116">
        <v>0.16999999999999998</v>
      </c>
      <c r="U132" s="116">
        <v>0.17082188506343435</v>
      </c>
      <c r="V132" s="116">
        <v>0.17164774362720694</v>
      </c>
      <c r="W132" s="116">
        <v>0.17247759490167405</v>
      </c>
      <c r="X132" s="116">
        <v>0.17331145819006682</v>
      </c>
      <c r="Y132" s="116">
        <v>0.17414935288894001</v>
      </c>
      <c r="Z132" s="116">
        <v>0.17499129848862341</v>
      </c>
      <c r="AA132" s="116">
        <v>0.17583731457367507</v>
      </c>
      <c r="AB132" s="116">
        <v>0.17668742082333691</v>
      </c>
      <c r="AC132" s="116">
        <v>0.17754163701199244</v>
      </c>
      <c r="AD132" s="116">
        <v>0.17839998300962681</v>
      </c>
      <c r="AE132" s="116">
        <v>0.17926247878228888</v>
      </c>
      <c r="AF132" s="116">
        <v>0.18012914439255584</v>
      </c>
      <c r="AG132" s="116">
        <v>0.18099999999999969</v>
      </c>
    </row>
    <row r="133" spans="1:33" s="117" customFormat="1" x14ac:dyDescent="0.35">
      <c r="A133" s="149"/>
      <c r="B133" s="128" t="s">
        <v>79</v>
      </c>
      <c r="C133" s="129"/>
      <c r="D133" s="132">
        <f>D113*T133</f>
        <v>21.586655999999998</v>
      </c>
      <c r="E133" s="132">
        <f t="shared" ref="E133:Q133" si="132">E113*U133</f>
        <v>23.779924142101994</v>
      </c>
      <c r="F133" s="132">
        <f t="shared" si="132"/>
        <v>26.23747303803426</v>
      </c>
      <c r="G133" s="132">
        <f t="shared" si="132"/>
        <v>28.995507699525024</v>
      </c>
      <c r="H133" s="132">
        <f t="shared" si="132"/>
        <v>32.095746176438887</v>
      </c>
      <c r="I133" s="132">
        <f t="shared" si="132"/>
        <v>35.586338892975057</v>
      </c>
      <c r="J133" s="132">
        <f t="shared" si="132"/>
        <v>39.5229540879957</v>
      </c>
      <c r="K133" s="132">
        <f t="shared" si="132"/>
        <v>43.970061613789063</v>
      </c>
      <c r="L133" s="132">
        <f t="shared" si="132"/>
        <v>49.002454035895795</v>
      </c>
      <c r="M133" s="132">
        <f t="shared" si="132"/>
        <v>54.707052138326965</v>
      </c>
      <c r="N133" s="132">
        <f t="shared" si="132"/>
        <v>61.18505191689728</v>
      </c>
      <c r="O133" s="132">
        <f t="shared" si="132"/>
        <v>68.554482366126734</v>
      </c>
      <c r="P133" s="132">
        <f t="shared" si="132"/>
        <v>76.953258365932371</v>
      </c>
      <c r="Q133" s="132">
        <f t="shared" si="132"/>
        <v>86.542831420550527</v>
      </c>
      <c r="R133" s="68">
        <f t="shared" si="129"/>
        <v>0.11651573260663528</v>
      </c>
      <c r="S133" s="134" t="s">
        <v>79</v>
      </c>
      <c r="T133" s="116">
        <v>0.14000000000000001</v>
      </c>
      <c r="U133" s="116">
        <v>0.14007667063947282</v>
      </c>
      <c r="V133" s="116">
        <v>0.14015338326742385</v>
      </c>
      <c r="W133" s="116">
        <v>0.1402301379068481</v>
      </c>
      <c r="X133" s="116">
        <v>0.14030693458075291</v>
      </c>
      <c r="Y133" s="116">
        <v>0.14038377331215846</v>
      </c>
      <c r="Z133" s="116">
        <v>0.14046065412409731</v>
      </c>
      <c r="AA133" s="116">
        <v>0.14053757703961495</v>
      </c>
      <c r="AB133" s="116">
        <v>0.14061454208176913</v>
      </c>
      <c r="AC133" s="116">
        <v>0.14069154927363042</v>
      </c>
      <c r="AD133" s="116">
        <v>0.14076859863828203</v>
      </c>
      <c r="AE133" s="116">
        <v>0.14084569019881982</v>
      </c>
      <c r="AF133" s="116">
        <v>0.14092282397835218</v>
      </c>
      <c r="AG133" s="116">
        <v>0.14100000000000026</v>
      </c>
    </row>
    <row r="134" spans="1:33" s="117" customFormat="1" x14ac:dyDescent="0.35">
      <c r="A134" s="149"/>
      <c r="B134" s="128" t="s">
        <v>80</v>
      </c>
      <c r="C134" s="129"/>
      <c r="D134" s="132">
        <f>D113*T134</f>
        <v>6.1676160000000033</v>
      </c>
      <c r="E134" s="132">
        <f t="shared" ref="E134:Q134" si="133">E113*U134</f>
        <v>6.2970598322987756</v>
      </c>
      <c r="F134" s="132">
        <f t="shared" si="133"/>
        <v>6.4393904553222017</v>
      </c>
      <c r="G134" s="132">
        <f t="shared" si="133"/>
        <v>6.5955174086902462</v>
      </c>
      <c r="H134" s="132">
        <f t="shared" si="133"/>
        <v>6.7664523779664325</v>
      </c>
      <c r="I134" s="132">
        <f t="shared" si="133"/>
        <v>6.9533207329142739</v>
      </c>
      <c r="J134" s="132">
        <f t="shared" si="133"/>
        <v>7.1573746246000693</v>
      </c>
      <c r="K134" s="132">
        <f t="shared" si="133"/>
        <v>7.3800078682888843</v>
      </c>
      <c r="L134" s="132">
        <f t="shared" si="133"/>
        <v>7.6227728755818172</v>
      </c>
      <c r="M134" s="132">
        <f t="shared" si="133"/>
        <v>7.8873999420727721</v>
      </c>
      <c r="N134" s="132">
        <f t="shared" si="133"/>
        <v>8.1758192471435187</v>
      </c>
      <c r="O134" s="132">
        <f t="shared" si="133"/>
        <v>8.4901859817830871</v>
      </c>
      <c r="P134" s="132">
        <f t="shared" si="133"/>
        <v>8.8329090902134215</v>
      </c>
      <c r="Q134" s="132">
        <f t="shared" si="133"/>
        <v>9.2066841936755726</v>
      </c>
      <c r="R134" s="68">
        <f t="shared" si="129"/>
        <v>3.4809116912898536E-2</v>
      </c>
      <c r="S134" s="134" t="s">
        <v>80</v>
      </c>
      <c r="T134" s="116">
        <v>4.0000000000000029E-2</v>
      </c>
      <c r="U134" s="116">
        <v>3.7093103024844219E-2</v>
      </c>
      <c r="V134" s="116">
        <v>3.4397457300292665E-2</v>
      </c>
      <c r="W134" s="116">
        <v>3.1897710685810869E-2</v>
      </c>
      <c r="X134" s="116">
        <v>2.9579626718136409E-2</v>
      </c>
      <c r="Y134" s="116">
        <v>2.7430003532306693E-2</v>
      </c>
      <c r="Z134" s="116">
        <v>2.543659867489231E-2</v>
      </c>
      <c r="AA134" s="116">
        <v>2.3588059381234896E-2</v>
      </c>
      <c r="AB134" s="116">
        <v>2.1873857919607213E-2</v>
      </c>
      <c r="AC134" s="116">
        <v>2.0284231634069862E-2</v>
      </c>
      <c r="AD134" s="116">
        <v>1.8810127344558929E-2</v>
      </c>
      <c r="AE134" s="116">
        <v>1.7443149787554083E-2</v>
      </c>
      <c r="AF134" s="116">
        <v>1.617551380368832E-2</v>
      </c>
      <c r="AG134" s="116">
        <v>1.5000000000000005E-2</v>
      </c>
    </row>
    <row r="135" spans="1:33" s="117" customFormat="1" x14ac:dyDescent="0.35">
      <c r="A135" s="149"/>
      <c r="B135" s="128" t="s">
        <v>81</v>
      </c>
      <c r="C135" s="129"/>
      <c r="D135" s="132">
        <f>D113*T135</f>
        <v>3.0838080000000003</v>
      </c>
      <c r="E135" s="132">
        <f t="shared" ref="E135:Q135" si="134">E113*U135</f>
        <v>3.4202567008536722</v>
      </c>
      <c r="F135" s="132">
        <f t="shared" si="134"/>
        <v>3.7994131402254805</v>
      </c>
      <c r="G135" s="132">
        <f t="shared" si="134"/>
        <v>4.227382158153028</v>
      </c>
      <c r="H135" s="132">
        <f t="shared" si="134"/>
        <v>4.7112326057205234</v>
      </c>
      <c r="I135" s="132">
        <f t="shared" si="134"/>
        <v>5.2591633231330857</v>
      </c>
      <c r="J135" s="132">
        <f t="shared" si="134"/>
        <v>5.8806999788807595</v>
      </c>
      <c r="K135" s="132">
        <f t="shared" si="134"/>
        <v>6.5869289210570212</v>
      </c>
      <c r="L135" s="132">
        <f t="shared" si="134"/>
        <v>7.3907754983801794</v>
      </c>
      <c r="M135" s="132">
        <f t="shared" si="134"/>
        <v>8.3073359092378709</v>
      </c>
      <c r="N135" s="132">
        <f t="shared" si="134"/>
        <v>9.3542736021512098</v>
      </c>
      <c r="O135" s="132">
        <f t="shared" si="134"/>
        <v>10.552293667987502</v>
      </c>
      <c r="P135" s="132">
        <f t="shared" si="134"/>
        <v>11.925711642733638</v>
      </c>
      <c r="Q135" s="132">
        <f t="shared" si="134"/>
        <v>13.503136817390839</v>
      </c>
      <c r="R135" s="68">
        <f t="shared" si="129"/>
        <v>0.12411598761440169</v>
      </c>
      <c r="S135" s="134" t="s">
        <v>81</v>
      </c>
      <c r="T135" s="116">
        <v>2.0000000000000004E-2</v>
      </c>
      <c r="U135" s="116">
        <v>2.0147169878464571E-2</v>
      </c>
      <c r="V135" s="116">
        <v>2.0295422705585511E-2</v>
      </c>
      <c r="W135" s="116">
        <v>2.0444766450233912E-2</v>
      </c>
      <c r="X135" s="116">
        <v>2.0595209139919784E-2</v>
      </c>
      <c r="Y135" s="116">
        <v>2.0746758861223506E-2</v>
      </c>
      <c r="Z135" s="116">
        <v>2.0899423760230504E-2</v>
      </c>
      <c r="AA135" s="116">
        <v>2.1053212042969137E-2</v>
      </c>
      <c r="AB135" s="116">
        <v>2.1208131975851766E-2</v>
      </c>
      <c r="AC135" s="116">
        <v>2.1364191886119096E-2</v>
      </c>
      <c r="AD135" s="116">
        <v>2.1521400162287797E-2</v>
      </c>
      <c r="AE135" s="116">
        <v>2.1679765254601358E-2</v>
      </c>
      <c r="AF135" s="116">
        <v>2.1839295675484361E-2</v>
      </c>
      <c r="AG135" s="116">
        <v>2.2000000000000006E-2</v>
      </c>
    </row>
    <row r="136" spans="1:33" s="117" customFormat="1" x14ac:dyDescent="0.35">
      <c r="A136" s="149"/>
      <c r="B136" s="128" t="s">
        <v>82</v>
      </c>
      <c r="C136" s="129"/>
      <c r="D136" s="132">
        <f>D113*T136</f>
        <v>4.6257119999999867</v>
      </c>
      <c r="E136" s="132">
        <f t="shared" ref="E136:Q136" si="135">E113*U136</f>
        <v>5.3442495042858535</v>
      </c>
      <c r="F136" s="132">
        <f t="shared" si="135"/>
        <v>6.1298649527260212</v>
      </c>
      <c r="G136" s="132">
        <f t="shared" si="135"/>
        <v>6.990074728174358</v>
      </c>
      <c r="H136" s="132">
        <f t="shared" si="135"/>
        <v>7.9332417499504393</v>
      </c>
      <c r="I136" s="132">
        <f t="shared" si="135"/>
        <v>8.9686723924100029</v>
      </c>
      <c r="J136" s="132">
        <f t="shared" si="135"/>
        <v>10.106723274573874</v>
      </c>
      <c r="K136" s="132">
        <f t="shared" si="135"/>
        <v>11.358918453350842</v>
      </c>
      <c r="L136" s="132">
        <f t="shared" si="135"/>
        <v>12.738077392286272</v>
      </c>
      <c r="M136" s="132">
        <f t="shared" si="135"/>
        <v>14.258453825339563</v>
      </c>
      <c r="N136" s="132">
        <f t="shared" si="135"/>
        <v>15.935885257042838</v>
      </c>
      <c r="O136" s="132">
        <f t="shared" si="135"/>
        <v>17.78795229138461</v>
      </c>
      <c r="P136" s="132">
        <f t="shared" si="135"/>
        <v>19.834146201876507</v>
      </c>
      <c r="Q136" s="132">
        <f t="shared" si="135"/>
        <v>22.096042064821251</v>
      </c>
      <c r="R136" s="68">
        <f>RATE(9,,-H136,Q136)</f>
        <v>0.12054502312325382</v>
      </c>
      <c r="S136" s="134" t="s">
        <v>82</v>
      </c>
      <c r="T136" s="116">
        <f>1-SUM(T130:T135)</f>
        <v>2.9999999999999916E-2</v>
      </c>
      <c r="U136" s="116">
        <f t="shared" ref="U136:AG136" si="136">1-SUM(U130:U135)</f>
        <v>3.1480532618757273E-2</v>
      </c>
      <c r="V136" s="116">
        <f t="shared" si="136"/>
        <v>3.2744056977269231E-2</v>
      </c>
      <c r="W136" s="116">
        <f t="shared" si="136"/>
        <v>3.380589687440172E-2</v>
      </c>
      <c r="X136" s="116">
        <f t="shared" si="136"/>
        <v>3.468026027825144E-2</v>
      </c>
      <c r="Y136" s="116">
        <f t="shared" si="136"/>
        <v>3.5380320404233667E-2</v>
      </c>
      <c r="Z136" s="116">
        <f t="shared" si="136"/>
        <v>3.5918290900959216E-2</v>
      </c>
      <c r="AA136" s="116">
        <f t="shared" si="136"/>
        <v>3.6305495572102608E-2</v>
      </c>
      <c r="AB136" s="116">
        <f t="shared" si="136"/>
        <v>3.655243303134148E-2</v>
      </c>
      <c r="AC136" s="116">
        <f t="shared" si="136"/>
        <v>3.6668836658594883E-2</v>
      </c>
      <c r="AD136" s="116">
        <f t="shared" si="136"/>
        <v>3.6663730199023692E-2</v>
      </c>
      <c r="AE136" s="116">
        <f t="shared" si="136"/>
        <v>3.6545479321446361E-2</v>
      </c>
      <c r="AF136" s="116">
        <f t="shared" si="136"/>
        <v>3.6321839429808267E-2</v>
      </c>
      <c r="AG136" s="116">
        <f t="shared" si="136"/>
        <v>3.599999999999981E-2</v>
      </c>
    </row>
    <row r="137" spans="1:33" x14ac:dyDescent="0.35">
      <c r="D137" t="b">
        <f>D113=SUM(D130:D136)</f>
        <v>1</v>
      </c>
      <c r="E137" t="b">
        <f t="shared" ref="E137:Q137" si="137">E113=SUM(E130:E136)</f>
        <v>1</v>
      </c>
      <c r="F137" t="b">
        <f t="shared" si="137"/>
        <v>1</v>
      </c>
      <c r="G137" t="b">
        <f t="shared" si="137"/>
        <v>1</v>
      </c>
      <c r="H137" t="b">
        <f t="shared" si="137"/>
        <v>1</v>
      </c>
      <c r="I137" t="b">
        <f t="shared" si="137"/>
        <v>1</v>
      </c>
      <c r="J137" t="b">
        <f t="shared" si="137"/>
        <v>1</v>
      </c>
      <c r="K137" t="b">
        <f t="shared" si="137"/>
        <v>1</v>
      </c>
      <c r="L137" t="b">
        <f t="shared" si="137"/>
        <v>1</v>
      </c>
      <c r="M137" t="b">
        <f t="shared" si="137"/>
        <v>1</v>
      </c>
      <c r="N137" t="b">
        <f t="shared" si="137"/>
        <v>1</v>
      </c>
      <c r="O137" t="b">
        <f t="shared" si="137"/>
        <v>1</v>
      </c>
      <c r="P137" t="b">
        <f t="shared" si="137"/>
        <v>1</v>
      </c>
      <c r="Q137" t="b">
        <f t="shared" si="137"/>
        <v>1</v>
      </c>
    </row>
    <row r="139" spans="1:33" ht="25" x14ac:dyDescent="0.5">
      <c r="A139" s="146" t="s">
        <v>108</v>
      </c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63"/>
    </row>
    <row r="140" spans="1:33" ht="23.5" thickBot="1" x14ac:dyDescent="0.55000000000000004">
      <c r="A140" s="63"/>
      <c r="B140" s="63"/>
      <c r="C140" s="63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</row>
    <row r="141" spans="1:33" ht="16" hidden="1" thickBot="1" x14ac:dyDescent="0.4">
      <c r="A141" s="42"/>
      <c r="B141" s="43"/>
      <c r="C141" s="93"/>
      <c r="D141" s="91">
        <v>2023</v>
      </c>
      <c r="E141" s="65">
        <v>2024</v>
      </c>
      <c r="F141" s="65">
        <v>2025</v>
      </c>
      <c r="G141" s="65">
        <v>2026</v>
      </c>
      <c r="H141" s="65">
        <v>2027</v>
      </c>
      <c r="I141" s="65">
        <v>2028</v>
      </c>
      <c r="J141" s="65">
        <v>2029</v>
      </c>
      <c r="K141" s="65">
        <v>2030</v>
      </c>
      <c r="L141" s="65">
        <v>2031</v>
      </c>
      <c r="M141" s="65">
        <v>2032</v>
      </c>
      <c r="N141" s="65">
        <v>2033</v>
      </c>
      <c r="O141" s="65">
        <v>2034</v>
      </c>
      <c r="P141" s="65">
        <v>2035</v>
      </c>
      <c r="Q141" s="65">
        <v>2036</v>
      </c>
      <c r="R141" s="66" t="s">
        <v>13</v>
      </c>
    </row>
    <row r="142" spans="1:33" ht="16" hidden="1" thickBot="1" x14ac:dyDescent="0.4">
      <c r="A142" s="25"/>
      <c r="B142" s="94"/>
      <c r="C142" s="95"/>
      <c r="D142" s="92" t="e">
        <f>#REF!</f>
        <v>#REF!</v>
      </c>
      <c r="E142" s="92" t="e">
        <f>#REF!</f>
        <v>#REF!</v>
      </c>
      <c r="F142" s="92" t="e">
        <f>#REF!</f>
        <v>#REF!</v>
      </c>
      <c r="G142" s="92" t="e">
        <f>#REF!</f>
        <v>#REF!</v>
      </c>
      <c r="H142" s="92" t="e">
        <f>#REF!</f>
        <v>#REF!</v>
      </c>
      <c r="I142" s="92" t="e">
        <f>#REF!</f>
        <v>#REF!</v>
      </c>
      <c r="J142" s="92" t="e">
        <f>#REF!</f>
        <v>#REF!</v>
      </c>
      <c r="K142" s="92" t="e">
        <f>#REF!</f>
        <v>#REF!</v>
      </c>
      <c r="L142" s="92" t="e">
        <f>#REF!</f>
        <v>#REF!</v>
      </c>
      <c r="M142" s="92" t="e">
        <f>#REF!</f>
        <v>#REF!</v>
      </c>
      <c r="N142" s="92" t="e">
        <f>#REF!</f>
        <v>#REF!</v>
      </c>
      <c r="O142" s="92" t="e">
        <f>#REF!</f>
        <v>#REF!</v>
      </c>
      <c r="P142" s="92" t="e">
        <f>#REF!</f>
        <v>#REF!</v>
      </c>
      <c r="Q142" s="92" t="e">
        <f>#REF!</f>
        <v>#REF!</v>
      </c>
      <c r="R142" s="68" t="e">
        <f>RATE(12,,-E142,Q142)</f>
        <v>#REF!</v>
      </c>
      <c r="T142" s="65">
        <v>2023</v>
      </c>
      <c r="U142" s="65">
        <v>2024</v>
      </c>
      <c r="V142" s="65">
        <v>2025</v>
      </c>
      <c r="W142" s="65">
        <v>2026</v>
      </c>
      <c r="X142" s="65">
        <v>2027</v>
      </c>
      <c r="Y142" s="65">
        <v>2028</v>
      </c>
      <c r="Z142" s="65">
        <v>2029</v>
      </c>
      <c r="AA142" s="65">
        <v>2030</v>
      </c>
      <c r="AB142" s="65">
        <v>2031</v>
      </c>
      <c r="AC142" s="65">
        <v>2032</v>
      </c>
      <c r="AD142" s="65">
        <v>2033</v>
      </c>
      <c r="AE142" s="65">
        <v>2034</v>
      </c>
      <c r="AF142" s="65">
        <v>2035</v>
      </c>
      <c r="AG142" s="65">
        <v>2036</v>
      </c>
    </row>
    <row r="143" spans="1:33" ht="15" hidden="1" thickBot="1" x14ac:dyDescent="0.4">
      <c r="A143" s="150" t="s">
        <v>49</v>
      </c>
      <c r="B143" s="52" t="s">
        <v>34</v>
      </c>
      <c r="C143" s="45"/>
      <c r="D143" s="79" t="e">
        <f t="shared" ref="D143" si="138">D142*T143</f>
        <v>#REF!</v>
      </c>
      <c r="E143" s="79" t="e">
        <f t="shared" ref="E143" si="139">E142*U143</f>
        <v>#REF!</v>
      </c>
      <c r="F143" s="79" t="e">
        <f t="shared" ref="F143" si="140">F142*V143</f>
        <v>#REF!</v>
      </c>
      <c r="G143" s="79" t="e">
        <f t="shared" ref="G143" si="141">G142*W143</f>
        <v>#REF!</v>
      </c>
      <c r="H143" s="79" t="e">
        <f t="shared" ref="H143" si="142">H142*X143</f>
        <v>#REF!</v>
      </c>
      <c r="I143" s="79" t="e">
        <f t="shared" ref="I143" si="143">I142*Y143</f>
        <v>#REF!</v>
      </c>
      <c r="J143" s="79" t="e">
        <f t="shared" ref="J143" si="144">J142*Z143</f>
        <v>#REF!</v>
      </c>
      <c r="K143" s="79" t="e">
        <f t="shared" ref="K143" si="145">K142*AA143</f>
        <v>#REF!</v>
      </c>
      <c r="L143" s="79" t="e">
        <f t="shared" ref="L143" si="146">L142*AB143</f>
        <v>#REF!</v>
      </c>
      <c r="M143" s="79" t="e">
        <f t="shared" ref="M143" si="147">M142*AC143</f>
        <v>#REF!</v>
      </c>
      <c r="N143" s="79" t="e">
        <f t="shared" ref="N143" si="148">N142*AD143</f>
        <v>#REF!</v>
      </c>
      <c r="O143" s="79" t="e">
        <f t="shared" ref="O143" si="149">O142*AE143</f>
        <v>#REF!</v>
      </c>
      <c r="P143" s="79" t="e">
        <f t="shared" ref="P143" si="150">P142*AF143</f>
        <v>#REF!</v>
      </c>
      <c r="Q143" s="79" t="e">
        <f t="shared" ref="Q143" si="151">Q142*AG143</f>
        <v>#REF!</v>
      </c>
      <c r="R143" s="77" t="e">
        <f>RATE(12,,-E143,Q143)</f>
        <v>#REF!</v>
      </c>
      <c r="S143" s="52"/>
      <c r="T143" s="12">
        <v>0.56000000000000005</v>
      </c>
      <c r="U143" s="12">
        <v>0.56092161367703952</v>
      </c>
      <c r="V143" s="12">
        <v>0.56184474408938223</v>
      </c>
      <c r="W143" s="12">
        <v>0.56276939373317769</v>
      </c>
      <c r="X143" s="12">
        <v>0.56369556510868446</v>
      </c>
      <c r="Y143" s="12">
        <v>0.56462326072027491</v>
      </c>
      <c r="Z143" s="12">
        <v>0.56555248307644368</v>
      </c>
      <c r="AA143" s="12">
        <v>0.56648323468981299</v>
      </c>
      <c r="AB143" s="12">
        <v>0.56741551807714108</v>
      </c>
      <c r="AC143" s="12">
        <v>0.56834933575932756</v>
      </c>
      <c r="AD143" s="12">
        <v>0.56928469026142059</v>
      </c>
      <c r="AE143" s="12">
        <v>0.57022158411262425</v>
      </c>
      <c r="AF143" s="12">
        <v>0.57116001984630527</v>
      </c>
      <c r="AG143" s="12">
        <v>0.57209999999999905</v>
      </c>
    </row>
    <row r="144" spans="1:33" ht="15" hidden="1" thickBot="1" x14ac:dyDescent="0.4">
      <c r="A144" s="151"/>
      <c r="B144" s="53" t="s">
        <v>35</v>
      </c>
      <c r="C144" s="46"/>
      <c r="D144" s="80" t="e">
        <f t="shared" ref="D144" si="152">D142*T144</f>
        <v>#REF!</v>
      </c>
      <c r="E144" s="80" t="e">
        <f t="shared" ref="E144" si="153">E142*U144</f>
        <v>#REF!</v>
      </c>
      <c r="F144" s="80" t="e">
        <f t="shared" ref="F144" si="154">F142*V144</f>
        <v>#REF!</v>
      </c>
      <c r="G144" s="80" t="e">
        <f t="shared" ref="G144" si="155">G142*W144</f>
        <v>#REF!</v>
      </c>
      <c r="H144" s="80" t="e">
        <f t="shared" ref="H144" si="156">H142*X144</f>
        <v>#REF!</v>
      </c>
      <c r="I144" s="80" t="e">
        <f t="shared" ref="I144" si="157">I142*Y144</f>
        <v>#REF!</v>
      </c>
      <c r="J144" s="80" t="e">
        <f t="shared" ref="J144" si="158">J142*Z144</f>
        <v>#REF!</v>
      </c>
      <c r="K144" s="80" t="e">
        <f t="shared" ref="K144" si="159">K142*AA144</f>
        <v>#REF!</v>
      </c>
      <c r="L144" s="80" t="e">
        <f t="shared" ref="L144" si="160">L142*AB144</f>
        <v>#REF!</v>
      </c>
      <c r="M144" s="80" t="e">
        <f t="shared" ref="M144" si="161">M142*AC144</f>
        <v>#REF!</v>
      </c>
      <c r="N144" s="80" t="e">
        <f t="shared" ref="N144" si="162">N142*AD144</f>
        <v>#REF!</v>
      </c>
      <c r="O144" s="80" t="e">
        <f t="shared" ref="O144" si="163">O142*AE144</f>
        <v>#REF!</v>
      </c>
      <c r="P144" s="80" t="e">
        <f t="shared" ref="P144" si="164">P142*AF144</f>
        <v>#REF!</v>
      </c>
      <c r="Q144" s="80" t="e">
        <f t="shared" ref="Q144" si="165">Q142*AG144</f>
        <v>#REF!</v>
      </c>
      <c r="R144" s="78" t="e">
        <f>RATE(12,,-E144,Q144)</f>
        <v>#REF!</v>
      </c>
      <c r="S144" s="53"/>
      <c r="T144" s="12">
        <f>1-T143</f>
        <v>0.43999999999999995</v>
      </c>
      <c r="U144" s="12">
        <f t="shared" ref="U144:AG144" si="166">1-U143</f>
        <v>0.43907838632296048</v>
      </c>
      <c r="V144" s="12">
        <f t="shared" si="166"/>
        <v>0.43815525591061777</v>
      </c>
      <c r="W144" s="12">
        <f t="shared" si="166"/>
        <v>0.43723060626682231</v>
      </c>
      <c r="X144" s="12">
        <f t="shared" si="166"/>
        <v>0.43630443489131554</v>
      </c>
      <c r="Y144" s="12">
        <f t="shared" si="166"/>
        <v>0.43537673927972509</v>
      </c>
      <c r="Z144" s="12">
        <f t="shared" si="166"/>
        <v>0.43444751692355632</v>
      </c>
      <c r="AA144" s="12">
        <f t="shared" si="166"/>
        <v>0.43351676531018701</v>
      </c>
      <c r="AB144" s="12">
        <f t="shared" si="166"/>
        <v>0.43258448192285892</v>
      </c>
      <c r="AC144" s="12">
        <f t="shared" si="166"/>
        <v>0.43165066424067244</v>
      </c>
      <c r="AD144" s="12">
        <f t="shared" si="166"/>
        <v>0.43071530973857941</v>
      </c>
      <c r="AE144" s="12">
        <f t="shared" si="166"/>
        <v>0.42977841588737575</v>
      </c>
      <c r="AF144" s="12">
        <f t="shared" si="166"/>
        <v>0.42883998015369473</v>
      </c>
      <c r="AG144" s="12">
        <f t="shared" si="166"/>
        <v>0.42790000000000095</v>
      </c>
    </row>
    <row r="145" spans="1:33" ht="15" hidden="1" thickBot="1" x14ac:dyDescent="0.4">
      <c r="A145" s="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21"/>
    </row>
    <row r="146" spans="1:33" ht="15" hidden="1" thickBot="1" x14ac:dyDescent="0.4">
      <c r="A146" s="150" t="s">
        <v>15</v>
      </c>
      <c r="B146" s="57" t="s">
        <v>16</v>
      </c>
      <c r="C146" s="47"/>
      <c r="D146" s="82" t="e">
        <f t="shared" ref="D146" si="167">D142*T146</f>
        <v>#REF!</v>
      </c>
      <c r="E146" s="82" t="e">
        <f t="shared" ref="E146" si="168">E142*U146</f>
        <v>#REF!</v>
      </c>
      <c r="F146" s="82" t="e">
        <f t="shared" ref="F146" si="169">F142*V146</f>
        <v>#REF!</v>
      </c>
      <c r="G146" s="82" t="e">
        <f t="shared" ref="G146" si="170">G142*W146</f>
        <v>#REF!</v>
      </c>
      <c r="H146" s="82" t="e">
        <f t="shared" ref="H146" si="171">H142*X146</f>
        <v>#REF!</v>
      </c>
      <c r="I146" s="82" t="e">
        <f t="shared" ref="I146" si="172">I142*Y146</f>
        <v>#REF!</v>
      </c>
      <c r="J146" s="82" t="e">
        <f t="shared" ref="J146" si="173">J142*Z146</f>
        <v>#REF!</v>
      </c>
      <c r="K146" s="82" t="e">
        <f t="shared" ref="K146" si="174">K142*AA146</f>
        <v>#REF!</v>
      </c>
      <c r="L146" s="82" t="e">
        <f t="shared" ref="L146" si="175">L142*AB146</f>
        <v>#REF!</v>
      </c>
      <c r="M146" s="82" t="e">
        <f t="shared" ref="M146" si="176">M142*AC146</f>
        <v>#REF!</v>
      </c>
      <c r="N146" s="82" t="e">
        <f t="shared" ref="N146" si="177">N142*AD146</f>
        <v>#REF!</v>
      </c>
      <c r="O146" s="82" t="e">
        <f t="shared" ref="O146" si="178">O142*AE146</f>
        <v>#REF!</v>
      </c>
      <c r="P146" s="82" t="e">
        <f t="shared" ref="P146" si="179">P142*AF146</f>
        <v>#REF!</v>
      </c>
      <c r="Q146" s="82" t="e">
        <f t="shared" ref="Q146" si="180">Q142*AG146</f>
        <v>#REF!</v>
      </c>
      <c r="R146" s="69" t="e">
        <f>RATE(12,,-E146,Q146)</f>
        <v>#REF!</v>
      </c>
      <c r="S146" s="57"/>
      <c r="T146" s="12">
        <v>0.47099999999999992</v>
      </c>
      <c r="U146" s="12">
        <v>0.47038461538461535</v>
      </c>
      <c r="V146" s="12">
        <v>0.46976923076923072</v>
      </c>
      <c r="W146" s="12">
        <v>0.46915384615384609</v>
      </c>
      <c r="X146" s="12">
        <v>0.46853846153846151</v>
      </c>
      <c r="Y146" s="12">
        <v>0.46792307692307689</v>
      </c>
      <c r="Z146" s="12">
        <v>0.46730769230769226</v>
      </c>
      <c r="AA146" s="12">
        <v>0.46669230769230763</v>
      </c>
      <c r="AB146" s="12">
        <v>0.46607692307692306</v>
      </c>
      <c r="AC146" s="12">
        <v>0.46546153846153843</v>
      </c>
      <c r="AD146" s="12">
        <v>0.4648461538461538</v>
      </c>
      <c r="AE146" s="12">
        <v>0.46423076923076922</v>
      </c>
      <c r="AF146" s="12">
        <v>0.4636153846153846</v>
      </c>
      <c r="AG146" s="12">
        <v>0.46299999999999997</v>
      </c>
    </row>
    <row r="147" spans="1:33" ht="15" hidden="1" thickBot="1" x14ac:dyDescent="0.4">
      <c r="A147" s="151"/>
      <c r="B147" s="58" t="s">
        <v>17</v>
      </c>
      <c r="C147" s="48"/>
      <c r="D147" s="83" t="e">
        <f t="shared" ref="D147" si="181">D142*T147</f>
        <v>#REF!</v>
      </c>
      <c r="E147" s="83" t="e">
        <f t="shared" ref="E147" si="182">E142*U147</f>
        <v>#REF!</v>
      </c>
      <c r="F147" s="83" t="e">
        <f t="shared" ref="F147" si="183">F142*V147</f>
        <v>#REF!</v>
      </c>
      <c r="G147" s="83" t="e">
        <f t="shared" ref="G147" si="184">G142*W147</f>
        <v>#REF!</v>
      </c>
      <c r="H147" s="83" t="e">
        <f t="shared" ref="H147" si="185">H142*X147</f>
        <v>#REF!</v>
      </c>
      <c r="I147" s="83" t="e">
        <f t="shared" ref="I147" si="186">I142*Y147</f>
        <v>#REF!</v>
      </c>
      <c r="J147" s="83" t="e">
        <f t="shared" ref="J147" si="187">J142*Z147</f>
        <v>#REF!</v>
      </c>
      <c r="K147" s="83" t="e">
        <f t="shared" ref="K147" si="188">K142*AA147</f>
        <v>#REF!</v>
      </c>
      <c r="L147" s="83" t="e">
        <f t="shared" ref="L147" si="189">L142*AB147</f>
        <v>#REF!</v>
      </c>
      <c r="M147" s="83" t="e">
        <f t="shared" ref="M147" si="190">M142*AC147</f>
        <v>#REF!</v>
      </c>
      <c r="N147" s="83" t="e">
        <f t="shared" ref="N147" si="191">N142*AD147</f>
        <v>#REF!</v>
      </c>
      <c r="O147" s="83" t="e">
        <f t="shared" ref="O147" si="192">O142*AE147</f>
        <v>#REF!</v>
      </c>
      <c r="P147" s="83" t="e">
        <f t="shared" ref="P147" si="193">P142*AF147</f>
        <v>#REF!</v>
      </c>
      <c r="Q147" s="83" t="e">
        <f t="shared" ref="Q147" si="194">Q142*AG147</f>
        <v>#REF!</v>
      </c>
      <c r="R147" s="70" t="e">
        <f>RATE(12,,-E147,Q147)</f>
        <v>#REF!</v>
      </c>
      <c r="S147" s="58"/>
      <c r="T147" s="12">
        <f>1-T146</f>
        <v>0.52900000000000014</v>
      </c>
      <c r="U147" s="12">
        <f t="shared" ref="U147:AG147" si="195">1-U146</f>
        <v>0.5296153846153846</v>
      </c>
      <c r="V147" s="12">
        <f t="shared" si="195"/>
        <v>0.53023076923076928</v>
      </c>
      <c r="W147" s="12">
        <f t="shared" si="195"/>
        <v>0.53084615384615397</v>
      </c>
      <c r="X147" s="12">
        <f t="shared" si="195"/>
        <v>0.53146153846153843</v>
      </c>
      <c r="Y147" s="12">
        <f t="shared" si="195"/>
        <v>0.53207692307692311</v>
      </c>
      <c r="Z147" s="12">
        <f t="shared" si="195"/>
        <v>0.5326923076923078</v>
      </c>
      <c r="AA147" s="12">
        <f t="shared" si="195"/>
        <v>0.53330769230769237</v>
      </c>
      <c r="AB147" s="12">
        <f t="shared" si="195"/>
        <v>0.53392307692307694</v>
      </c>
      <c r="AC147" s="12">
        <f t="shared" si="195"/>
        <v>0.53453846153846163</v>
      </c>
      <c r="AD147" s="12">
        <f t="shared" si="195"/>
        <v>0.5351538461538462</v>
      </c>
      <c r="AE147" s="12">
        <f t="shared" si="195"/>
        <v>0.53576923076923078</v>
      </c>
      <c r="AF147" s="12">
        <f t="shared" si="195"/>
        <v>0.53638461538461546</v>
      </c>
      <c r="AG147" s="12">
        <f t="shared" si="195"/>
        <v>0.53700000000000003</v>
      </c>
    </row>
    <row r="148" spans="1:33" ht="15" hidden="1" thickBot="1" x14ac:dyDescent="0.4">
      <c r="A148" s="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21"/>
    </row>
    <row r="149" spans="1:33" ht="15" hidden="1" thickBot="1" x14ac:dyDescent="0.4">
      <c r="A149" s="150" t="s">
        <v>18</v>
      </c>
      <c r="B149" s="54" t="s">
        <v>19</v>
      </c>
      <c r="C149" s="49"/>
      <c r="D149" s="84" t="e">
        <f t="shared" ref="D149" si="196">D142*T149</f>
        <v>#REF!</v>
      </c>
      <c r="E149" s="84" t="e">
        <f t="shared" ref="E149" si="197">E142*U149</f>
        <v>#REF!</v>
      </c>
      <c r="F149" s="84" t="e">
        <f t="shared" ref="F149" si="198">F142*V149</f>
        <v>#REF!</v>
      </c>
      <c r="G149" s="84" t="e">
        <f t="shared" ref="G149" si="199">G142*W149</f>
        <v>#REF!</v>
      </c>
      <c r="H149" s="84" t="e">
        <f t="shared" ref="H149" si="200">H142*X149</f>
        <v>#REF!</v>
      </c>
      <c r="I149" s="84" t="e">
        <f t="shared" ref="I149" si="201">I142*Y149</f>
        <v>#REF!</v>
      </c>
      <c r="J149" s="84" t="e">
        <f t="shared" ref="J149" si="202">J142*Z149</f>
        <v>#REF!</v>
      </c>
      <c r="K149" s="84" t="e">
        <f t="shared" ref="K149" si="203">K142*AA149</f>
        <v>#REF!</v>
      </c>
      <c r="L149" s="84" t="e">
        <f t="shared" ref="L149" si="204">L142*AB149</f>
        <v>#REF!</v>
      </c>
      <c r="M149" s="84" t="e">
        <f t="shared" ref="M149" si="205">M142*AC149</f>
        <v>#REF!</v>
      </c>
      <c r="N149" s="84" t="e">
        <f t="shared" ref="N149" si="206">N142*AD149</f>
        <v>#REF!</v>
      </c>
      <c r="O149" s="84" t="e">
        <f t="shared" ref="O149" si="207">O142*AE149</f>
        <v>#REF!</v>
      </c>
      <c r="P149" s="84" t="e">
        <f t="shared" ref="P149" si="208">P142*AF149</f>
        <v>#REF!</v>
      </c>
      <c r="Q149" s="84" t="e">
        <f t="shared" ref="Q149" si="209">Q142*AG149</f>
        <v>#REF!</v>
      </c>
      <c r="R149" s="71" t="e">
        <f>RATE(12,,-E149,Q149)</f>
        <v>#REF!</v>
      </c>
      <c r="S149" s="54"/>
      <c r="T149" s="12">
        <v>0.40099999999999997</v>
      </c>
      <c r="U149" s="12">
        <v>0.40265090533119946</v>
      </c>
      <c r="V149" s="12">
        <v>0.40430860739160734</v>
      </c>
      <c r="W149" s="12">
        <v>0.40597313416316017</v>
      </c>
      <c r="X149" s="12">
        <v>0.40764451374299493</v>
      </c>
      <c r="Y149" s="12">
        <v>0.40932277434392395</v>
      </c>
      <c r="Z149" s="12">
        <v>0.41100794429491083</v>
      </c>
      <c r="AA149" s="12">
        <v>0.4127000520415488</v>
      </c>
      <c r="AB149" s="12">
        <v>0.41439912614654062</v>
      </c>
      <c r="AC149" s="12">
        <v>0.41610519529018092</v>
      </c>
      <c r="AD149" s="12">
        <v>0.41781828827084017</v>
      </c>
      <c r="AE149" s="12">
        <v>0.4195384340054511</v>
      </c>
      <c r="AF149" s="12">
        <v>0.4212656615299965</v>
      </c>
      <c r="AG149" s="12">
        <v>0.42299999999999938</v>
      </c>
    </row>
    <row r="150" spans="1:33" ht="15" hidden="1" thickBot="1" x14ac:dyDescent="0.4">
      <c r="A150" s="151"/>
      <c r="B150" s="56" t="s">
        <v>20</v>
      </c>
      <c r="C150" s="44"/>
      <c r="D150" s="85" t="e">
        <f t="shared" ref="D150" si="210">D142*T150</f>
        <v>#REF!</v>
      </c>
      <c r="E150" s="85" t="e">
        <f t="shared" ref="E150" si="211">E142*U150</f>
        <v>#REF!</v>
      </c>
      <c r="F150" s="85" t="e">
        <f t="shared" ref="F150" si="212">F142*V150</f>
        <v>#REF!</v>
      </c>
      <c r="G150" s="85" t="e">
        <f t="shared" ref="G150" si="213">G142*W150</f>
        <v>#REF!</v>
      </c>
      <c r="H150" s="85" t="e">
        <f t="shared" ref="H150" si="214">H142*X150</f>
        <v>#REF!</v>
      </c>
      <c r="I150" s="85" t="e">
        <f t="shared" ref="I150" si="215">I142*Y150</f>
        <v>#REF!</v>
      </c>
      <c r="J150" s="85" t="e">
        <f t="shared" ref="J150" si="216">J142*Z150</f>
        <v>#REF!</v>
      </c>
      <c r="K150" s="85" t="e">
        <f t="shared" ref="K150" si="217">K142*AA150</f>
        <v>#REF!</v>
      </c>
      <c r="L150" s="85" t="e">
        <f t="shared" ref="L150" si="218">L142*AB150</f>
        <v>#REF!</v>
      </c>
      <c r="M150" s="85" t="e">
        <f t="shared" ref="M150" si="219">M142*AC150</f>
        <v>#REF!</v>
      </c>
      <c r="N150" s="85" t="e">
        <f t="shared" ref="N150" si="220">N142*AD150</f>
        <v>#REF!</v>
      </c>
      <c r="O150" s="85" t="e">
        <f t="shared" ref="O150" si="221">O142*AE150</f>
        <v>#REF!</v>
      </c>
      <c r="P150" s="85" t="e">
        <f t="shared" ref="P150" si="222">P142*AF150</f>
        <v>#REF!</v>
      </c>
      <c r="Q150" s="85" t="e">
        <f t="shared" ref="Q150" si="223">Q142*AG150</f>
        <v>#REF!</v>
      </c>
      <c r="R150" s="72" t="e">
        <f>RATE(12,,-E150,Q150)</f>
        <v>#REF!</v>
      </c>
      <c r="S150" s="56"/>
      <c r="T150" s="12">
        <f>1-T149</f>
        <v>0.59899999999999998</v>
      </c>
      <c r="U150" s="12">
        <f t="shared" ref="U150:AG150" si="224">1-U149</f>
        <v>0.59734909466880048</v>
      </c>
      <c r="V150" s="12">
        <f t="shared" si="224"/>
        <v>0.59569139260839266</v>
      </c>
      <c r="W150" s="12">
        <f t="shared" si="224"/>
        <v>0.59402686583683983</v>
      </c>
      <c r="X150" s="12">
        <f t="shared" si="224"/>
        <v>0.59235548625700507</v>
      </c>
      <c r="Y150" s="12">
        <f t="shared" si="224"/>
        <v>0.59067722565607605</v>
      </c>
      <c r="Z150" s="12">
        <f t="shared" si="224"/>
        <v>0.58899205570508917</v>
      </c>
      <c r="AA150" s="12">
        <f t="shared" si="224"/>
        <v>0.5872999479584512</v>
      </c>
      <c r="AB150" s="12">
        <f t="shared" si="224"/>
        <v>0.58560087385345938</v>
      </c>
      <c r="AC150" s="12">
        <f t="shared" si="224"/>
        <v>0.58389480470981914</v>
      </c>
      <c r="AD150" s="12">
        <f t="shared" si="224"/>
        <v>0.58218171172915989</v>
      </c>
      <c r="AE150" s="12">
        <f t="shared" si="224"/>
        <v>0.5804615659945489</v>
      </c>
      <c r="AF150" s="12">
        <f t="shared" si="224"/>
        <v>0.57873433847000344</v>
      </c>
      <c r="AG150" s="12">
        <f t="shared" si="224"/>
        <v>0.57700000000000062</v>
      </c>
    </row>
    <row r="151" spans="1:33" ht="15" hidden="1" thickBot="1" x14ac:dyDescent="0.4">
      <c r="A151" s="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21"/>
    </row>
    <row r="152" spans="1:33" ht="15" hidden="1" thickBot="1" x14ac:dyDescent="0.4">
      <c r="A152" s="150" t="s">
        <v>14</v>
      </c>
      <c r="B152" s="59" t="s">
        <v>21</v>
      </c>
      <c r="C152" s="50"/>
      <c r="D152" s="86" t="e">
        <f t="shared" ref="D152" si="225">D142*T152</f>
        <v>#REF!</v>
      </c>
      <c r="E152" s="86" t="e">
        <f t="shared" ref="E152" si="226">E142*U152</f>
        <v>#REF!</v>
      </c>
      <c r="F152" s="86" t="e">
        <f t="shared" ref="F152" si="227">F142*V152</f>
        <v>#REF!</v>
      </c>
      <c r="G152" s="86" t="e">
        <f t="shared" ref="G152" si="228">G142*W152</f>
        <v>#REF!</v>
      </c>
      <c r="H152" s="86" t="e">
        <f t="shared" ref="H152" si="229">H142*X152</f>
        <v>#REF!</v>
      </c>
      <c r="I152" s="86" t="e">
        <f t="shared" ref="I152" si="230">I142*Y152</f>
        <v>#REF!</v>
      </c>
      <c r="J152" s="86" t="e">
        <f t="shared" ref="J152" si="231">J142*Z152</f>
        <v>#REF!</v>
      </c>
      <c r="K152" s="86" t="e">
        <f t="shared" ref="K152" si="232">K142*AA152</f>
        <v>#REF!</v>
      </c>
      <c r="L152" s="86" t="e">
        <f t="shared" ref="L152" si="233">L142*AB152</f>
        <v>#REF!</v>
      </c>
      <c r="M152" s="86" t="e">
        <f t="shared" ref="M152" si="234">M142*AC152</f>
        <v>#REF!</v>
      </c>
      <c r="N152" s="86" t="e">
        <f t="shared" ref="N152" si="235">N142*AD152</f>
        <v>#REF!</v>
      </c>
      <c r="O152" s="86" t="e">
        <f t="shared" ref="O152" si="236">O142*AE152</f>
        <v>#REF!</v>
      </c>
      <c r="P152" s="86" t="e">
        <f t="shared" ref="P152" si="237">P142*AF152</f>
        <v>#REF!</v>
      </c>
      <c r="Q152" s="86" t="e">
        <f t="shared" ref="Q152" si="238">Q142*AG152</f>
        <v>#REF!</v>
      </c>
      <c r="R152" s="73" t="e">
        <f t="shared" ref="R152:R157" si="239">RATE(12,,-E152,Q152)</f>
        <v>#REF!</v>
      </c>
      <c r="S152" s="59"/>
      <c r="T152" s="12">
        <v>0.25</v>
      </c>
      <c r="U152" s="12">
        <v>0.25155593539307364</v>
      </c>
      <c r="V152" s="12">
        <v>0.25312155452593693</v>
      </c>
      <c r="W152" s="12">
        <v>0.25469691766768382</v>
      </c>
      <c r="X152" s="12">
        <v>0.25628208546250747</v>
      </c>
      <c r="Y152" s="12">
        <v>0.2578771189320348</v>
      </c>
      <c r="Z152" s="12">
        <v>0.25948207947767565</v>
      </c>
      <c r="AA152" s="12">
        <v>0.2610970288829863</v>
      </c>
      <c r="AB152" s="12">
        <v>0.26272202931604799</v>
      </c>
      <c r="AC152" s="12">
        <v>0.26435714333185978</v>
      </c>
      <c r="AD152" s="12">
        <v>0.26600243387474731</v>
      </c>
      <c r="AE152" s="12">
        <v>0.26765796428078514</v>
      </c>
      <c r="AF152" s="12">
        <v>0.26932379828023517</v>
      </c>
      <c r="AG152" s="12">
        <v>0.27100000000000013</v>
      </c>
    </row>
    <row r="153" spans="1:33" ht="15" hidden="1" thickBot="1" x14ac:dyDescent="0.4">
      <c r="A153" s="155"/>
      <c r="B153" s="60" t="s">
        <v>22</v>
      </c>
      <c r="C153" s="41"/>
      <c r="D153" s="87" t="e">
        <f t="shared" ref="D153" si="240">D142*T153</f>
        <v>#REF!</v>
      </c>
      <c r="E153" s="87" t="e">
        <f t="shared" ref="E153" si="241">E142*U153</f>
        <v>#REF!</v>
      </c>
      <c r="F153" s="87" t="e">
        <f t="shared" ref="F153" si="242">F142*V153</f>
        <v>#REF!</v>
      </c>
      <c r="G153" s="87" t="e">
        <f t="shared" ref="G153" si="243">G142*W153</f>
        <v>#REF!</v>
      </c>
      <c r="H153" s="87" t="e">
        <f t="shared" ref="H153" si="244">H142*X153</f>
        <v>#REF!</v>
      </c>
      <c r="I153" s="87" t="e">
        <f t="shared" ref="I153" si="245">I142*Y153</f>
        <v>#REF!</v>
      </c>
      <c r="J153" s="87" t="e">
        <f t="shared" ref="J153" si="246">J142*Z153</f>
        <v>#REF!</v>
      </c>
      <c r="K153" s="87" t="e">
        <f t="shared" ref="K153" si="247">K142*AA153</f>
        <v>#REF!</v>
      </c>
      <c r="L153" s="87" t="e">
        <f t="shared" ref="L153" si="248">L142*AB153</f>
        <v>#REF!</v>
      </c>
      <c r="M153" s="87" t="e">
        <f t="shared" ref="M153" si="249">M142*AC153</f>
        <v>#REF!</v>
      </c>
      <c r="N153" s="87" t="e">
        <f t="shared" ref="N153" si="250">N142*AD153</f>
        <v>#REF!</v>
      </c>
      <c r="O153" s="87" t="e">
        <f t="shared" ref="O153" si="251">O142*AE153</f>
        <v>#REF!</v>
      </c>
      <c r="P153" s="87" t="e">
        <f t="shared" ref="P153" si="252">P142*AF153</f>
        <v>#REF!</v>
      </c>
      <c r="Q153" s="87" t="e">
        <f t="shared" ref="Q153" si="253">Q142*AG153</f>
        <v>#REF!</v>
      </c>
      <c r="R153" s="74" t="e">
        <f t="shared" si="239"/>
        <v>#REF!</v>
      </c>
      <c r="S153" s="60"/>
      <c r="T153" s="12">
        <v>0.38</v>
      </c>
      <c r="U153" s="12">
        <v>0.38090988938047371</v>
      </c>
      <c r="V153" s="12">
        <v>0.38182195744169661</v>
      </c>
      <c r="W153" s="12">
        <v>0.38273620940040159</v>
      </c>
      <c r="X153" s="12">
        <v>0.38365265048581265</v>
      </c>
      <c r="Y153" s="12">
        <v>0.38457128593967477</v>
      </c>
      <c r="Z153" s="12">
        <v>0.38549212101628438</v>
      </c>
      <c r="AA153" s="12">
        <v>0.38641516098251855</v>
      </c>
      <c r="AB153" s="12">
        <v>0.38734041111786593</v>
      </c>
      <c r="AC153" s="12">
        <v>0.38826787671445667</v>
      </c>
      <c r="AD153" s="12">
        <v>0.38919756307709236</v>
      </c>
      <c r="AE153" s="12">
        <v>0.39012947552327681</v>
      </c>
      <c r="AF153" s="12">
        <v>0.3910636193832463</v>
      </c>
      <c r="AG153" s="12">
        <v>0.39200000000000002</v>
      </c>
    </row>
    <row r="154" spans="1:33" ht="15" hidden="1" thickBot="1" x14ac:dyDescent="0.4">
      <c r="A154" s="155"/>
      <c r="B154" s="61" t="s">
        <v>23</v>
      </c>
      <c r="C154" s="41"/>
      <c r="D154" s="88" t="e">
        <f t="shared" ref="D154" si="254">D153*T154</f>
        <v>#REF!</v>
      </c>
      <c r="E154" s="88" t="e">
        <f t="shared" ref="E154" si="255">E153*U154</f>
        <v>#REF!</v>
      </c>
      <c r="F154" s="88" t="e">
        <f t="shared" ref="F154" si="256">F153*V154</f>
        <v>#REF!</v>
      </c>
      <c r="G154" s="88" t="e">
        <f t="shared" ref="G154" si="257">G153*W154</f>
        <v>#REF!</v>
      </c>
      <c r="H154" s="88" t="e">
        <f t="shared" ref="H154" si="258">H153*X154</f>
        <v>#REF!</v>
      </c>
      <c r="I154" s="88" t="e">
        <f t="shared" ref="I154" si="259">I153*Y154</f>
        <v>#REF!</v>
      </c>
      <c r="J154" s="88" t="e">
        <f t="shared" ref="J154" si="260">J153*Z154</f>
        <v>#REF!</v>
      </c>
      <c r="K154" s="88" t="e">
        <f t="shared" ref="K154" si="261">K153*AA154</f>
        <v>#REF!</v>
      </c>
      <c r="L154" s="88" t="e">
        <f t="shared" ref="L154" si="262">L153*AB154</f>
        <v>#REF!</v>
      </c>
      <c r="M154" s="88" t="e">
        <f t="shared" ref="M154" si="263">M153*AC154</f>
        <v>#REF!</v>
      </c>
      <c r="N154" s="88" t="e">
        <f t="shared" ref="N154" si="264">N153*AD154</f>
        <v>#REF!</v>
      </c>
      <c r="O154" s="88" t="e">
        <f t="shared" ref="O154" si="265">O153*AE154</f>
        <v>#REF!</v>
      </c>
      <c r="P154" s="88" t="e">
        <f t="shared" ref="P154" si="266">P153*AF154</f>
        <v>#REF!</v>
      </c>
      <c r="Q154" s="88" t="e">
        <f t="shared" ref="Q154" si="267">Q153*AG154</f>
        <v>#REF!</v>
      </c>
      <c r="R154" s="74" t="e">
        <f t="shared" si="239"/>
        <v>#REF!</v>
      </c>
      <c r="S154" s="61"/>
      <c r="T154" s="67">
        <v>0.34999999999999987</v>
      </c>
      <c r="U154" s="67">
        <v>0.34938588387166564</v>
      </c>
      <c r="V154" s="67">
        <v>0.34877284528224306</v>
      </c>
      <c r="W154" s="67">
        <v>0.34816088234106346</v>
      </c>
      <c r="X154" s="67">
        <v>0.34754999316077562</v>
      </c>
      <c r="Y154" s="67">
        <v>0.34694017585733994</v>
      </c>
      <c r="Z154" s="67">
        <v>0.34633142855002247</v>
      </c>
      <c r="AA154" s="67">
        <v>0.34572374936138933</v>
      </c>
      <c r="AB154" s="67">
        <v>0.34511713641730069</v>
      </c>
      <c r="AC154" s="67">
        <v>0.34451158784690528</v>
      </c>
      <c r="AD154" s="67">
        <v>0.34390710178263434</v>
      </c>
      <c r="AE154" s="67">
        <v>0.34330367636019604</v>
      </c>
      <c r="AF154" s="67">
        <v>0.34270130971856966</v>
      </c>
      <c r="AG154" s="67">
        <v>0.34209999999999979</v>
      </c>
    </row>
    <row r="155" spans="1:33" ht="15" hidden="1" thickBot="1" x14ac:dyDescent="0.4">
      <c r="A155" s="155"/>
      <c r="B155" s="61" t="s">
        <v>24</v>
      </c>
      <c r="C155" s="41"/>
      <c r="D155" s="88" t="e">
        <f t="shared" ref="D155" si="268">D153*T155</f>
        <v>#REF!</v>
      </c>
      <c r="E155" s="88" t="e">
        <f t="shared" ref="E155" si="269">E153*U155</f>
        <v>#REF!</v>
      </c>
      <c r="F155" s="88" t="e">
        <f t="shared" ref="F155" si="270">F153*V155</f>
        <v>#REF!</v>
      </c>
      <c r="G155" s="88" t="e">
        <f t="shared" ref="G155" si="271">G153*W155</f>
        <v>#REF!</v>
      </c>
      <c r="H155" s="88" t="e">
        <f t="shared" ref="H155" si="272">H153*X155</f>
        <v>#REF!</v>
      </c>
      <c r="I155" s="88" t="e">
        <f t="shared" ref="I155" si="273">I153*Y155</f>
        <v>#REF!</v>
      </c>
      <c r="J155" s="88" t="e">
        <f t="shared" ref="J155" si="274">J153*Z155</f>
        <v>#REF!</v>
      </c>
      <c r="K155" s="88" t="e">
        <f t="shared" ref="K155" si="275">K153*AA155</f>
        <v>#REF!</v>
      </c>
      <c r="L155" s="88" t="e">
        <f t="shared" ref="L155" si="276">L153*AB155</f>
        <v>#REF!</v>
      </c>
      <c r="M155" s="88" t="e">
        <f t="shared" ref="M155" si="277">M153*AC155</f>
        <v>#REF!</v>
      </c>
      <c r="N155" s="88" t="e">
        <f t="shared" ref="N155" si="278">N153*AD155</f>
        <v>#REF!</v>
      </c>
      <c r="O155" s="88" t="e">
        <f t="shared" ref="O155" si="279">O153*AE155</f>
        <v>#REF!</v>
      </c>
      <c r="P155" s="88" t="e">
        <f t="shared" ref="P155" si="280">P153*AF155</f>
        <v>#REF!</v>
      </c>
      <c r="Q155" s="88" t="e">
        <f t="shared" ref="Q155" si="281">Q153*AG155</f>
        <v>#REF!</v>
      </c>
      <c r="R155" s="74" t="e">
        <f t="shared" si="239"/>
        <v>#REF!</v>
      </c>
      <c r="S155" s="61"/>
      <c r="T155" s="67">
        <v>0.28000000000000003</v>
      </c>
      <c r="U155" s="67">
        <v>0.28097918830490543</v>
      </c>
      <c r="V155" s="67">
        <v>0.28196180093029821</v>
      </c>
      <c r="W155" s="67">
        <v>0.28294784985137333</v>
      </c>
      <c r="X155" s="67">
        <v>0.28393734708520407</v>
      </c>
      <c r="Y155" s="67">
        <v>0.28493030469088876</v>
      </c>
      <c r="Z155" s="67">
        <v>0.28592673476969749</v>
      </c>
      <c r="AA155" s="67">
        <v>0.28692664946521995</v>
      </c>
      <c r="AB155" s="67">
        <v>0.28793006096351298</v>
      </c>
      <c r="AC155" s="67">
        <v>0.28893698149324931</v>
      </c>
      <c r="AD155" s="67">
        <v>0.28994742332586665</v>
      </c>
      <c r="AE155" s="67">
        <v>0.29096139877571725</v>
      </c>
      <c r="AF155" s="67">
        <v>0.29197892020021765</v>
      </c>
      <c r="AG155" s="67">
        <v>0.29299999999999965</v>
      </c>
    </row>
    <row r="156" spans="1:33" ht="15" hidden="1" thickBot="1" x14ac:dyDescent="0.4">
      <c r="A156" s="155"/>
      <c r="B156" s="61" t="s">
        <v>25</v>
      </c>
      <c r="C156" s="41"/>
      <c r="D156" s="88" t="e">
        <f t="shared" ref="D156" si="282">D153*T156</f>
        <v>#REF!</v>
      </c>
      <c r="E156" s="88" t="e">
        <f t="shared" ref="E156" si="283">E153*U156</f>
        <v>#REF!</v>
      </c>
      <c r="F156" s="88" t="e">
        <f t="shared" ref="F156" si="284">F153*V156</f>
        <v>#REF!</v>
      </c>
      <c r="G156" s="88" t="e">
        <f t="shared" ref="G156" si="285">G153*W156</f>
        <v>#REF!</v>
      </c>
      <c r="H156" s="88" t="e">
        <f t="shared" ref="H156" si="286">H153*X156</f>
        <v>#REF!</v>
      </c>
      <c r="I156" s="88" t="e">
        <f t="shared" ref="I156" si="287">I153*Y156</f>
        <v>#REF!</v>
      </c>
      <c r="J156" s="88" t="e">
        <f t="shared" ref="J156" si="288">J153*Z156</f>
        <v>#REF!</v>
      </c>
      <c r="K156" s="88" t="e">
        <f t="shared" ref="K156" si="289">K153*AA156</f>
        <v>#REF!</v>
      </c>
      <c r="L156" s="88" t="e">
        <f t="shared" ref="L156" si="290">L153*AB156</f>
        <v>#REF!</v>
      </c>
      <c r="M156" s="88" t="e">
        <f t="shared" ref="M156" si="291">M153*AC156</f>
        <v>#REF!</v>
      </c>
      <c r="N156" s="88" t="e">
        <f t="shared" ref="N156" si="292">N153*AD156</f>
        <v>#REF!</v>
      </c>
      <c r="O156" s="88" t="e">
        <f t="shared" ref="O156" si="293">O153*AE156</f>
        <v>#REF!</v>
      </c>
      <c r="P156" s="88" t="e">
        <f t="shared" ref="P156" si="294">P153*AF156</f>
        <v>#REF!</v>
      </c>
      <c r="Q156" s="88" t="e">
        <f t="shared" ref="Q156" si="295">Q153*AG156</f>
        <v>#REF!</v>
      </c>
      <c r="R156" s="74" t="e">
        <f t="shared" si="239"/>
        <v>#REF!</v>
      </c>
      <c r="S156" s="61"/>
      <c r="T156" s="67">
        <f>1-SUM(T154:T155)</f>
        <v>0.37000000000000011</v>
      </c>
      <c r="U156" s="67">
        <f t="shared" ref="U156:AG156" si="296">1-SUM(U154:U155)</f>
        <v>0.36963492782342899</v>
      </c>
      <c r="V156" s="67">
        <f t="shared" si="296"/>
        <v>0.36926535378745873</v>
      </c>
      <c r="W156" s="67">
        <f t="shared" si="296"/>
        <v>0.36889126780756321</v>
      </c>
      <c r="X156" s="67">
        <f t="shared" si="296"/>
        <v>0.36851265975402026</v>
      </c>
      <c r="Y156" s="67">
        <f t="shared" si="296"/>
        <v>0.3681295194517713</v>
      </c>
      <c r="Z156" s="67">
        <f t="shared" si="296"/>
        <v>0.36774183668028004</v>
      </c>
      <c r="AA156" s="67">
        <f t="shared" si="296"/>
        <v>0.36734960117339077</v>
      </c>
      <c r="AB156" s="67">
        <f t="shared" si="296"/>
        <v>0.36695280261918639</v>
      </c>
      <c r="AC156" s="67">
        <f t="shared" si="296"/>
        <v>0.36655143065984541</v>
      </c>
      <c r="AD156" s="67">
        <f t="shared" si="296"/>
        <v>0.36614547489149896</v>
      </c>
      <c r="AE156" s="67">
        <f t="shared" si="296"/>
        <v>0.36573492486408665</v>
      </c>
      <c r="AF156" s="67">
        <f t="shared" si="296"/>
        <v>0.36531977008121275</v>
      </c>
      <c r="AG156" s="67">
        <f t="shared" si="296"/>
        <v>0.36490000000000056</v>
      </c>
    </row>
    <row r="157" spans="1:33" ht="15" hidden="1" thickBot="1" x14ac:dyDescent="0.4">
      <c r="A157" s="151"/>
      <c r="B157" s="62" t="s">
        <v>26</v>
      </c>
      <c r="C157" s="51"/>
      <c r="D157" s="89" t="e">
        <f t="shared" ref="D157" si="297">D142*T157</f>
        <v>#REF!</v>
      </c>
      <c r="E157" s="89" t="e">
        <f t="shared" ref="E157" si="298">E142*U157</f>
        <v>#REF!</v>
      </c>
      <c r="F157" s="89" t="e">
        <f t="shared" ref="F157" si="299">F142*V157</f>
        <v>#REF!</v>
      </c>
      <c r="G157" s="89" t="e">
        <f t="shared" ref="G157" si="300">G142*W157</f>
        <v>#REF!</v>
      </c>
      <c r="H157" s="89" t="e">
        <f t="shared" ref="H157" si="301">H142*X157</f>
        <v>#REF!</v>
      </c>
      <c r="I157" s="89" t="e">
        <f t="shared" ref="I157" si="302">I142*Y157</f>
        <v>#REF!</v>
      </c>
      <c r="J157" s="89" t="e">
        <f t="shared" ref="J157" si="303">J142*Z157</f>
        <v>#REF!</v>
      </c>
      <c r="K157" s="89" t="e">
        <f t="shared" ref="K157" si="304">K142*AA157</f>
        <v>#REF!</v>
      </c>
      <c r="L157" s="89" t="e">
        <f t="shared" ref="L157" si="305">L142*AB157</f>
        <v>#REF!</v>
      </c>
      <c r="M157" s="89" t="e">
        <f t="shared" ref="M157" si="306">M142*AC157</f>
        <v>#REF!</v>
      </c>
      <c r="N157" s="89" t="e">
        <f t="shared" ref="N157" si="307">N142*AD157</f>
        <v>#REF!</v>
      </c>
      <c r="O157" s="89" t="e">
        <f t="shared" ref="O157" si="308">O142*AE157</f>
        <v>#REF!</v>
      </c>
      <c r="P157" s="89" t="e">
        <f t="shared" ref="P157" si="309">P142*AF157</f>
        <v>#REF!</v>
      </c>
      <c r="Q157" s="89" t="e">
        <f t="shared" ref="Q157" si="310">Q142*AG157</f>
        <v>#REF!</v>
      </c>
      <c r="R157" s="75" t="e">
        <f t="shared" si="239"/>
        <v>#REF!</v>
      </c>
      <c r="S157" s="62"/>
      <c r="T157" s="12">
        <f>1-SUM(T152+T153)</f>
        <v>0.37</v>
      </c>
      <c r="U157" s="12">
        <f t="shared" ref="U157:AG157" si="311">1-SUM(U152+U153)</f>
        <v>0.36753417522645271</v>
      </c>
      <c r="V157" s="12">
        <f t="shared" si="311"/>
        <v>0.36505648803236646</v>
      </c>
      <c r="W157" s="12">
        <f t="shared" si="311"/>
        <v>0.36256687293191459</v>
      </c>
      <c r="X157" s="12">
        <f t="shared" si="311"/>
        <v>0.36006526405167993</v>
      </c>
      <c r="Y157" s="12">
        <f t="shared" si="311"/>
        <v>0.35755159512829038</v>
      </c>
      <c r="Z157" s="12">
        <f t="shared" si="311"/>
        <v>0.35502579950603996</v>
      </c>
      <c r="AA157" s="12">
        <f t="shared" si="311"/>
        <v>0.35248781013449515</v>
      </c>
      <c r="AB157" s="12">
        <f t="shared" si="311"/>
        <v>0.34993755956608608</v>
      </c>
      <c r="AC157" s="12">
        <f t="shared" si="311"/>
        <v>0.3473749799536836</v>
      </c>
      <c r="AD157" s="12">
        <f t="shared" si="311"/>
        <v>0.34480000304816039</v>
      </c>
      <c r="AE157" s="12">
        <f t="shared" si="311"/>
        <v>0.34221256019593804</v>
      </c>
      <c r="AF157" s="12">
        <f t="shared" si="311"/>
        <v>0.33961258233651859</v>
      </c>
      <c r="AG157" s="12">
        <f t="shared" si="311"/>
        <v>0.33699999999999986</v>
      </c>
    </row>
    <row r="158" spans="1:33" ht="15" hidden="1" thickBot="1" x14ac:dyDescent="0.4">
      <c r="A158" s="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21"/>
    </row>
    <row r="159" spans="1:33" ht="15" hidden="1" thickBot="1" x14ac:dyDescent="0.4">
      <c r="A159" s="152" t="s">
        <v>27</v>
      </c>
      <c r="B159" s="54" t="s">
        <v>28</v>
      </c>
      <c r="C159" s="49"/>
      <c r="D159" s="84" t="e">
        <f t="shared" ref="D159" si="312">D142*T159</f>
        <v>#REF!</v>
      </c>
      <c r="E159" s="84" t="e">
        <f t="shared" ref="E159" si="313">E142*U159</f>
        <v>#REF!</v>
      </c>
      <c r="F159" s="84" t="e">
        <f t="shared" ref="F159" si="314">F142*V159</f>
        <v>#REF!</v>
      </c>
      <c r="G159" s="84" t="e">
        <f t="shared" ref="G159" si="315">G142*W159</f>
        <v>#REF!</v>
      </c>
      <c r="H159" s="84" t="e">
        <f t="shared" ref="H159" si="316">H142*X159</f>
        <v>#REF!</v>
      </c>
      <c r="I159" s="84" t="e">
        <f t="shared" ref="I159" si="317">I142*Y159</f>
        <v>#REF!</v>
      </c>
      <c r="J159" s="84" t="e">
        <f t="shared" ref="J159" si="318">J142*Z159</f>
        <v>#REF!</v>
      </c>
      <c r="K159" s="84" t="e">
        <f t="shared" ref="K159" si="319">K142*AA159</f>
        <v>#REF!</v>
      </c>
      <c r="L159" s="84" t="e">
        <f t="shared" ref="L159" si="320">L142*AB159</f>
        <v>#REF!</v>
      </c>
      <c r="M159" s="84" t="e">
        <f t="shared" ref="M159" si="321">M142*AC159</f>
        <v>#REF!</v>
      </c>
      <c r="N159" s="84" t="e">
        <f t="shared" ref="N159" si="322">N142*AD159</f>
        <v>#REF!</v>
      </c>
      <c r="O159" s="84" t="e">
        <f t="shared" ref="O159" si="323">O142*AE159</f>
        <v>#REF!</v>
      </c>
      <c r="P159" s="84" t="e">
        <f t="shared" ref="P159" si="324">P142*AF159</f>
        <v>#REF!</v>
      </c>
      <c r="Q159" s="84" t="e">
        <f t="shared" ref="Q159" si="325">Q142*AG159</f>
        <v>#REF!</v>
      </c>
      <c r="R159" s="71" t="e">
        <f>RATE(12,,-E159,Q159)</f>
        <v>#REF!</v>
      </c>
      <c r="S159" s="54"/>
      <c r="T159" s="12">
        <v>0.40099999999999997</v>
      </c>
      <c r="U159" s="12">
        <v>0.40265090533119946</v>
      </c>
      <c r="V159" s="12">
        <v>0.40430860739160734</v>
      </c>
      <c r="W159" s="12">
        <v>0.40597313416316017</v>
      </c>
      <c r="X159" s="12">
        <v>0.40764451374299493</v>
      </c>
      <c r="Y159" s="12">
        <v>0.40932277434392395</v>
      </c>
      <c r="Z159" s="12">
        <v>0.41100794429491083</v>
      </c>
      <c r="AA159" s="12">
        <v>0.4127000520415488</v>
      </c>
      <c r="AB159" s="12">
        <v>0.41439912614654062</v>
      </c>
      <c r="AC159" s="12">
        <v>0.41610519529018092</v>
      </c>
      <c r="AD159" s="12">
        <v>0.41781828827084017</v>
      </c>
      <c r="AE159" s="12">
        <v>0.4195384340054511</v>
      </c>
      <c r="AF159" s="12">
        <v>0.4212656615299965</v>
      </c>
      <c r="AG159" s="12">
        <v>0.42299999999999938</v>
      </c>
    </row>
    <row r="160" spans="1:33" ht="15" hidden="1" thickBot="1" x14ac:dyDescent="0.4">
      <c r="A160" s="154"/>
      <c r="B160" s="55" t="s">
        <v>29</v>
      </c>
      <c r="C160" s="40"/>
      <c r="D160" s="90" t="e">
        <f t="shared" ref="D160" si="326">D142*T160</f>
        <v>#REF!</v>
      </c>
      <c r="E160" s="90" t="e">
        <f t="shared" ref="E160" si="327">E142*U160</f>
        <v>#REF!</v>
      </c>
      <c r="F160" s="90" t="e">
        <f t="shared" ref="F160" si="328">F142*V160</f>
        <v>#REF!</v>
      </c>
      <c r="G160" s="90" t="e">
        <f t="shared" ref="G160" si="329">G142*W160</f>
        <v>#REF!</v>
      </c>
      <c r="H160" s="90" t="e">
        <f t="shared" ref="H160" si="330">H142*X160</f>
        <v>#REF!</v>
      </c>
      <c r="I160" s="90" t="e">
        <f t="shared" ref="I160" si="331">I142*Y160</f>
        <v>#REF!</v>
      </c>
      <c r="J160" s="90" t="e">
        <f t="shared" ref="J160" si="332">J142*Z160</f>
        <v>#REF!</v>
      </c>
      <c r="K160" s="90" t="e">
        <f t="shared" ref="K160" si="333">K142*AA160</f>
        <v>#REF!</v>
      </c>
      <c r="L160" s="90" t="e">
        <f t="shared" ref="L160" si="334">L142*AB160</f>
        <v>#REF!</v>
      </c>
      <c r="M160" s="90" t="e">
        <f t="shared" ref="M160" si="335">M142*AC160</f>
        <v>#REF!</v>
      </c>
      <c r="N160" s="90" t="e">
        <f t="shared" ref="N160" si="336">N142*AD160</f>
        <v>#REF!</v>
      </c>
      <c r="O160" s="90" t="e">
        <f t="shared" ref="O160" si="337">O142*AE160</f>
        <v>#REF!</v>
      </c>
      <c r="P160" s="90" t="e">
        <f t="shared" ref="P160" si="338">P142*AF160</f>
        <v>#REF!</v>
      </c>
      <c r="Q160" s="90" t="e">
        <f t="shared" ref="Q160" si="339">Q142*AG160</f>
        <v>#REF!</v>
      </c>
      <c r="R160" s="76" t="e">
        <f>RATE(12,,-E160,Q160)</f>
        <v>#REF!</v>
      </c>
      <c r="S160" s="55"/>
      <c r="T160" s="12">
        <v>0.43099999999999999</v>
      </c>
      <c r="U160" s="12">
        <v>0.43183634674261745</v>
      </c>
      <c r="V160" s="12">
        <v>0.43267431639909548</v>
      </c>
      <c r="W160" s="12">
        <v>0.43351391211866536</v>
      </c>
      <c r="X160" s="12">
        <v>0.43435513705666956</v>
      </c>
      <c r="Y160" s="12">
        <v>0.43519799437457324</v>
      </c>
      <c r="Z160" s="12">
        <v>0.43604248723997657</v>
      </c>
      <c r="AA160" s="12">
        <v>0.43688861882662616</v>
      </c>
      <c r="AB160" s="12">
        <v>0.43773639231442729</v>
      </c>
      <c r="AC160" s="12">
        <v>0.43858581088945586</v>
      </c>
      <c r="AD160" s="12">
        <v>0.43943687774397006</v>
      </c>
      <c r="AE160" s="12">
        <v>0.44028959607642287</v>
      </c>
      <c r="AF160" s="12">
        <v>0.44114396909147369</v>
      </c>
      <c r="AG160" s="12">
        <v>0.44200000000000028</v>
      </c>
    </row>
    <row r="161" spans="1:33" ht="15" hidden="1" thickBot="1" x14ac:dyDescent="0.4">
      <c r="A161" s="153"/>
      <c r="B161" s="56" t="s">
        <v>30</v>
      </c>
      <c r="C161" s="44"/>
      <c r="D161" s="85" t="e">
        <f t="shared" ref="D161" si="340">D142*T161</f>
        <v>#REF!</v>
      </c>
      <c r="E161" s="85" t="e">
        <f t="shared" ref="E161" si="341">E142*U161</f>
        <v>#REF!</v>
      </c>
      <c r="F161" s="85" t="e">
        <f t="shared" ref="F161" si="342">F142*V161</f>
        <v>#REF!</v>
      </c>
      <c r="G161" s="85" t="e">
        <f t="shared" ref="G161" si="343">G142*W161</f>
        <v>#REF!</v>
      </c>
      <c r="H161" s="85" t="e">
        <f t="shared" ref="H161" si="344">H142*X161</f>
        <v>#REF!</v>
      </c>
      <c r="I161" s="85" t="e">
        <f t="shared" ref="I161" si="345">I142*Y161</f>
        <v>#REF!</v>
      </c>
      <c r="J161" s="85" t="e">
        <f t="shared" ref="J161" si="346">J142*Z161</f>
        <v>#REF!</v>
      </c>
      <c r="K161" s="85" t="e">
        <f t="shared" ref="K161" si="347">K142*AA161</f>
        <v>#REF!</v>
      </c>
      <c r="L161" s="85" t="e">
        <f t="shared" ref="L161" si="348">L142*AB161</f>
        <v>#REF!</v>
      </c>
      <c r="M161" s="85" t="e">
        <f t="shared" ref="M161" si="349">M142*AC161</f>
        <v>#REF!</v>
      </c>
      <c r="N161" s="85" t="e">
        <f t="shared" ref="N161" si="350">N142*AD161</f>
        <v>#REF!</v>
      </c>
      <c r="O161" s="85" t="e">
        <f t="shared" ref="O161" si="351">O142*AE161</f>
        <v>#REF!</v>
      </c>
      <c r="P161" s="85" t="e">
        <f t="shared" ref="P161" si="352">P142*AF161</f>
        <v>#REF!</v>
      </c>
      <c r="Q161" s="85" t="e">
        <f t="shared" ref="Q161" si="353">Q142*AG161</f>
        <v>#REF!</v>
      </c>
      <c r="R161" s="72" t="e">
        <f>RATE(12,,-E161,Q161)</f>
        <v>#REF!</v>
      </c>
      <c r="S161" s="56"/>
      <c r="T161" s="12">
        <f>1-SUM(T159:T160)</f>
        <v>0.16800000000000004</v>
      </c>
      <c r="U161" s="12">
        <f t="shared" ref="U161:AG161" si="354">1-SUM(U159:U160)</f>
        <v>0.16551274792618309</v>
      </c>
      <c r="V161" s="12">
        <f t="shared" si="354"/>
        <v>0.16301707620929717</v>
      </c>
      <c r="W161" s="12">
        <f t="shared" si="354"/>
        <v>0.16051295371817442</v>
      </c>
      <c r="X161" s="12">
        <f t="shared" si="354"/>
        <v>0.15800034920033545</v>
      </c>
      <c r="Y161" s="12">
        <f t="shared" si="354"/>
        <v>0.15547923128150276</v>
      </c>
      <c r="Z161" s="12">
        <f t="shared" si="354"/>
        <v>0.15294956846511254</v>
      </c>
      <c r="AA161" s="12">
        <f t="shared" si="354"/>
        <v>0.15041132913182498</v>
      </c>
      <c r="AB161" s="12">
        <f t="shared" si="354"/>
        <v>0.14786448153903209</v>
      </c>
      <c r="AC161" s="12">
        <f t="shared" si="354"/>
        <v>0.14530899382036322</v>
      </c>
      <c r="AD161" s="12">
        <f t="shared" si="354"/>
        <v>0.14274483398518978</v>
      </c>
      <c r="AE161" s="12">
        <f t="shared" si="354"/>
        <v>0.14017196991812608</v>
      </c>
      <c r="AF161" s="12">
        <f t="shared" si="354"/>
        <v>0.13759036937852986</v>
      </c>
      <c r="AG161" s="12">
        <f t="shared" si="354"/>
        <v>0.13500000000000034</v>
      </c>
    </row>
    <row r="162" spans="1:33" ht="15.5" x14ac:dyDescent="0.35">
      <c r="A162" s="42"/>
      <c r="B162" s="43"/>
      <c r="C162" s="93"/>
      <c r="D162" s="91">
        <v>2023</v>
      </c>
      <c r="E162" s="65">
        <v>2024</v>
      </c>
      <c r="F162" s="65">
        <v>2025</v>
      </c>
      <c r="G162" s="65">
        <v>2026</v>
      </c>
      <c r="H162" s="65">
        <v>2027</v>
      </c>
      <c r="I162" s="65">
        <v>2028</v>
      </c>
      <c r="J162" s="65">
        <v>2029</v>
      </c>
      <c r="K162" s="65">
        <v>2030</v>
      </c>
      <c r="L162" s="65">
        <v>2031</v>
      </c>
      <c r="M162" s="65">
        <v>2032</v>
      </c>
      <c r="N162" s="65">
        <v>2033</v>
      </c>
      <c r="O162" s="65">
        <v>2034</v>
      </c>
      <c r="P162" s="65">
        <v>2035</v>
      </c>
      <c r="Q162" s="65">
        <v>2036</v>
      </c>
      <c r="R162" s="66" t="s">
        <v>84</v>
      </c>
    </row>
    <row r="163" spans="1:33" ht="16" thickBot="1" x14ac:dyDescent="0.4">
      <c r="A163" s="1"/>
      <c r="C163" s="21"/>
      <c r="D163" s="92">
        <f>'Market Analysis '!C51</f>
        <v>163.82730000000001</v>
      </c>
      <c r="E163" s="92">
        <f>'Market Analysis '!D51</f>
        <v>188.72904960000002</v>
      </c>
      <c r="F163" s="92">
        <f>'Market Analysis '!E51</f>
        <v>217.62726668424528</v>
      </c>
      <c r="G163" s="92">
        <f>'Market Analysis '!F51</f>
        <v>251.19595039819731</v>
      </c>
      <c r="H163" s="92">
        <f>'Market Analysis '!G51</f>
        <v>290.22808894900589</v>
      </c>
      <c r="I163" s="92">
        <f>'Market Analysis '!H51</f>
        <v>335.65757916915874</v>
      </c>
      <c r="J163" s="92">
        <f>'Market Analysis '!I51</f>
        <v>388.58534811924562</v>
      </c>
      <c r="K163" s="92">
        <f>'Market Analysis '!J51</f>
        <v>450.31051307007596</v>
      </c>
      <c r="L163" s="92">
        <f>'Market Analysis '!K51</f>
        <v>522.36758867810158</v>
      </c>
      <c r="M163" s="92">
        <f>'Market Analysis '!L51</f>
        <v>606.57095942996204</v>
      </c>
      <c r="N163" s="92">
        <f>'Market Analysis '!M51</f>
        <v>705.06808958511363</v>
      </c>
      <c r="O163" s="92">
        <f>'Market Analysis '!N51</f>
        <v>820.40325183360721</v>
      </c>
      <c r="P163" s="92">
        <f>'Market Analysis '!O51</f>
        <v>955.5939319239111</v>
      </c>
      <c r="Q163" s="92">
        <f>'Market Analysis '!P51</f>
        <v>1114.2225246232804</v>
      </c>
      <c r="R163" s="68">
        <f>RATE(12,,-E163,Q163)</f>
        <v>0.15947422404511036</v>
      </c>
      <c r="T163" s="65">
        <v>2023</v>
      </c>
      <c r="U163" s="65">
        <v>2024</v>
      </c>
      <c r="V163" s="65">
        <v>2025</v>
      </c>
      <c r="W163" s="65">
        <v>2026</v>
      </c>
      <c r="X163" s="65">
        <v>2027</v>
      </c>
      <c r="Y163" s="65">
        <v>2028</v>
      </c>
      <c r="Z163" s="65">
        <v>2029</v>
      </c>
      <c r="AA163" s="65">
        <v>2030</v>
      </c>
      <c r="AB163" s="65">
        <v>2031</v>
      </c>
      <c r="AC163" s="65">
        <v>2032</v>
      </c>
      <c r="AD163" s="65">
        <v>2033</v>
      </c>
      <c r="AE163" s="65">
        <v>2034</v>
      </c>
      <c r="AF163" s="65">
        <v>2035</v>
      </c>
      <c r="AG163" s="65">
        <v>2036</v>
      </c>
    </row>
    <row r="164" spans="1:33" s="121" customFormat="1" x14ac:dyDescent="0.35">
      <c r="A164" s="147" t="s">
        <v>59</v>
      </c>
      <c r="B164" s="118" t="s">
        <v>60</v>
      </c>
      <c r="C164" s="119"/>
      <c r="D164" s="120">
        <f>D163*T164</f>
        <v>57.33955499999999</v>
      </c>
      <c r="E164" s="120">
        <f t="shared" ref="E164" si="355">E163*U164</f>
        <v>66.737159221410096</v>
      </c>
      <c r="F164" s="120">
        <f>F163*V164</f>
        <v>77.750499871899507</v>
      </c>
      <c r="G164" s="120">
        <f t="shared" ref="G164" si="356">G163*W164</f>
        <v>90.669962284975995</v>
      </c>
      <c r="H164" s="120">
        <f t="shared" ref="H164" si="357">H163*X164</f>
        <v>105.84032445287545</v>
      </c>
      <c r="I164" s="120">
        <f t="shared" ref="I164" si="358">I163*Y164</f>
        <v>123.67134879964019</v>
      </c>
      <c r="J164" s="120">
        <f t="shared" ref="J164" si="359">J163*Z164</f>
        <v>144.65051344433397</v>
      </c>
      <c r="K164" s="120">
        <f t="shared" ref="K164" si="360">K163*AA164</f>
        <v>169.35833039445333</v>
      </c>
      <c r="L164" s="120">
        <f t="shared" ref="L164" si="361">L163*AB164</f>
        <v>198.48679482800759</v>
      </c>
      <c r="M164" s="120">
        <f t="shared" ref="M164" si="362">M163*AC164</f>
        <v>232.86162791761566</v>
      </c>
      <c r="N164" s="120">
        <f t="shared" ref="N164" si="363">N163*AD164</f>
        <v>273.46912048221901</v>
      </c>
      <c r="O164" s="120">
        <f t="shared" ref="O164" si="364">O163*AE164</f>
        <v>321.48856225671705</v>
      </c>
      <c r="P164" s="120">
        <f t="shared" ref="P164" si="365">P163*AF164</f>
        <v>378.33145934197404</v>
      </c>
      <c r="Q164" s="120">
        <f t="shared" ref="Q164" si="366">Q163*AG164</f>
        <v>445.6890098493123</v>
      </c>
      <c r="R164" s="68">
        <f>RATE(9,,-H164,Q164)</f>
        <v>0.17320968716130655</v>
      </c>
      <c r="S164" s="118" t="s">
        <v>60</v>
      </c>
      <c r="T164" s="116">
        <v>0.34999999999999992</v>
      </c>
      <c r="U164" s="116">
        <v>0.35361360300841621</v>
      </c>
      <c r="V164" s="116">
        <v>0.35726451495026795</v>
      </c>
      <c r="W164" s="116">
        <v>0.36095312102462412</v>
      </c>
      <c r="X164" s="116">
        <v>0.36467981040757214</v>
      </c>
      <c r="Y164" s="116">
        <v>0.36844497629327921</v>
      </c>
      <c r="Z164" s="116">
        <v>0.37224901593547705</v>
      </c>
      <c r="AA164" s="116">
        <v>0.37609233068937542</v>
      </c>
      <c r="AB164" s="116">
        <v>0.37997532605400802</v>
      </c>
      <c r="AC164" s="116">
        <v>0.38389841171501571</v>
      </c>
      <c r="AD164" s="116">
        <v>0.38786200158787171</v>
      </c>
      <c r="AE164" s="116">
        <v>0.39186651386155258</v>
      </c>
      <c r="AF164" s="116">
        <v>0.39591237104266019</v>
      </c>
      <c r="AG164" s="116">
        <v>0.40000000000000013</v>
      </c>
    </row>
    <row r="165" spans="1:33" s="117" customFormat="1" x14ac:dyDescent="0.35">
      <c r="A165" s="148"/>
      <c r="B165" s="113" t="s">
        <v>61</v>
      </c>
      <c r="C165" s="114"/>
      <c r="D165" s="115">
        <f>D163*T165</f>
        <v>49.148190000000007</v>
      </c>
      <c r="E165" s="115">
        <f t="shared" ref="E165" si="367">E163*U165</f>
        <v>56.647661159146047</v>
      </c>
      <c r="F165" s="115">
        <f t="shared" ref="F165" si="368">F163*V165</f>
        <v>65.354954144517251</v>
      </c>
      <c r="G165" s="115">
        <f t="shared" ref="G165" si="369">G163*W165</f>
        <v>75.474425602036149</v>
      </c>
      <c r="H165" s="115">
        <f t="shared" ref="H165" si="370">H163*X165</f>
        <v>87.24661797043639</v>
      </c>
      <c r="I165" s="115">
        <f t="shared" ref="I165" si="371">I163*Y165</f>
        <v>100.95494414437826</v>
      </c>
      <c r="J165" s="115">
        <f t="shared" ref="J165" si="372">J163*Z165</f>
        <v>116.93365698501574</v>
      </c>
      <c r="K165" s="115">
        <f t="shared" ref="K165" si="373">K163*AA165</f>
        <v>135.57736004099863</v>
      </c>
      <c r="L165" s="115">
        <f t="shared" ref="L165" si="374">L163*AB165</f>
        <v>157.35236883618151</v>
      </c>
      <c r="M165" s="115">
        <f t="shared" ref="M165" si="375">M163*AC165</f>
        <v>182.81029640236599</v>
      </c>
      <c r="N165" s="115">
        <f t="shared" ref="N165" si="376">N163*AD165</f>
        <v>212.60431488692302</v>
      </c>
      <c r="O165" s="115">
        <f t="shared" ref="O165" si="377">O163*AE165</f>
        <v>247.50864011599333</v>
      </c>
      <c r="P165" s="115">
        <f t="shared" ref="P165" si="378">P163*AF165</f>
        <v>288.44190171661916</v>
      </c>
      <c r="Q165" s="115">
        <f t="shared" ref="Q165" si="379">Q163*AG165</f>
        <v>336.49520243623101</v>
      </c>
      <c r="R165" s="68">
        <f>RATE(9,,-H165,Q165)</f>
        <v>0.16181424565735186</v>
      </c>
      <c r="S165" s="113" t="s">
        <v>61</v>
      </c>
      <c r="T165" s="116">
        <v>0.30000000000000004</v>
      </c>
      <c r="U165" s="116">
        <v>0.30015337479422161</v>
      </c>
      <c r="V165" s="116">
        <v>0.30030682800120145</v>
      </c>
      <c r="W165" s="116">
        <v>0.30046035966102813</v>
      </c>
      <c r="X165" s="116">
        <v>0.30061396981381056</v>
      </c>
      <c r="Y165" s="116">
        <v>0.30076765849967829</v>
      </c>
      <c r="Z165" s="116">
        <v>0.30092142575878128</v>
      </c>
      <c r="AA165" s="116">
        <v>0.30107527163128989</v>
      </c>
      <c r="AB165" s="116">
        <v>0.30122919615739541</v>
      </c>
      <c r="AC165" s="116">
        <v>0.30138319937730923</v>
      </c>
      <c r="AD165" s="116">
        <v>0.30153728133126367</v>
      </c>
      <c r="AE165" s="116">
        <v>0.30169144205951126</v>
      </c>
      <c r="AF165" s="116">
        <v>0.3018456816023255</v>
      </c>
      <c r="AG165" s="116">
        <v>0.30200000000000032</v>
      </c>
    </row>
    <row r="166" spans="1:33" s="117" customFormat="1" x14ac:dyDescent="0.35">
      <c r="A166" s="148"/>
      <c r="B166" s="113" t="s">
        <v>62</v>
      </c>
      <c r="C166" s="114"/>
      <c r="D166" s="115">
        <f>D163*T166</f>
        <v>24.574095</v>
      </c>
      <c r="E166" s="115">
        <f t="shared" ref="E166" si="380">E163*U166</f>
        <v>28.352513351239125</v>
      </c>
      <c r="F166" s="115">
        <f t="shared" ref="F166" si="381">F163*V166</f>
        <v>32.743693764956753</v>
      </c>
      <c r="G166" s="115">
        <f t="shared" ref="G166" si="382">G163*W166</f>
        <v>37.851975281679088</v>
      </c>
      <c r="H166" s="115">
        <f t="shared" ref="H166" si="383">H163*X166</f>
        <v>43.800282129011215</v>
      </c>
      <c r="I166" s="115">
        <f t="shared" ref="I166" si="384">I163*Y166</f>
        <v>50.73357605084982</v>
      </c>
      <c r="J166" s="115">
        <f t="shared" ref="J166" si="385">J163*Z166</f>
        <v>58.822975666354935</v>
      </c>
      <c r="K166" s="115">
        <f t="shared" ref="K166" si="386">K163*AA166</f>
        <v>68.270676606282535</v>
      </c>
      <c r="L166" s="115">
        <f t="shared" ref="L166" si="387">L163*AB166</f>
        <v>79.315833950932358</v>
      </c>
      <c r="M166" s="115">
        <f t="shared" ref="M166" si="388">M163*AC166</f>
        <v>92.241602235114669</v>
      </c>
      <c r="N166" s="115">
        <f t="shared" ref="N166" si="389">N163*AD166</f>
        <v>107.38356931338853</v>
      </c>
      <c r="O166" s="115">
        <f t="shared" ref="O166" si="390">O163*AE166</f>
        <v>125.13987031774846</v>
      </c>
      <c r="P166" s="115">
        <f t="shared" ref="P166" si="391">P163*AF166</f>
        <v>145.98332878758501</v>
      </c>
      <c r="Q166" s="115">
        <f t="shared" ref="Q166" si="392">Q163*AG166</f>
        <v>170.47604626736165</v>
      </c>
      <c r="R166" s="68">
        <f>RATE(9,,-H166,Q166)</f>
        <v>0.16299078329525296</v>
      </c>
      <c r="S166" s="113" t="s">
        <v>62</v>
      </c>
      <c r="T166" s="116">
        <v>0.15</v>
      </c>
      <c r="U166" s="116">
        <v>0.15022866597023929</v>
      </c>
      <c r="V166" s="116">
        <v>0.15045768052798492</v>
      </c>
      <c r="W166" s="116">
        <v>0.15068704420463749</v>
      </c>
      <c r="X166" s="116">
        <v>0.15091675753240782</v>
      </c>
      <c r="Y166" s="116">
        <v>0.15114682104431795</v>
      </c>
      <c r="Z166" s="116">
        <v>0.15137723527420252</v>
      </c>
      <c r="AA166" s="116">
        <v>0.15160800075670999</v>
      </c>
      <c r="AB166" s="116">
        <v>0.15183911802730382</v>
      </c>
      <c r="AC166" s="116">
        <v>0.1520705876222638</v>
      </c>
      <c r="AD166" s="116">
        <v>0.15230241007868719</v>
      </c>
      <c r="AE166" s="116">
        <v>0.15253458593449007</v>
      </c>
      <c r="AF166" s="116">
        <v>0.15276711572840845</v>
      </c>
      <c r="AG166" s="116">
        <v>0.15299999999999978</v>
      </c>
    </row>
    <row r="167" spans="1:33" s="117" customFormat="1" x14ac:dyDescent="0.35">
      <c r="A167" s="148"/>
      <c r="B167" s="113" t="s">
        <v>63</v>
      </c>
      <c r="C167" s="114"/>
      <c r="D167" s="115">
        <f>D163*T167</f>
        <v>19.659276000000006</v>
      </c>
      <c r="E167" s="115">
        <f t="shared" ref="E167" si="393">E163*U167</f>
        <v>22.676300199921037</v>
      </c>
      <c r="F167" s="115">
        <f t="shared" ref="F167" si="394">F163*V167</f>
        <v>26.181766854461674</v>
      </c>
      <c r="G167" s="115">
        <f t="shared" ref="G167" si="395">G163*W167</f>
        <v>30.258714678541985</v>
      </c>
      <c r="H167" s="115">
        <f t="shared" ref="H167" si="396">H163*X167</f>
        <v>35.004951759316825</v>
      </c>
      <c r="I167" s="115">
        <f t="shared" ref="I167" si="397">I163*Y167</f>
        <v>40.535795300040839</v>
      </c>
      <c r="J167" s="115">
        <f t="shared" ref="J167" si="398">J163*Z167</f>
        <v>46.987340029510527</v>
      </c>
      <c r="K167" s="115">
        <f t="shared" ref="K167" si="399">K163*AA167</f>
        <v>54.520361151398085</v>
      </c>
      <c r="L167" s="115">
        <f t="shared" ref="L167" si="400">L163*AB167</f>
        <v>63.324979670214681</v>
      </c>
      <c r="M167" s="115">
        <f t="shared" ref="M167" si="401">M163*AC167</f>
        <v>73.626244603854971</v>
      </c>
      <c r="N167" s="115">
        <f t="shared" ref="N167" si="402">N163*AD167</f>
        <v>85.690819019857528</v>
      </c>
      <c r="O167" s="115">
        <f t="shared" ref="O167" si="403">O163*AE167</f>
        <v>99.834996295012601</v>
      </c>
      <c r="P167" s="115">
        <f t="shared" ref="P167" si="404">P163*AF167</f>
        <v>116.43432107125237</v>
      </c>
      <c r="Q167" s="115">
        <f t="shared" ref="Q167" si="405">Q163*AG167</f>
        <v>135.93514800404003</v>
      </c>
      <c r="R167" s="68">
        <f>RATE(9,,-H167,Q167)</f>
        <v>0.1626979857586385</v>
      </c>
      <c r="S167" s="113" t="s">
        <v>63</v>
      </c>
      <c r="T167" s="116">
        <v>0.12000000000000002</v>
      </c>
      <c r="U167" s="116">
        <v>0.12015267521339246</v>
      </c>
      <c r="V167" s="116">
        <v>0.12030554467445809</v>
      </c>
      <c r="W167" s="116">
        <v>0.12045860863033696</v>
      </c>
      <c r="X167" s="116">
        <v>0.12061186732848356</v>
      </c>
      <c r="Y167" s="116">
        <v>0.12076532101666719</v>
      </c>
      <c r="Z167" s="116">
        <v>0.1209189699429724</v>
      </c>
      <c r="AA167" s="116">
        <v>0.12107281435579939</v>
      </c>
      <c r="AB167" s="116">
        <v>0.12122685450386435</v>
      </c>
      <c r="AC167" s="116">
        <v>0.12138109063619994</v>
      </c>
      <c r="AD167" s="116">
        <v>0.12153552300215566</v>
      </c>
      <c r="AE167" s="116">
        <v>0.12169015185139827</v>
      </c>
      <c r="AF167" s="116">
        <v>0.12184497743391219</v>
      </c>
      <c r="AG167" s="116">
        <v>0.12199999999999984</v>
      </c>
    </row>
    <row r="168" spans="1:33" s="117" customFormat="1" x14ac:dyDescent="0.35">
      <c r="A168" s="148"/>
      <c r="B168" s="113" t="s">
        <v>64</v>
      </c>
      <c r="C168" s="114"/>
      <c r="D168" s="115">
        <f>D163*T168</f>
        <v>13.106184000000013</v>
      </c>
      <c r="E168" s="115">
        <f t="shared" ref="E168" si="406">E163*U168</f>
        <v>14.315415668283707</v>
      </c>
      <c r="F168" s="115">
        <f t="shared" ref="F168" si="407">F163*V168</f>
        <v>15.596352048410122</v>
      </c>
      <c r="G168" s="115">
        <f t="shared" ref="G168" si="408">G163*W168</f>
        <v>16.940872550964105</v>
      </c>
      <c r="H168" s="115">
        <f>H163*X168</f>
        <v>18.335912637365983</v>
      </c>
      <c r="I168" s="115">
        <f t="shared" ref="I168" si="409">I163*Y168</f>
        <v>19.761914874249655</v>
      </c>
      <c r="J168" s="115">
        <f t="shared" ref="J168" si="410">J163*Z168</f>
        <v>21.190861994030456</v>
      </c>
      <c r="K168" s="115">
        <f t="shared" ref="K168" si="411">K163*AA168</f>
        <v>22.583784876943369</v>
      </c>
      <c r="L168" s="115">
        <f t="shared" ref="L168" si="412">L163*AB168</f>
        <v>23.887611392765479</v>
      </c>
      <c r="M168" s="115">
        <f t="shared" ref="M168" si="413">M163*AC168</f>
        <v>25.031188271010716</v>
      </c>
      <c r="N168" s="115">
        <f t="shared" ref="N168" si="414">N163*AD168</f>
        <v>25.920265882725598</v>
      </c>
      <c r="O168" s="115">
        <f t="shared" ref="O168" si="415">O163*AE168</f>
        <v>26.431182848135716</v>
      </c>
      <c r="P168" s="115">
        <f t="shared" ref="P168" si="416">P163*AF168</f>
        <v>26.402921006480536</v>
      </c>
      <c r="Q168" s="115">
        <f t="shared" ref="Q168" si="417">Q163*AG168</f>
        <v>25.627118066335349</v>
      </c>
      <c r="R168" s="68">
        <f>RATE(9,,-H168,Q168)</f>
        <v>3.789937096459111E-2</v>
      </c>
      <c r="S168" s="113" t="s">
        <v>64</v>
      </c>
      <c r="T168" s="116">
        <f>1-SUM(T164:T167)</f>
        <v>8.0000000000000071E-2</v>
      </c>
      <c r="U168" s="116">
        <f t="shared" ref="U168:AG168" si="418">1-SUM(U164:U167)</f>
        <v>7.585168101373041E-2</v>
      </c>
      <c r="V168" s="116">
        <f t="shared" si="418"/>
        <v>7.1665431846087646E-2</v>
      </c>
      <c r="W168" s="116">
        <f t="shared" si="418"/>
        <v>6.7440866479373307E-2</v>
      </c>
      <c r="X168" s="116">
        <f t="shared" si="418"/>
        <v>6.3177594917725788E-2</v>
      </c>
      <c r="Y168" s="116">
        <f t="shared" si="418"/>
        <v>5.887522314605742E-2</v>
      </c>
      <c r="Z168" s="116">
        <f t="shared" si="418"/>
        <v>5.4533353088566772E-2</v>
      </c>
      <c r="AA168" s="116">
        <f t="shared" si="418"/>
        <v>5.0151582566825281E-2</v>
      </c>
      <c r="AB168" s="116">
        <f t="shared" si="418"/>
        <v>4.5729505257428471E-2</v>
      </c>
      <c r="AC168" s="116">
        <f t="shared" si="418"/>
        <v>4.126671064921128E-2</v>
      </c>
      <c r="AD168" s="116">
        <f t="shared" si="418"/>
        <v>3.6762784000021864E-2</v>
      </c>
      <c r="AE168" s="116">
        <f t="shared" si="418"/>
        <v>3.2217306293047754E-2</v>
      </c>
      <c r="AF168" s="116">
        <f t="shared" si="418"/>
        <v>2.7629854192693704E-2</v>
      </c>
      <c r="AG168" s="116">
        <f t="shared" si="418"/>
        <v>2.2999999999999909E-2</v>
      </c>
    </row>
    <row r="169" spans="1:33" x14ac:dyDescent="0.35">
      <c r="A169" s="1"/>
      <c r="D169" s="81" t="b">
        <f>D163=SUM(D164:D168)</f>
        <v>1</v>
      </c>
      <c r="E169" s="81" t="b">
        <f t="shared" ref="E169:Q169" si="419">E163=SUM(E164:E168)</f>
        <v>1</v>
      </c>
      <c r="F169" s="81" t="b">
        <f t="shared" si="419"/>
        <v>1</v>
      </c>
      <c r="G169" s="81" t="b">
        <f t="shared" si="419"/>
        <v>1</v>
      </c>
      <c r="H169" s="81" t="b">
        <f t="shared" si="419"/>
        <v>1</v>
      </c>
      <c r="I169" s="81" t="b">
        <f t="shared" si="419"/>
        <v>1</v>
      </c>
      <c r="J169" s="81" t="b">
        <f t="shared" si="419"/>
        <v>1</v>
      </c>
      <c r="K169" s="81" t="b">
        <f t="shared" si="419"/>
        <v>1</v>
      </c>
      <c r="L169" s="81" t="b">
        <f t="shared" si="419"/>
        <v>1</v>
      </c>
      <c r="M169" s="81" t="b">
        <f t="shared" si="419"/>
        <v>1</v>
      </c>
      <c r="N169" s="81" t="b">
        <f t="shared" si="419"/>
        <v>1</v>
      </c>
      <c r="O169" s="81" t="b">
        <f t="shared" si="419"/>
        <v>1</v>
      </c>
      <c r="P169" s="81" t="b">
        <f t="shared" si="419"/>
        <v>1</v>
      </c>
      <c r="Q169" s="81" t="b">
        <f t="shared" si="419"/>
        <v>1</v>
      </c>
      <c r="R169" s="21"/>
    </row>
    <row r="170" spans="1:33" s="117" customFormat="1" x14ac:dyDescent="0.35">
      <c r="A170" s="149" t="s">
        <v>65</v>
      </c>
      <c r="B170" s="122" t="s">
        <v>66</v>
      </c>
      <c r="C170" s="123"/>
      <c r="D170" s="124">
        <f>D163*T170</f>
        <v>114.67911000000002</v>
      </c>
      <c r="E170" s="124">
        <f t="shared" ref="E170" si="420">E163*U170</f>
        <v>132.18268460459967</v>
      </c>
      <c r="F170" s="124">
        <f t="shared" ref="F170" si="421">F163*V170</f>
        <v>152.50598858519447</v>
      </c>
      <c r="G170" s="124">
        <f t="shared" ref="G170" si="422">G163*W170</f>
        <v>176.12621382990491</v>
      </c>
      <c r="H170" s="124">
        <f t="shared" ref="H170" si="423">H163*X170</f>
        <v>203.60506744832551</v>
      </c>
      <c r="I170" s="124">
        <f t="shared" ref="I170" si="424">I163*Y170</f>
        <v>235.60438752295531</v>
      </c>
      <c r="J170" s="124">
        <f t="shared" ref="J170" si="425">J163*Z170</f>
        <v>272.90476089934657</v>
      </c>
      <c r="K170" s="124">
        <f t="shared" ref="K170" si="426">K163*AA170</f>
        <v>316.42774211167171</v>
      </c>
      <c r="L170" s="124">
        <f t="shared" ref="L170" si="427">L163*AB170</f>
        <v>367.2623964016459</v>
      </c>
      <c r="M170" s="124">
        <f t="shared" ref="M170" si="428">M163*AC170</f>
        <v>426.69704013296894</v>
      </c>
      <c r="N170" s="124">
        <f t="shared" ref="N170" si="429">N163*AD170</f>
        <v>496.25723457733562</v>
      </c>
      <c r="O170" s="124">
        <f t="shared" ref="O170" si="430">O163*AE170</f>
        <v>577.75131122930293</v>
      </c>
      <c r="P170" s="124">
        <f t="shared" ref="P170" si="431">P163*AF170</f>
        <v>673.32497731647391</v>
      </c>
      <c r="Q170" s="124">
        <f t="shared" ref="Q170" si="432">Q163*AG170</f>
        <v>785.52687985941407</v>
      </c>
      <c r="R170" s="68">
        <f>RATE(9,,-H170,Q170)</f>
        <v>0.16185651189233366</v>
      </c>
      <c r="S170" s="122" t="s">
        <v>66</v>
      </c>
      <c r="T170" s="116">
        <v>0.70000000000000007</v>
      </c>
      <c r="U170" s="116">
        <v>0.70038335319736411</v>
      </c>
      <c r="V170" s="116">
        <v>0.70076691633711929</v>
      </c>
      <c r="W170" s="116">
        <v>0.70115068953424042</v>
      </c>
      <c r="X170" s="116">
        <v>0.70153467290376448</v>
      </c>
      <c r="Y170" s="116">
        <v>0.70191886656079228</v>
      </c>
      <c r="Z170" s="116">
        <v>0.70230327062048659</v>
      </c>
      <c r="AA170" s="116">
        <v>0.70268788519807479</v>
      </c>
      <c r="AB170" s="116">
        <v>0.70307271040884567</v>
      </c>
      <c r="AC170" s="116">
        <v>0.70345774636815217</v>
      </c>
      <c r="AD170" s="116">
        <v>0.70384299319141008</v>
      </c>
      <c r="AE170" s="116">
        <v>0.70422845099409903</v>
      </c>
      <c r="AF170" s="116">
        <v>0.70461411989176093</v>
      </c>
      <c r="AG170" s="116">
        <v>0.70500000000000129</v>
      </c>
    </row>
    <row r="171" spans="1:33" s="117" customFormat="1" x14ac:dyDescent="0.35">
      <c r="A171" s="149"/>
      <c r="B171" s="122" t="s">
        <v>67</v>
      </c>
      <c r="C171" s="123"/>
      <c r="D171" s="124">
        <f>D163*T171</f>
        <v>32.765460000000004</v>
      </c>
      <c r="E171" s="124">
        <f t="shared" ref="E171" si="433">E163*U171</f>
        <v>37.774712002409444</v>
      </c>
      <c r="F171" s="124">
        <f t="shared" ref="F171" si="434">F163*V171</f>
        <v>43.592134002069855</v>
      </c>
      <c r="G171" s="124">
        <f t="shared" ref="G171" si="435">G163*W171</f>
        <v>50.354683373815682</v>
      </c>
      <c r="H171" s="124">
        <f t="shared" ref="H171" si="436">H163*X171</f>
        <v>58.223604917534907</v>
      </c>
      <c r="I171" s="124">
        <f t="shared" ref="I171" si="437">I163*Y171</f>
        <v>67.388923765914726</v>
      </c>
      <c r="J171" s="124">
        <f t="shared" ref="J171" si="438">J163*Z171</f>
        <v>78.07480299745464</v>
      </c>
      <c r="K171" s="124">
        <f t="shared" ref="K171" si="439">K163*AA171</f>
        <v>90.545938701214311</v>
      </c>
      <c r="L171" s="124">
        <f t="shared" ref="L171" si="440">L163*AB171</f>
        <v>105.11520099047256</v>
      </c>
      <c r="M171" s="124">
        <f t="shared" ref="M171" si="441">M163*AC171</f>
        <v>122.1527728644284</v>
      </c>
      <c r="N171" s="124">
        <f t="shared" ref="N171" si="442">N163*AD171</f>
        <v>142.09709156100456</v>
      </c>
      <c r="O171" s="124">
        <f t="shared" ref="O171" si="443">O163*AE171</f>
        <v>165.46796120566759</v>
      </c>
      <c r="P171" s="124">
        <f t="shared" ref="P171" si="444">P163*AF171</f>
        <v>192.882283692502</v>
      </c>
      <c r="Q171" s="124">
        <f t="shared" ref="Q171" si="445">Q163*AG171</f>
        <v>225.07294997390298</v>
      </c>
      <c r="R171" s="68">
        <f>RATE(9,,-H171,Q171)</f>
        <v>0.16210972258959278</v>
      </c>
      <c r="S171" s="122" t="s">
        <v>67</v>
      </c>
      <c r="T171" s="116">
        <v>0.20000000000000004</v>
      </c>
      <c r="U171" s="116">
        <v>0.2001531406133327</v>
      </c>
      <c r="V171" s="116">
        <v>0.2003063984869026</v>
      </c>
      <c r="W171" s="116">
        <v>0.20045977371049628</v>
      </c>
      <c r="X171" s="116">
        <v>0.20061326637396906</v>
      </c>
      <c r="Y171" s="116">
        <v>0.2007668765672449</v>
      </c>
      <c r="Z171" s="116">
        <v>0.20092060438031684</v>
      </c>
      <c r="AA171" s="116">
        <v>0.20107444990324672</v>
      </c>
      <c r="AB171" s="116">
        <v>0.20122841322616528</v>
      </c>
      <c r="AC171" s="116">
        <v>0.20138249443927231</v>
      </c>
      <c r="AD171" s="116">
        <v>0.20153669363283677</v>
      </c>
      <c r="AE171" s="116">
        <v>0.2016910108971966</v>
      </c>
      <c r="AF171" s="116">
        <v>0.20184544632275897</v>
      </c>
      <c r="AG171" s="116">
        <v>0.20200000000000032</v>
      </c>
    </row>
    <row r="172" spans="1:33" s="117" customFormat="1" x14ac:dyDescent="0.35">
      <c r="A172" s="149"/>
      <c r="B172" s="122" t="s">
        <v>68</v>
      </c>
      <c r="C172" s="123"/>
      <c r="D172" s="124">
        <f>D163*T172</f>
        <v>16.382729999999977</v>
      </c>
      <c r="E172" s="124">
        <f t="shared" ref="E172" si="446">E163*U172</f>
        <v>18.771652992990916</v>
      </c>
      <c r="F172" s="124">
        <f t="shared" ref="F172" si="447">F163*V172</f>
        <v>21.529144096980968</v>
      </c>
      <c r="G172" s="124">
        <f t="shared" ref="G172" si="448">G163*W172</f>
        <v>24.715053194476731</v>
      </c>
      <c r="H172" s="124">
        <f t="shared" ref="H172" si="449">H163*X172</f>
        <v>28.399416583145484</v>
      </c>
      <c r="I172" s="124">
        <f t="shared" ref="I172" si="450">I163*Y172</f>
        <v>32.664267880288712</v>
      </c>
      <c r="J172" s="124">
        <f t="shared" ref="J172" si="451">J163*Z172</f>
        <v>37.605784222444413</v>
      </c>
      <c r="K172" s="124">
        <f t="shared" ref="K172" si="452">K163*AA172</f>
        <v>43.33683225718994</v>
      </c>
      <c r="L172" s="124">
        <f t="shared" ref="L172" si="453">L163*AB172</f>
        <v>49.989991285983116</v>
      </c>
      <c r="M172" s="124">
        <f>M163*AC172</f>
        <v>57.721146432564652</v>
      </c>
      <c r="N172" s="124">
        <f t="shared" ref="N172" si="454">N163*AD172</f>
        <v>66.713763446773427</v>
      </c>
      <c r="O172" s="124">
        <f t="shared" ref="O172" si="455">O163*AE172</f>
        <v>77.183979398636723</v>
      </c>
      <c r="P172" s="124">
        <f t="shared" ref="P172" si="456">P163*AF172</f>
        <v>89.386670914935237</v>
      </c>
      <c r="Q172" s="124">
        <f t="shared" ref="Q172" si="457">Q163*AG172</f>
        <v>103.6226947899633</v>
      </c>
      <c r="R172" s="68">
        <f>RATE(9,,-H172,Q172)</f>
        <v>0.15467724437476227</v>
      </c>
      <c r="S172" s="122" t="s">
        <v>68</v>
      </c>
      <c r="T172" s="116">
        <f>1-SUM(T170:T171)</f>
        <v>9.9999999999999867E-2</v>
      </c>
      <c r="U172" s="116">
        <f t="shared" ref="U172:AG172" si="458">1-SUM(U170:U171)</f>
        <v>9.9463506189303219E-2</v>
      </c>
      <c r="V172" s="116">
        <f t="shared" si="458"/>
        <v>9.8926685175978135E-2</v>
      </c>
      <c r="W172" s="116">
        <f t="shared" si="458"/>
        <v>9.8389536755263296E-2</v>
      </c>
      <c r="X172" s="116">
        <f t="shared" si="458"/>
        <v>9.7852060722266487E-2</v>
      </c>
      <c r="Y172" s="116">
        <f t="shared" si="458"/>
        <v>9.7314256871962823E-2</v>
      </c>
      <c r="Z172" s="116">
        <f t="shared" si="458"/>
        <v>9.6776124999196522E-2</v>
      </c>
      <c r="AA172" s="116">
        <f t="shared" si="458"/>
        <v>9.6237664898678466E-2</v>
      </c>
      <c r="AB172" s="116">
        <f t="shared" si="458"/>
        <v>9.5698876364989083E-2</v>
      </c>
      <c r="AC172" s="116">
        <f t="shared" si="458"/>
        <v>9.5159759192575466E-2</v>
      </c>
      <c r="AD172" s="116">
        <f t="shared" si="458"/>
        <v>9.4620313175753146E-2</v>
      </c>
      <c r="AE172" s="116">
        <f t="shared" si="458"/>
        <v>9.4080538108704426E-2</v>
      </c>
      <c r="AF172" s="116">
        <f t="shared" si="458"/>
        <v>9.3540433785480159E-2</v>
      </c>
      <c r="AG172" s="116">
        <f t="shared" si="458"/>
        <v>9.2999999999998417E-2</v>
      </c>
    </row>
    <row r="173" spans="1:33" x14ac:dyDescent="0.35">
      <c r="A173" s="1"/>
      <c r="D173" s="81" t="b">
        <f>D163=SUM(D170:D172)</f>
        <v>1</v>
      </c>
      <c r="E173" s="81" t="b">
        <f t="shared" ref="E173:Q173" si="459">E163=SUM(E170:E172)</f>
        <v>1</v>
      </c>
      <c r="F173" s="81" t="b">
        <f t="shared" si="459"/>
        <v>1</v>
      </c>
      <c r="G173" s="81" t="b">
        <f t="shared" si="459"/>
        <v>1</v>
      </c>
      <c r="H173" s="81" t="b">
        <f t="shared" si="459"/>
        <v>1</v>
      </c>
      <c r="I173" s="81" t="b">
        <f t="shared" si="459"/>
        <v>1</v>
      </c>
      <c r="J173" s="81" t="b">
        <f t="shared" si="459"/>
        <v>1</v>
      </c>
      <c r="K173" s="81" t="b">
        <f t="shared" si="459"/>
        <v>1</v>
      </c>
      <c r="L173" s="81" t="b">
        <f t="shared" si="459"/>
        <v>1</v>
      </c>
      <c r="M173" s="81" t="b">
        <f t="shared" si="459"/>
        <v>1</v>
      </c>
      <c r="N173" s="81" t="b">
        <f t="shared" si="459"/>
        <v>1</v>
      </c>
      <c r="O173" s="81" t="b">
        <f t="shared" si="459"/>
        <v>1</v>
      </c>
      <c r="P173" s="81" t="b">
        <f t="shared" si="459"/>
        <v>1</v>
      </c>
      <c r="Q173" s="81" t="b">
        <f t="shared" si="459"/>
        <v>1</v>
      </c>
      <c r="R173" s="21"/>
    </row>
    <row r="174" spans="1:33" s="117" customFormat="1" x14ac:dyDescent="0.35">
      <c r="A174" s="149" t="s">
        <v>69</v>
      </c>
      <c r="B174" s="125" t="s">
        <v>70</v>
      </c>
      <c r="C174" s="126"/>
      <c r="D174" s="127">
        <f>D163*T174</f>
        <v>68.807466000000005</v>
      </c>
      <c r="E174" s="127">
        <f t="shared" ref="E174" si="460">E163*U174</f>
        <v>79.280702522078982</v>
      </c>
      <c r="F174" s="127">
        <f t="shared" ref="F174" si="461">F163*V174</f>
        <v>91.43689944826599</v>
      </c>
      <c r="G174" s="127">
        <f t="shared" ref="G174" si="462">G163*W174</f>
        <v>105.56021445338429</v>
      </c>
      <c r="H174" s="127">
        <f t="shared" ref="H174" si="463">H163*X174</f>
        <v>121.98502480803756</v>
      </c>
      <c r="I174" s="127">
        <f t="shared" ref="I174" si="464">I163*Y174</f>
        <v>141.10518786295091</v>
      </c>
      <c r="J174" s="127">
        <f t="shared" ref="J174" si="465">J163*Z174</f>
        <v>163.38507846791316</v>
      </c>
      <c r="K174" s="127">
        <f t="shared" ref="K174" si="466">K163*AA174</f>
        <v>189.37275730743443</v>
      </c>
      <c r="L174" s="127">
        <f t="shared" ref="L174" si="467">L163*AB174</f>
        <v>219.71569719670489</v>
      </c>
      <c r="M174" s="127">
        <f t="shared" ref="M174" si="468">M163*AC174</f>
        <v>255.17958303926989</v>
      </c>
      <c r="N174" s="127">
        <f t="shared" ref="N174" si="469">N163*AD174</f>
        <v>296.6708088399908</v>
      </c>
      <c r="O174" s="127">
        <f t="shared" ref="O174" si="470">O163*AE174</f>
        <v>345.26342611278767</v>
      </c>
      <c r="P174" s="127">
        <f t="shared" ref="P174" si="471">P163*AF174</f>
        <v>402.231457406218</v>
      </c>
      <c r="Q174" s="127">
        <f t="shared" ref="Q174" si="472">Q163*AG174</f>
        <v>469.08768286640083</v>
      </c>
      <c r="R174" s="68">
        <f>RATE(9,,-H174,Q174)</f>
        <v>0.1614330168409881</v>
      </c>
      <c r="S174" s="125" t="s">
        <v>70</v>
      </c>
      <c r="T174" s="116">
        <v>0.42</v>
      </c>
      <c r="U174" s="116">
        <v>0.42007683867486062</v>
      </c>
      <c r="V174" s="116">
        <v>0.4201536914072973</v>
      </c>
      <c r="W174" s="116">
        <v>0.42023055819988187</v>
      </c>
      <c r="X174" s="116">
        <v>0.42030743905518658</v>
      </c>
      <c r="Y174" s="116">
        <v>0.42038433397578434</v>
      </c>
      <c r="Z174" s="116">
        <v>0.42046124296424836</v>
      </c>
      <c r="AA174" s="116">
        <v>0.42053816602315214</v>
      </c>
      <c r="AB174" s="116">
        <v>0.42061510315507006</v>
      </c>
      <c r="AC174" s="116">
        <v>0.42069205436257667</v>
      </c>
      <c r="AD174" s="116">
        <v>0.4207690196482472</v>
      </c>
      <c r="AE174" s="116">
        <v>0.42084599901465702</v>
      </c>
      <c r="AF174" s="116">
        <v>0.42092299246438242</v>
      </c>
      <c r="AG174" s="137">
        <v>0.42099999999999982</v>
      </c>
    </row>
    <row r="175" spans="1:33" s="117" customFormat="1" x14ac:dyDescent="0.35">
      <c r="A175" s="149"/>
      <c r="B175" s="125" t="s">
        <v>71</v>
      </c>
      <c r="C175" s="126"/>
      <c r="D175" s="127">
        <f>D163*T175</f>
        <v>37.680279000000013</v>
      </c>
      <c r="E175" s="127">
        <f t="shared" ref="E175" si="473">E163*U175</f>
        <v>43.436600762466163</v>
      </c>
      <c r="F175" s="127">
        <f t="shared" ref="F175" si="474">F163*V175</f>
        <v>50.120988534071621</v>
      </c>
      <c r="G175" s="127">
        <f t="shared" ref="G175" si="475">G163*W175</f>
        <v>57.890619412833502</v>
      </c>
      <c r="H175" s="127">
        <f t="shared" ref="H175" si="476">H163*X175</f>
        <v>66.930527383177875</v>
      </c>
      <c r="I175" s="127">
        <f t="shared" ref="I175" si="477">I163*Y175</f>
        <v>77.458753731975662</v>
      </c>
      <c r="J175" s="127">
        <f t="shared" ref="J175" si="478">J163*Z175</f>
        <v>89.732488206865682</v>
      </c>
      <c r="K175" s="127">
        <f t="shared" ref="K175" si="479">K163*AA175</f>
        <v>104.05539874668678</v>
      </c>
      <c r="L175" s="127">
        <f t="shared" ref="L175" si="480">L163*AB175</f>
        <v>120.78638853688447</v>
      </c>
      <c r="M175" s="127">
        <f t="shared" ref="M175" si="481">M163*AC175</f>
        <v>140.35006882018604</v>
      </c>
      <c r="N175" s="127">
        <f t="shared" ref="N175" si="482">N163*AD175</f>
        <v>163.24929625833525</v>
      </c>
      <c r="O175" s="127">
        <f t="shared" ref="O175" si="483">O163*AE175</f>
        <v>190.08019706833571</v>
      </c>
      <c r="P175" s="127">
        <f t="shared" ref="P175" si="484">P163*AF175</f>
        <v>221.5501895642293</v>
      </c>
      <c r="Q175" s="127">
        <f t="shared" ref="Q175" si="485">Q163*AG175</f>
        <v>258.49962571260124</v>
      </c>
      <c r="R175" s="68">
        <f>RATE(9,,-H175,Q175)</f>
        <v>0.16199420853604851</v>
      </c>
      <c r="S175" s="125" t="s">
        <v>71</v>
      </c>
      <c r="T175" s="116">
        <v>0.23000000000000007</v>
      </c>
      <c r="U175" s="116">
        <v>0.230153232131076</v>
      </c>
      <c r="V175" s="116">
        <v>0.23030656634948232</v>
      </c>
      <c r="W175" s="116">
        <v>0.23046000272323239</v>
      </c>
      <c r="X175" s="116">
        <v>0.23061354132038475</v>
      </c>
      <c r="Y175" s="116">
        <v>0.23076718220904338</v>
      </c>
      <c r="Z175" s="116">
        <v>0.23092092545735762</v>
      </c>
      <c r="AA175" s="116">
        <v>0.23107477113352223</v>
      </c>
      <c r="AB175" s="116">
        <v>0.23122871930577729</v>
      </c>
      <c r="AC175" s="116">
        <v>0.23138277004240856</v>
      </c>
      <c r="AD175" s="116">
        <v>0.23153692341174703</v>
      </c>
      <c r="AE175" s="116">
        <v>0.23169117948216938</v>
      </c>
      <c r="AF175" s="116">
        <v>0.23184553832209787</v>
      </c>
      <c r="AG175" s="137">
        <v>0.23200000000000018</v>
      </c>
    </row>
    <row r="176" spans="1:33" s="117" customFormat="1" x14ac:dyDescent="0.35">
      <c r="A176" s="149"/>
      <c r="B176" s="125" t="s">
        <v>72</v>
      </c>
      <c r="C176" s="126"/>
      <c r="D176" s="127">
        <f>D163*T176</f>
        <v>32.765459999999997</v>
      </c>
      <c r="E176" s="127">
        <f t="shared" ref="E176" si="486">E163*U176</f>
        <v>37.760294143989874</v>
      </c>
      <c r="F176" s="127">
        <f t="shared" ref="F176" si="487">F163*V176</f>
        <v>43.558863846510746</v>
      </c>
      <c r="G176" s="127">
        <f t="shared" ref="G176" si="488">G163*W176</f>
        <v>50.297047225974502</v>
      </c>
      <c r="H176" s="127">
        <f t="shared" ref="H176" si="489">H163*X176</f>
        <v>58.134764615384597</v>
      </c>
      <c r="I176" s="127">
        <f t="shared" ref="I176" si="490">I163*Y176</f>
        <v>67.260416821778762</v>
      </c>
      <c r="J176" s="127">
        <f t="shared" ref="J176" si="491">J163*Z176</f>
        <v>77.896175895920592</v>
      </c>
      <c r="K176" s="127">
        <f t="shared" ref="K176" si="492">K163*AA176</f>
        <v>90.304298406369654</v>
      </c>
      <c r="L176" s="127">
        <f t="shared" ref="L176" si="493">L163*AB176</f>
        <v>104.7946663311937</v>
      </c>
      <c r="M176" s="127">
        <f t="shared" ref="M176" si="494">M163*AC176</f>
        <v>121.73380330318817</v>
      </c>
      <c r="N176" s="127">
        <f t="shared" ref="N176" si="495">N163*AD176</f>
        <v>141.55566572595671</v>
      </c>
      <c r="O176" s="127">
        <f t="shared" ref="O176" si="496">O163*AE176</f>
        <v>164.77457125059044</v>
      </c>
      <c r="P176" s="127">
        <f t="shared" ref="P176" si="497">P163*AF176</f>
        <v>192.00070376279419</v>
      </c>
      <c r="Q176" s="127">
        <f t="shared" ref="Q176" si="498">Q163*AG176</f>
        <v>223.95872744927905</v>
      </c>
      <c r="R176" s="68">
        <f>RATE(9,,-H176,Q176)</f>
        <v>0.16166616835555578</v>
      </c>
      <c r="S176" s="125" t="s">
        <v>72</v>
      </c>
      <c r="T176" s="116">
        <v>0.19999999999999998</v>
      </c>
      <c r="U176" s="116">
        <v>0.20007674612901705</v>
      </c>
      <c r="V176" s="116">
        <v>0.20015352170787573</v>
      </c>
      <c r="W176" s="116">
        <v>0.2002303267478768</v>
      </c>
      <c r="X176" s="116">
        <v>0.20030716126032544</v>
      </c>
      <c r="Y176" s="116">
        <v>0.20038402525653101</v>
      </c>
      <c r="Z176" s="116">
        <v>0.20046091874780753</v>
      </c>
      <c r="AA176" s="116">
        <v>0.20053784174547304</v>
      </c>
      <c r="AB176" s="116">
        <v>0.20061479426085005</v>
      </c>
      <c r="AC176" s="116">
        <v>0.20069177630526541</v>
      </c>
      <c r="AD176" s="116">
        <v>0.20076878789005037</v>
      </c>
      <c r="AE176" s="116">
        <v>0.20084582902654041</v>
      </c>
      <c r="AF176" s="116">
        <v>0.20092289972607549</v>
      </c>
      <c r="AG176" s="137">
        <v>0.20099999999999973</v>
      </c>
    </row>
    <row r="177" spans="1:33" s="117" customFormat="1" x14ac:dyDescent="0.35">
      <c r="A177" s="149"/>
      <c r="B177" s="125" t="s">
        <v>73</v>
      </c>
      <c r="C177" s="126"/>
      <c r="D177" s="127">
        <f>D163*T177</f>
        <v>16.382729999999999</v>
      </c>
      <c r="E177" s="127">
        <f t="shared" ref="E177" si="499">E163*U177</f>
        <v>18.901675567492752</v>
      </c>
      <c r="F177" s="127">
        <f t="shared" ref="F177" si="500">F163*V177</f>
        <v>21.829129176637831</v>
      </c>
      <c r="G177" s="127">
        <f t="shared" ref="G177" si="501">G163*W177</f>
        <v>25.234650187786059</v>
      </c>
      <c r="H177" s="127">
        <f t="shared" ref="H177" si="502">H163*X177</f>
        <v>29.200188086007476</v>
      </c>
      <c r="I177" s="127">
        <f t="shared" ref="I177" si="503">I163*Y177</f>
        <v>33.82238403389988</v>
      </c>
      <c r="J177" s="127">
        <f t="shared" ref="J177" si="504">J163*Z177</f>
        <v>39.215317110903285</v>
      </c>
      <c r="K177" s="127">
        <f t="shared" ref="K177" si="505">K163*AA177</f>
        <v>45.513784404188364</v>
      </c>
      <c r="L177" s="127">
        <f t="shared" ref="L177" si="506">L163*AB177</f>
        <v>52.877222633954915</v>
      </c>
      <c r="M177" s="127">
        <f t="shared" ref="M177" si="507">M163*AC177</f>
        <v>61.494401490076442</v>
      </c>
      <c r="N177" s="127">
        <f t="shared" ref="N177" si="508">N163*AD177</f>
        <v>71.58904620892568</v>
      </c>
      <c r="O177" s="127">
        <f t="shared" ref="O177" si="509">O163*AE177</f>
        <v>83.426580211832302</v>
      </c>
      <c r="P177" s="127">
        <f t="shared" ref="P177" si="510">P163*AF177</f>
        <v>97.322219191723335</v>
      </c>
      <c r="Q177" s="127">
        <f t="shared" ref="Q177" si="511">Q163*AG177</f>
        <v>113.65069751157444</v>
      </c>
      <c r="R177" s="68">
        <f>RATE(9,,-H177,Q177)</f>
        <v>0.16299078329525268</v>
      </c>
      <c r="S177" s="125" t="s">
        <v>73</v>
      </c>
      <c r="T177" s="116">
        <v>9.9999999999999992E-2</v>
      </c>
      <c r="U177" s="116">
        <v>0.10015244398015953</v>
      </c>
      <c r="V177" s="116">
        <v>0.10030512035198993</v>
      </c>
      <c r="W177" s="116">
        <v>0.10045802946975833</v>
      </c>
      <c r="X177" s="116">
        <v>0.10061117168827188</v>
      </c>
      <c r="Y177" s="116">
        <v>0.10076454736287864</v>
      </c>
      <c r="Z177" s="116">
        <v>0.10091815684946834</v>
      </c>
      <c r="AA177" s="116">
        <v>0.10107200050447333</v>
      </c>
      <c r="AB177" s="116">
        <v>0.10122607868486923</v>
      </c>
      <c r="AC177" s="116">
        <v>0.10138039174817587</v>
      </c>
      <c r="AD177" s="116">
        <v>0.10153494005245813</v>
      </c>
      <c r="AE177" s="116">
        <v>0.10168972395632671</v>
      </c>
      <c r="AF177" s="116">
        <v>0.10184474381893897</v>
      </c>
      <c r="AG177" s="137">
        <v>0.10199999999999985</v>
      </c>
    </row>
    <row r="178" spans="1:33" s="117" customFormat="1" x14ac:dyDescent="0.35">
      <c r="A178" s="149"/>
      <c r="B178" s="125" t="s">
        <v>74</v>
      </c>
      <c r="C178" s="126"/>
      <c r="D178" s="127">
        <f>D163*T178</f>
        <v>8.1913650000000082</v>
      </c>
      <c r="E178" s="127">
        <f t="shared" ref="E178" si="512">E163*U178</f>
        <v>9.3497766039722539</v>
      </c>
      <c r="F178" s="127">
        <f t="shared" ref="F178" si="513">F163*V178</f>
        <v>10.681385678759108</v>
      </c>
      <c r="G178" s="127">
        <f t="shared" ref="G178" si="514">G163*W178</f>
        <v>12.213419118218955</v>
      </c>
      <c r="H178" s="127">
        <f t="shared" ref="H178" si="515">H163*X178</f>
        <v>13.977584056398365</v>
      </c>
      <c r="I178" s="127">
        <f t="shared" ref="I178" si="516">I163*Y178</f>
        <v>16.010836718553549</v>
      </c>
      <c r="J178" s="127">
        <f t="shared" ref="J178" si="517">J163*Z178</f>
        <v>18.356288437642849</v>
      </c>
      <c r="K178" s="127">
        <f t="shared" ref="K178" si="518">K163*AA178</f>
        <v>21.064274205396753</v>
      </c>
      <c r="L178" s="127">
        <f t="shared" ref="L178" si="519">L163*AB178</f>
        <v>24.193613979363587</v>
      </c>
      <c r="M178" s="127">
        <f t="shared" ref="M178" si="520">M163*AC178</f>
        <v>27.813102777241529</v>
      </c>
      <c r="N178" s="127">
        <f t="shared" ref="N178" si="521">N163*AD178</f>
        <v>32.003272551905198</v>
      </c>
      <c r="O178" s="127">
        <f t="shared" ref="O178" si="522">O163*AE178</f>
        <v>36.858477190061095</v>
      </c>
      <c r="P178" s="127">
        <f t="shared" ref="P178" si="523">P163*AF178</f>
        <v>42.489361998946272</v>
      </c>
      <c r="Q178" s="127">
        <f t="shared" ref="Q178" si="524">Q163*AG178</f>
        <v>49.02579108342475</v>
      </c>
      <c r="R178" s="68">
        <f>RATE(9,,-H178,Q178)</f>
        <v>0.14962108879318364</v>
      </c>
      <c r="S178" s="125" t="s">
        <v>74</v>
      </c>
      <c r="T178" s="116">
        <f>1-SUM(T174:T177)</f>
        <v>5.0000000000000044E-2</v>
      </c>
      <c r="U178" s="116">
        <f t="shared" ref="U178:AG178" si="525">1-SUM(U174:U177)</f>
        <v>4.9540739084886765E-2</v>
      </c>
      <c r="V178" s="116">
        <f t="shared" si="525"/>
        <v>4.9081100183354764E-2</v>
      </c>
      <c r="W178" s="116">
        <f t="shared" si="525"/>
        <v>4.8621082859250597E-2</v>
      </c>
      <c r="X178" s="116">
        <f t="shared" si="525"/>
        <v>4.8160686675831288E-2</v>
      </c>
      <c r="Y178" s="116">
        <f t="shared" si="525"/>
        <v>4.7699911195762668E-2</v>
      </c>
      <c r="Z178" s="116">
        <f t="shared" si="525"/>
        <v>4.7238755981118041E-2</v>
      </c>
      <c r="AA178" s="116">
        <f t="shared" si="525"/>
        <v>4.6777220593379298E-2</v>
      </c>
      <c r="AB178" s="116">
        <f t="shared" si="525"/>
        <v>4.631530459343336E-2</v>
      </c>
      <c r="AC178" s="116">
        <f t="shared" si="525"/>
        <v>4.5853007541573509E-2</v>
      </c>
      <c r="AD178" s="116">
        <f t="shared" si="525"/>
        <v>4.5390328997497287E-2</v>
      </c>
      <c r="AE178" s="116">
        <f t="shared" si="525"/>
        <v>4.4927268520306485E-2</v>
      </c>
      <c r="AF178" s="116">
        <f t="shared" si="525"/>
        <v>4.4463825668505264E-2</v>
      </c>
      <c r="AG178" s="116">
        <f t="shared" si="525"/>
        <v>4.4000000000000372E-2</v>
      </c>
    </row>
    <row r="179" spans="1:33" x14ac:dyDescent="0.35">
      <c r="A179" s="2"/>
      <c r="D179" s="81" t="b">
        <f>D163=SUM(D174:D178)</f>
        <v>1</v>
      </c>
      <c r="E179" s="81" t="b">
        <f t="shared" ref="E179:Q179" si="526">E163=SUM(E174:E178)</f>
        <v>1</v>
      </c>
      <c r="F179" s="81" t="b">
        <f t="shared" si="526"/>
        <v>1</v>
      </c>
      <c r="G179" s="81" t="b">
        <f t="shared" si="526"/>
        <v>1</v>
      </c>
      <c r="H179" s="81" t="b">
        <f t="shared" si="526"/>
        <v>1</v>
      </c>
      <c r="I179" s="81" t="b">
        <f t="shared" si="526"/>
        <v>1</v>
      </c>
      <c r="J179" s="81" t="b">
        <f t="shared" si="526"/>
        <v>1</v>
      </c>
      <c r="K179" s="81" t="b">
        <f t="shared" si="526"/>
        <v>1</v>
      </c>
      <c r="L179" s="81" t="b">
        <f t="shared" si="526"/>
        <v>1</v>
      </c>
      <c r="M179" s="81" t="b">
        <f t="shared" si="526"/>
        <v>1</v>
      </c>
      <c r="N179" s="81" t="b">
        <f t="shared" si="526"/>
        <v>1</v>
      </c>
      <c r="O179" s="81" t="b">
        <f t="shared" si="526"/>
        <v>1</v>
      </c>
      <c r="P179" s="81" t="b">
        <f t="shared" si="526"/>
        <v>1</v>
      </c>
      <c r="Q179" s="81" t="b">
        <f t="shared" si="526"/>
        <v>1</v>
      </c>
      <c r="R179" s="21"/>
    </row>
    <row r="180" spans="1:33" s="117" customFormat="1" x14ac:dyDescent="0.35">
      <c r="A180" s="149" t="s">
        <v>75</v>
      </c>
      <c r="B180" s="128" t="s">
        <v>76</v>
      </c>
      <c r="C180" s="129"/>
      <c r="D180" s="130">
        <f>D163*T180</f>
        <v>36.042006000000008</v>
      </c>
      <c r="E180" s="130">
        <f t="shared" ref="E180" si="527">E163*U180</f>
        <v>41.592228506251708</v>
      </c>
      <c r="F180" s="130">
        <f t="shared" ref="F180" si="528">F163*V180</f>
        <v>48.043816746201095</v>
      </c>
      <c r="G180" s="130">
        <f t="shared" ref="G180" si="529">G163*W180</f>
        <v>55.550450422366595</v>
      </c>
      <c r="H180" s="130">
        <f t="shared" ref="H180" si="530">H163*X180</f>
        <v>64.293215966025159</v>
      </c>
      <c r="I180" s="130">
        <f t="shared" ref="I180" si="531">I163*Y180</f>
        <v>74.48570324137583</v>
      </c>
      <c r="J180" s="130">
        <f t="shared" ref="J180" si="532">J163*Z180</f>
        <v>86.380088031011468</v>
      </c>
      <c r="K180" s="130">
        <f t="shared" ref="K180" si="533">K163*AA180</f>
        <v>100.27439816110611</v>
      </c>
      <c r="L180" s="130">
        <f t="shared" ref="L180" si="534">L163*AB180</f>
        <v>116.52120225480942</v>
      </c>
      <c r="M180" s="130">
        <f t="shared" ref="M180" si="535">M163*AC180</f>
        <v>135.53801007228154</v>
      </c>
      <c r="N180" s="130">
        <f t="shared" ref="N180" si="536">N163*AD180</f>
        <v>157.81973416689755</v>
      </c>
      <c r="O180" s="130">
        <f t="shared" ref="O180" si="537">O163*AE180</f>
        <v>183.95363656930624</v>
      </c>
      <c r="P180" s="130">
        <f t="shared" ref="P180" si="538">P163*AF180</f>
        <v>214.63727436837723</v>
      </c>
      <c r="Q180" s="130">
        <f>Q163*AG180</f>
        <v>250.70006804023828</v>
      </c>
      <c r="R180" s="68">
        <f t="shared" ref="R180:R185" si="539">RATE(9,,-H180,Q180)</f>
        <v>0.16322968869177906</v>
      </c>
      <c r="S180" s="134" t="s">
        <v>76</v>
      </c>
      <c r="T180" s="116">
        <v>0.22000000000000003</v>
      </c>
      <c r="U180" s="116">
        <v>0.22038063877502673</v>
      </c>
      <c r="V180" s="116">
        <v>0.22076193612222184</v>
      </c>
      <c r="W180" s="116">
        <v>0.22114389318103134</v>
      </c>
      <c r="X180" s="116">
        <v>0.22152651109287255</v>
      </c>
      <c r="Y180" s="116">
        <v>0.22190979100113767</v>
      </c>
      <c r="Z180" s="116">
        <v>0.22229373405119721</v>
      </c>
      <c r="AA180" s="116">
        <v>0.22267834139040343</v>
      </c>
      <c r="AB180" s="116">
        <v>0.2230636141680935</v>
      </c>
      <c r="AC180" s="116">
        <v>0.22344955353559337</v>
      </c>
      <c r="AD180" s="116">
        <v>0.22383616064622086</v>
      </c>
      <c r="AE180" s="116">
        <v>0.22422343665528938</v>
      </c>
      <c r="AF180" s="116">
        <v>0.22461138272011094</v>
      </c>
      <c r="AG180" s="116">
        <v>0.22500000000000017</v>
      </c>
    </row>
    <row r="181" spans="1:33" s="117" customFormat="1" x14ac:dyDescent="0.35">
      <c r="A181" s="149"/>
      <c r="B181" s="128" t="s">
        <v>77</v>
      </c>
      <c r="C181" s="129"/>
      <c r="D181" s="130">
        <f>D163*T181</f>
        <v>62.254374000000006</v>
      </c>
      <c r="E181" s="130">
        <f t="shared" ref="E181" si="540">E163*U181</f>
        <v>71.717038848000016</v>
      </c>
      <c r="F181" s="130">
        <f t="shared" ref="F181" si="541">F163*V181</f>
        <v>82.698361340013207</v>
      </c>
      <c r="G181" s="130">
        <f t="shared" ref="G181" si="542">G163*W181</f>
        <v>95.454461151314973</v>
      </c>
      <c r="H181" s="130">
        <f t="shared" ref="H181" si="543">H163*X181</f>
        <v>110.28667380062224</v>
      </c>
      <c r="I181" s="130">
        <f t="shared" ref="I181" si="544">I163*Y181</f>
        <v>127.54988008428032</v>
      </c>
      <c r="J181" s="130">
        <f t="shared" ref="J181" si="545">J163*Z181</f>
        <v>147.66243228531334</v>
      </c>
      <c r="K181" s="130">
        <f t="shared" ref="K181" si="546">K163*AA181</f>
        <v>171.11799496662886</v>
      </c>
      <c r="L181" s="130">
        <f t="shared" ref="L181" si="547">L163*AB181</f>
        <v>198.49968369767859</v>
      </c>
      <c r="M181" s="130">
        <f t="shared" ref="M181" si="548">M163*AC181</f>
        <v>230.49696458338559</v>
      </c>
      <c r="N181" s="130">
        <f t="shared" ref="N181" si="549">N163*AD181</f>
        <v>267.9258740423432</v>
      </c>
      <c r="O181" s="130">
        <f t="shared" ref="O181" si="550">O163*AE181</f>
        <v>311.75323569677073</v>
      </c>
      <c r="P181" s="130">
        <f t="shared" ref="P181" si="551">P163*AF181</f>
        <v>363.12569413108622</v>
      </c>
      <c r="Q181" s="130">
        <f t="shared" ref="Q181" si="552">Q163*AG181</f>
        <v>423.40455935684656</v>
      </c>
      <c r="R181" s="68">
        <f t="shared" si="539"/>
        <v>0.16122057243621074</v>
      </c>
      <c r="S181" s="134" t="s">
        <v>77</v>
      </c>
      <c r="T181" s="116">
        <v>0.38</v>
      </c>
      <c r="U181" s="116">
        <v>0.38</v>
      </c>
      <c r="V181" s="116">
        <v>0.38</v>
      </c>
      <c r="W181" s="116">
        <v>0.38</v>
      </c>
      <c r="X181" s="116">
        <v>0.38</v>
      </c>
      <c r="Y181" s="116">
        <v>0.38</v>
      </c>
      <c r="Z181" s="116">
        <v>0.38</v>
      </c>
      <c r="AA181" s="116">
        <v>0.38</v>
      </c>
      <c r="AB181" s="116">
        <v>0.38</v>
      </c>
      <c r="AC181" s="116">
        <v>0.38</v>
      </c>
      <c r="AD181" s="116">
        <v>0.38</v>
      </c>
      <c r="AE181" s="116">
        <v>0.38</v>
      </c>
      <c r="AF181" s="116">
        <v>0.38</v>
      </c>
      <c r="AG181" s="116">
        <v>0.38</v>
      </c>
    </row>
    <row r="182" spans="1:33" s="117" customFormat="1" x14ac:dyDescent="0.35">
      <c r="A182" s="149"/>
      <c r="B182" s="128" t="s">
        <v>78</v>
      </c>
      <c r="C182" s="129"/>
      <c r="D182" s="132">
        <f>D163*T182</f>
        <v>27.850641</v>
      </c>
      <c r="E182" s="132">
        <f t="shared" ref="E182" si="553">E163*U182</f>
        <v>32.239052018902406</v>
      </c>
      <c r="F182" s="132">
        <f t="shared" ref="F182" si="554">F163*V182</f>
        <v>37.355229278107132</v>
      </c>
      <c r="G182" s="132">
        <f t="shared" ref="G182" si="555">G163*W182</f>
        <v>43.325673373721287</v>
      </c>
      <c r="H182" s="132">
        <f t="shared" ref="H182" si="556">H163*X182</f>
        <v>50.29985330346863</v>
      </c>
      <c r="I182" s="132">
        <f t="shared" ref="I182" si="557">I163*Y182</f>
        <v>58.454550204577146</v>
      </c>
      <c r="J182" s="132">
        <f t="shared" ref="J182" si="558">J163*Z182</f>
        <v>67.999054641040544</v>
      </c>
      <c r="K182" s="132">
        <f t="shared" ref="K182" si="559">K163*AA182</f>
        <v>79.18139134253596</v>
      </c>
      <c r="L182" s="132">
        <f t="shared" ref="L182" si="560">L163*AB182</f>
        <v>92.295781965239499</v>
      </c>
      <c r="M182" s="132">
        <f t="shared" ref="M182" si="561">M163*AC182</f>
        <v>107.69160110113032</v>
      </c>
      <c r="N182" s="132">
        <f t="shared" ref="N182" si="562">N163*AD182</f>
        <v>125.78413520261431</v>
      </c>
      <c r="O182" s="132">
        <f t="shared" ref="O182" si="563">O163*AE182</f>
        <v>147.0675205247428</v>
      </c>
      <c r="P182" s="132">
        <f t="shared" ref="P182" si="564">P163*AF182</f>
        <v>172.13031734417237</v>
      </c>
      <c r="Q182" s="132">
        <f t="shared" ref="Q182" si="565">Q163*AG182</f>
        <v>201.6742769568134</v>
      </c>
      <c r="R182" s="68">
        <f t="shared" si="539"/>
        <v>0.16683463034106716</v>
      </c>
      <c r="S182" s="134" t="s">
        <v>78</v>
      </c>
      <c r="T182" s="116">
        <v>0.16999999999999998</v>
      </c>
      <c r="U182" s="116">
        <v>0.17082188506343435</v>
      </c>
      <c r="V182" s="116">
        <v>0.17164774362720694</v>
      </c>
      <c r="W182" s="116">
        <v>0.17247759490167405</v>
      </c>
      <c r="X182" s="116">
        <v>0.17331145819006682</v>
      </c>
      <c r="Y182" s="116">
        <v>0.17414935288894001</v>
      </c>
      <c r="Z182" s="116">
        <v>0.17499129848862341</v>
      </c>
      <c r="AA182" s="116">
        <v>0.17583731457367507</v>
      </c>
      <c r="AB182" s="116">
        <v>0.17668742082333691</v>
      </c>
      <c r="AC182" s="116">
        <v>0.17754163701199244</v>
      </c>
      <c r="AD182" s="116">
        <v>0.17839998300962681</v>
      </c>
      <c r="AE182" s="116">
        <v>0.17926247878228888</v>
      </c>
      <c r="AF182" s="116">
        <v>0.18012914439255584</v>
      </c>
      <c r="AG182" s="116">
        <v>0.18099999999999969</v>
      </c>
    </row>
    <row r="183" spans="1:33" s="117" customFormat="1" x14ac:dyDescent="0.35">
      <c r="A183" s="149"/>
      <c r="B183" s="128" t="s">
        <v>79</v>
      </c>
      <c r="C183" s="129"/>
      <c r="D183" s="132">
        <f>D163*T183</f>
        <v>22.935822000000002</v>
      </c>
      <c r="E183" s="132">
        <f t="shared" ref="E183" si="566">E163*U183</f>
        <v>26.436536920919934</v>
      </c>
      <c r="F183" s="132">
        <f t="shared" ref="F183" si="567">F163*V183</f>
        <v>30.501197717038892</v>
      </c>
      <c r="G183" s="132">
        <f t="shared" ref="G183" si="568">G163*W183</f>
        <v>35.225242765980987</v>
      </c>
      <c r="H183" s="132">
        <f t="shared" ref="H183" si="569">H163*X183</f>
        <v>40.721013489665104</v>
      </c>
      <c r="I183" s="132">
        <f t="shared" ref="I183" si="570">I163*Y183</f>
        <v>47.120877504591057</v>
      </c>
      <c r="J183" s="132">
        <f t="shared" ref="J183" si="571">J163*Z183</f>
        <v>54.580952179869307</v>
      </c>
      <c r="K183" s="132">
        <f t="shared" ref="K183" si="572">K163*AA183</f>
        <v>63.285548422334337</v>
      </c>
      <c r="L183" s="132">
        <f t="shared" ref="L183" si="573">L163*AB183</f>
        <v>73.452479280329186</v>
      </c>
      <c r="M183" s="132">
        <f t="shared" ref="M183" si="574">M163*AC183</f>
        <v>85.339408026593787</v>
      </c>
      <c r="N183" s="132">
        <f t="shared" ref="N183" si="575">N163*AD183</f>
        <v>99.251446915467142</v>
      </c>
      <c r="O183" s="132">
        <f t="shared" ref="O183" si="576">O163*AE183</f>
        <v>115.55026224586059</v>
      </c>
      <c r="P183" s="132">
        <f t="shared" ref="P183" si="577">P163*AF183</f>
        <v>134.66499546329479</v>
      </c>
      <c r="Q183" s="132">
        <f t="shared" ref="Q183" si="578">Q163*AG183</f>
        <v>157.10537597188284</v>
      </c>
      <c r="R183" s="68">
        <f t="shared" si="539"/>
        <v>0.16185651189233372</v>
      </c>
      <c r="S183" s="134" t="s">
        <v>79</v>
      </c>
      <c r="T183" s="116">
        <v>0.14000000000000001</v>
      </c>
      <c r="U183" s="116">
        <v>0.14007667063947282</v>
      </c>
      <c r="V183" s="116">
        <v>0.14015338326742385</v>
      </c>
      <c r="W183" s="116">
        <v>0.1402301379068481</v>
      </c>
      <c r="X183" s="116">
        <v>0.14030693458075291</v>
      </c>
      <c r="Y183" s="116">
        <v>0.14038377331215846</v>
      </c>
      <c r="Z183" s="116">
        <v>0.14046065412409731</v>
      </c>
      <c r="AA183" s="116">
        <v>0.14053757703961495</v>
      </c>
      <c r="AB183" s="116">
        <v>0.14061454208176913</v>
      </c>
      <c r="AC183" s="116">
        <v>0.14069154927363042</v>
      </c>
      <c r="AD183" s="116">
        <v>0.14076859863828203</v>
      </c>
      <c r="AE183" s="116">
        <v>0.14084569019881982</v>
      </c>
      <c r="AF183" s="116">
        <v>0.14092282397835218</v>
      </c>
      <c r="AG183" s="116">
        <v>0.14100000000000026</v>
      </c>
    </row>
    <row r="184" spans="1:33" s="117" customFormat="1" x14ac:dyDescent="0.35">
      <c r="A184" s="149"/>
      <c r="B184" s="128" t="s">
        <v>80</v>
      </c>
      <c r="C184" s="129"/>
      <c r="D184" s="132">
        <f>D163*T184</f>
        <v>6.5530920000000048</v>
      </c>
      <c r="E184" s="132">
        <f t="shared" ref="E184" si="579">E163*U184</f>
        <v>7.0005460805937352</v>
      </c>
      <c r="F184" s="132">
        <f t="shared" ref="F184" si="580">F163*V184</f>
        <v>7.485824613150732</v>
      </c>
      <c r="G184" s="132">
        <f t="shared" ref="G184" si="581">G163*W184</f>
        <v>8.0125757512489955</v>
      </c>
      <c r="H184" s="132">
        <f t="shared" ref="H184" si="582">H163*X184</f>
        <v>8.5848385342296858</v>
      </c>
      <c r="I184" s="132">
        <f t="shared" ref="I184" si="583">I163*Y184</f>
        <v>9.2070885822555368</v>
      </c>
      <c r="J184" s="132">
        <f t="shared" ref="J184" si="584">J163*Z184</f>
        <v>9.8842895510525697</v>
      </c>
      <c r="K184" s="132">
        <f t="shared" ref="K184" si="585">K163*AA184</f>
        <v>10.621951122291303</v>
      </c>
      <c r="L184" s="132">
        <f t="shared" ref="L184" si="586">L163*AB184</f>
        <v>11.426194416552615</v>
      </c>
      <c r="M184" s="132">
        <f t="shared" ref="M184" si="587">M163*AC184</f>
        <v>12.303825843577343</v>
      </c>
      <c r="N184" s="132">
        <f t="shared" ref="N184" si="588">N163*AD184</f>
        <v>13.26242055168087</v>
      </c>
      <c r="O184" s="132">
        <f t="shared" ref="O184" si="589">O163*AE184</f>
        <v>14.310416807930064</v>
      </c>
      <c r="P184" s="132">
        <f t="shared" ref="P184" si="590">P163*AF184</f>
        <v>15.457222836556021</v>
      </c>
      <c r="Q184" s="132">
        <f t="shared" ref="Q184" si="591">Q163*AG184</f>
        <v>16.713337869349211</v>
      </c>
      <c r="R184" s="68">
        <f t="shared" si="539"/>
        <v>7.6831858198638761E-2</v>
      </c>
      <c r="S184" s="134" t="s">
        <v>80</v>
      </c>
      <c r="T184" s="116">
        <v>4.0000000000000029E-2</v>
      </c>
      <c r="U184" s="116">
        <v>3.7093103024844219E-2</v>
      </c>
      <c r="V184" s="116">
        <v>3.4397457300292665E-2</v>
      </c>
      <c r="W184" s="116">
        <v>3.1897710685810869E-2</v>
      </c>
      <c r="X184" s="116">
        <v>2.9579626718136409E-2</v>
      </c>
      <c r="Y184" s="116">
        <v>2.7430003532306693E-2</v>
      </c>
      <c r="Z184" s="116">
        <v>2.543659867489231E-2</v>
      </c>
      <c r="AA184" s="116">
        <v>2.3588059381234896E-2</v>
      </c>
      <c r="AB184" s="116">
        <v>2.1873857919607213E-2</v>
      </c>
      <c r="AC184" s="116">
        <v>2.0284231634069862E-2</v>
      </c>
      <c r="AD184" s="116">
        <v>1.8810127344558929E-2</v>
      </c>
      <c r="AE184" s="116">
        <v>1.7443149787554083E-2</v>
      </c>
      <c r="AF184" s="116">
        <v>1.617551380368832E-2</v>
      </c>
      <c r="AG184" s="116">
        <v>1.5000000000000005E-2</v>
      </c>
    </row>
    <row r="185" spans="1:33" s="117" customFormat="1" x14ac:dyDescent="0.35">
      <c r="A185" s="149"/>
      <c r="B185" s="128" t="s">
        <v>81</v>
      </c>
      <c r="C185" s="129"/>
      <c r="D185" s="132">
        <f>D163*T185</f>
        <v>3.2765460000000006</v>
      </c>
      <c r="E185" s="132">
        <f t="shared" ref="E185" si="592">E163*U185</f>
        <v>3.8023562232923664</v>
      </c>
      <c r="F185" s="132">
        <f t="shared" ref="F185" si="593">F163*V185</f>
        <v>4.4168373696179453</v>
      </c>
      <c r="G185" s="132">
        <f t="shared" ref="G185" si="594">G163*W185</f>
        <v>5.1356425391356861</v>
      </c>
      <c r="H185" s="132">
        <f t="shared" ref="H185" si="595">H163*X185</f>
        <v>5.9773081901840186</v>
      </c>
      <c r="I185" s="132">
        <f t="shared" ref="I185" si="596">I163*Y185</f>
        <v>6.9638068549645746</v>
      </c>
      <c r="J185" s="132">
        <f t="shared" ref="J185" si="597">J163*Z185</f>
        <v>8.1212098573608031</v>
      </c>
      <c r="K185" s="132">
        <f t="shared" ref="K185" si="598">K163*AA185</f>
        <v>9.4804827168425341</v>
      </c>
      <c r="L185" s="132">
        <f t="shared" ref="L185" si="599">L163*AB185</f>
        <v>11.078440760592629</v>
      </c>
      <c r="M185" s="132">
        <f t="shared" ref="M185" si="600">M163*AC185</f>
        <v>12.95889836980907</v>
      </c>
      <c r="N185" s="132">
        <f t="shared" ref="N185" si="601">N163*AD185</f>
        <v>15.174052497621012</v>
      </c>
      <c r="O185" s="132">
        <f t="shared" ref="O185" si="602">O163*AE185</f>
        <v>17.786149913864204</v>
      </c>
      <c r="P185" s="132">
        <f t="shared" ref="P185" si="603">P163*AF185</f>
        <v>20.869498424984968</v>
      </c>
      <c r="Q185" s="132">
        <f t="shared" ref="Q185" si="604">Q163*AG185</f>
        <v>24.512895541712176</v>
      </c>
      <c r="R185" s="68">
        <f t="shared" si="539"/>
        <v>0.1697654069618077</v>
      </c>
      <c r="S185" s="134" t="s">
        <v>81</v>
      </c>
      <c r="T185" s="116">
        <v>2.0000000000000004E-2</v>
      </c>
      <c r="U185" s="116">
        <v>2.0147169878464571E-2</v>
      </c>
      <c r="V185" s="116">
        <v>2.0295422705585511E-2</v>
      </c>
      <c r="W185" s="116">
        <v>2.0444766450233912E-2</v>
      </c>
      <c r="X185" s="116">
        <v>2.0595209139919784E-2</v>
      </c>
      <c r="Y185" s="116">
        <v>2.0746758861223506E-2</v>
      </c>
      <c r="Z185" s="116">
        <v>2.0899423760230504E-2</v>
      </c>
      <c r="AA185" s="116">
        <v>2.1053212042969137E-2</v>
      </c>
      <c r="AB185" s="116">
        <v>2.1208131975851766E-2</v>
      </c>
      <c r="AC185" s="116">
        <v>2.1364191886119096E-2</v>
      </c>
      <c r="AD185" s="116">
        <v>2.1521400162287797E-2</v>
      </c>
      <c r="AE185" s="116">
        <v>2.1679765254601358E-2</v>
      </c>
      <c r="AF185" s="116">
        <v>2.1839295675484361E-2</v>
      </c>
      <c r="AG185" s="116">
        <v>2.2000000000000006E-2</v>
      </c>
    </row>
    <row r="186" spans="1:33" s="117" customFormat="1" x14ac:dyDescent="0.35">
      <c r="A186" s="149"/>
      <c r="B186" s="128" t="s">
        <v>82</v>
      </c>
      <c r="C186" s="129"/>
      <c r="D186" s="132">
        <f>D163*T186</f>
        <v>4.9148189999999863</v>
      </c>
      <c r="E186" s="132">
        <f t="shared" ref="E186" si="605">E163*U186</f>
        <v>5.9412910020398604</v>
      </c>
      <c r="F186" s="132">
        <f t="shared" ref="F186" si="606">F163*V186</f>
        <v>7.1259996201162936</v>
      </c>
      <c r="G186" s="132">
        <f t="shared" ref="G186" si="607">G163*W186</f>
        <v>8.4919043944287882</v>
      </c>
      <c r="H186" s="132">
        <f t="shared" ref="H186" si="608">H163*X186</f>
        <v>10.065185664811034</v>
      </c>
      <c r="I186" s="132">
        <f t="shared" ref="I186" si="609">I163*Y186</f>
        <v>11.875672697114265</v>
      </c>
      <c r="J186" s="132">
        <f t="shared" ref="J186" si="610">J163*Z186</f>
        <v>13.95732157359757</v>
      </c>
      <c r="K186" s="132">
        <f t="shared" ref="K186" si="611">K163*AA186</f>
        <v>16.348746338336895</v>
      </c>
      <c r="L186" s="132">
        <f t="shared" ref="L186" si="612">L163*AB186</f>
        <v>19.09380630289964</v>
      </c>
      <c r="M186" s="132">
        <f t="shared" ref="M186" si="613">M163*AC186</f>
        <v>22.24225143318446</v>
      </c>
      <c r="N186" s="132">
        <f t="shared" ref="N186" si="614">N163*AD186</f>
        <v>25.850426208489672</v>
      </c>
      <c r="O186" s="132">
        <f t="shared" ref="O186" si="615">O163*AE186</f>
        <v>29.982030075132442</v>
      </c>
      <c r="P186" s="132">
        <f t="shared" ref="P186" si="616">P163*AF186</f>
        <v>34.70892935543943</v>
      </c>
      <c r="Q186" s="132">
        <f t="shared" ref="Q186" si="617">Q163*AG186</f>
        <v>40.112010886437879</v>
      </c>
      <c r="R186" s="68">
        <f>RATE(9,,-H186,Q186)</f>
        <v>0.16604942856002322</v>
      </c>
      <c r="S186" s="134" t="s">
        <v>82</v>
      </c>
      <c r="T186" s="116">
        <f>1-SUM(T180:T185)</f>
        <v>2.9999999999999916E-2</v>
      </c>
      <c r="U186" s="116">
        <f t="shared" ref="U186:AG186" si="618">1-SUM(U180:U185)</f>
        <v>3.1480532618757273E-2</v>
      </c>
      <c r="V186" s="116">
        <f t="shared" si="618"/>
        <v>3.2744056977269231E-2</v>
      </c>
      <c r="W186" s="116">
        <f t="shared" si="618"/>
        <v>3.380589687440172E-2</v>
      </c>
      <c r="X186" s="116">
        <f t="shared" si="618"/>
        <v>3.468026027825144E-2</v>
      </c>
      <c r="Y186" s="116">
        <f t="shared" si="618"/>
        <v>3.5380320404233667E-2</v>
      </c>
      <c r="Z186" s="116">
        <f t="shared" si="618"/>
        <v>3.5918290900959216E-2</v>
      </c>
      <c r="AA186" s="116">
        <f t="shared" si="618"/>
        <v>3.6305495572102608E-2</v>
      </c>
      <c r="AB186" s="116">
        <f t="shared" si="618"/>
        <v>3.655243303134148E-2</v>
      </c>
      <c r="AC186" s="116">
        <f t="shared" si="618"/>
        <v>3.6668836658594883E-2</v>
      </c>
      <c r="AD186" s="116">
        <f t="shared" si="618"/>
        <v>3.6663730199023692E-2</v>
      </c>
      <c r="AE186" s="116">
        <f t="shared" si="618"/>
        <v>3.6545479321446361E-2</v>
      </c>
      <c r="AF186" s="116">
        <f t="shared" si="618"/>
        <v>3.6321839429808267E-2</v>
      </c>
      <c r="AG186" s="116">
        <f t="shared" si="618"/>
        <v>3.599999999999981E-2</v>
      </c>
    </row>
    <row r="188" spans="1:33" ht="25" x14ac:dyDescent="0.5">
      <c r="A188" s="146" t="s">
        <v>107</v>
      </c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63"/>
    </row>
    <row r="189" spans="1:33" ht="23.5" thickBot="1" x14ac:dyDescent="0.55000000000000004">
      <c r="A189" s="63"/>
      <c r="B189" s="63"/>
      <c r="C189" s="63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</row>
    <row r="190" spans="1:33" ht="16" hidden="1" thickBot="1" x14ac:dyDescent="0.4">
      <c r="A190" s="42"/>
      <c r="B190" s="43"/>
      <c r="C190" s="93"/>
      <c r="D190" s="91">
        <v>2023</v>
      </c>
      <c r="E190" s="65">
        <v>2024</v>
      </c>
      <c r="F190" s="65">
        <v>2025</v>
      </c>
      <c r="G190" s="65">
        <v>2026</v>
      </c>
      <c r="H190" s="65">
        <v>2027</v>
      </c>
      <c r="I190" s="65">
        <v>2028</v>
      </c>
      <c r="J190" s="65">
        <v>2029</v>
      </c>
      <c r="K190" s="65">
        <v>2030</v>
      </c>
      <c r="L190" s="65">
        <v>2031</v>
      </c>
      <c r="M190" s="65">
        <v>2032</v>
      </c>
      <c r="N190" s="65">
        <v>2033</v>
      </c>
      <c r="O190" s="65">
        <v>2034</v>
      </c>
      <c r="P190" s="65">
        <v>2035</v>
      </c>
      <c r="Q190" s="65">
        <v>2036</v>
      </c>
      <c r="R190" s="66" t="s">
        <v>13</v>
      </c>
    </row>
    <row r="191" spans="1:33" ht="16" hidden="1" thickBot="1" x14ac:dyDescent="0.4">
      <c r="A191" s="25"/>
      <c r="B191" s="94"/>
      <c r="C191" s="95"/>
      <c r="D191" s="92" t="e">
        <f>#REF!</f>
        <v>#REF!</v>
      </c>
      <c r="E191" s="92" t="e">
        <f>#REF!</f>
        <v>#REF!</v>
      </c>
      <c r="F191" s="92" t="e">
        <f>#REF!</f>
        <v>#REF!</v>
      </c>
      <c r="G191" s="92" t="e">
        <f>#REF!</f>
        <v>#REF!</v>
      </c>
      <c r="H191" s="92" t="e">
        <f>#REF!</f>
        <v>#REF!</v>
      </c>
      <c r="I191" s="92" t="e">
        <f>#REF!</f>
        <v>#REF!</v>
      </c>
      <c r="J191" s="92" t="e">
        <f>#REF!</f>
        <v>#REF!</v>
      </c>
      <c r="K191" s="92" t="e">
        <f>#REF!</f>
        <v>#REF!</v>
      </c>
      <c r="L191" s="92" t="e">
        <f>#REF!</f>
        <v>#REF!</v>
      </c>
      <c r="M191" s="92" t="e">
        <f>#REF!</f>
        <v>#REF!</v>
      </c>
      <c r="N191" s="92" t="e">
        <f>#REF!</f>
        <v>#REF!</v>
      </c>
      <c r="O191" s="92" t="e">
        <f>#REF!</f>
        <v>#REF!</v>
      </c>
      <c r="P191" s="92" t="e">
        <f>#REF!</f>
        <v>#REF!</v>
      </c>
      <c r="Q191" s="92" t="e">
        <f>#REF!</f>
        <v>#REF!</v>
      </c>
      <c r="R191" s="68" t="e">
        <f>RATE(12,,-E191,Q191)</f>
        <v>#REF!</v>
      </c>
      <c r="T191" s="65">
        <v>2023</v>
      </c>
      <c r="U191" s="65">
        <v>2024</v>
      </c>
      <c r="V191" s="65">
        <v>2025</v>
      </c>
      <c r="W191" s="65">
        <v>2026</v>
      </c>
      <c r="X191" s="65">
        <v>2027</v>
      </c>
      <c r="Y191" s="65">
        <v>2028</v>
      </c>
      <c r="Z191" s="65">
        <v>2029</v>
      </c>
      <c r="AA191" s="65">
        <v>2030</v>
      </c>
      <c r="AB191" s="65">
        <v>2031</v>
      </c>
      <c r="AC191" s="65">
        <v>2032</v>
      </c>
      <c r="AD191" s="65">
        <v>2033</v>
      </c>
      <c r="AE191" s="65">
        <v>2034</v>
      </c>
      <c r="AF191" s="65">
        <v>2035</v>
      </c>
      <c r="AG191" s="65">
        <v>2036</v>
      </c>
    </row>
    <row r="192" spans="1:33" ht="15" hidden="1" thickBot="1" x14ac:dyDescent="0.4">
      <c r="A192" s="150" t="s">
        <v>49</v>
      </c>
      <c r="B192" s="52" t="s">
        <v>34</v>
      </c>
      <c r="C192" s="45"/>
      <c r="D192" s="79" t="e">
        <f t="shared" ref="D192" si="619">D191*T192</f>
        <v>#REF!</v>
      </c>
      <c r="E192" s="79" t="e">
        <f t="shared" ref="E192" si="620">E191*U192</f>
        <v>#REF!</v>
      </c>
      <c r="F192" s="79" t="e">
        <f t="shared" ref="F192" si="621">F191*V192</f>
        <v>#REF!</v>
      </c>
      <c r="G192" s="79" t="e">
        <f t="shared" ref="G192" si="622">G191*W192</f>
        <v>#REF!</v>
      </c>
      <c r="H192" s="79" t="e">
        <f t="shared" ref="H192" si="623">H191*X192</f>
        <v>#REF!</v>
      </c>
      <c r="I192" s="79" t="e">
        <f t="shared" ref="I192" si="624">I191*Y192</f>
        <v>#REF!</v>
      </c>
      <c r="J192" s="79" t="e">
        <f t="shared" ref="J192" si="625">J191*Z192</f>
        <v>#REF!</v>
      </c>
      <c r="K192" s="79" t="e">
        <f t="shared" ref="K192" si="626">K191*AA192</f>
        <v>#REF!</v>
      </c>
      <c r="L192" s="79" t="e">
        <f t="shared" ref="L192" si="627">L191*AB192</f>
        <v>#REF!</v>
      </c>
      <c r="M192" s="79" t="e">
        <f t="shared" ref="M192" si="628">M191*AC192</f>
        <v>#REF!</v>
      </c>
      <c r="N192" s="79" t="e">
        <f t="shared" ref="N192" si="629">N191*AD192</f>
        <v>#REF!</v>
      </c>
      <c r="O192" s="79" t="e">
        <f t="shared" ref="O192" si="630">O191*AE192</f>
        <v>#REF!</v>
      </c>
      <c r="P192" s="79" t="e">
        <f t="shared" ref="P192" si="631">P191*AF192</f>
        <v>#REF!</v>
      </c>
      <c r="Q192" s="79" t="e">
        <f t="shared" ref="Q192" si="632">Q191*AG192</f>
        <v>#REF!</v>
      </c>
      <c r="R192" s="77" t="e">
        <f>RATE(12,,-E192,Q192)</f>
        <v>#REF!</v>
      </c>
      <c r="S192" s="52"/>
      <c r="T192" s="12">
        <v>0.56000000000000005</v>
      </c>
      <c r="U192" s="12">
        <v>0.56092161367703952</v>
      </c>
      <c r="V192" s="12">
        <v>0.56184474408938223</v>
      </c>
      <c r="W192" s="12">
        <v>0.56276939373317769</v>
      </c>
      <c r="X192" s="12">
        <v>0.56369556510868446</v>
      </c>
      <c r="Y192" s="12">
        <v>0.56462326072027491</v>
      </c>
      <c r="Z192" s="12">
        <v>0.56555248307644368</v>
      </c>
      <c r="AA192" s="12">
        <v>0.56648323468981299</v>
      </c>
      <c r="AB192" s="12">
        <v>0.56741551807714108</v>
      </c>
      <c r="AC192" s="12">
        <v>0.56834933575932756</v>
      </c>
      <c r="AD192" s="12">
        <v>0.56928469026142059</v>
      </c>
      <c r="AE192" s="12">
        <v>0.57022158411262425</v>
      </c>
      <c r="AF192" s="12">
        <v>0.57116001984630527</v>
      </c>
      <c r="AG192" s="12">
        <v>0.57209999999999905</v>
      </c>
    </row>
    <row r="193" spans="1:33" ht="15" hidden="1" thickBot="1" x14ac:dyDescent="0.4">
      <c r="A193" s="151"/>
      <c r="B193" s="53" t="s">
        <v>35</v>
      </c>
      <c r="C193" s="46"/>
      <c r="D193" s="80" t="e">
        <f t="shared" ref="D193" si="633">D191*T193</f>
        <v>#REF!</v>
      </c>
      <c r="E193" s="80" t="e">
        <f t="shared" ref="E193" si="634">E191*U193</f>
        <v>#REF!</v>
      </c>
      <c r="F193" s="80" t="e">
        <f t="shared" ref="F193" si="635">F191*V193</f>
        <v>#REF!</v>
      </c>
      <c r="G193" s="80" t="e">
        <f t="shared" ref="G193" si="636">G191*W193</f>
        <v>#REF!</v>
      </c>
      <c r="H193" s="80" t="e">
        <f t="shared" ref="H193" si="637">H191*X193</f>
        <v>#REF!</v>
      </c>
      <c r="I193" s="80" t="e">
        <f t="shared" ref="I193" si="638">I191*Y193</f>
        <v>#REF!</v>
      </c>
      <c r="J193" s="80" t="e">
        <f t="shared" ref="J193" si="639">J191*Z193</f>
        <v>#REF!</v>
      </c>
      <c r="K193" s="80" t="e">
        <f t="shared" ref="K193" si="640">K191*AA193</f>
        <v>#REF!</v>
      </c>
      <c r="L193" s="80" t="e">
        <f t="shared" ref="L193" si="641">L191*AB193</f>
        <v>#REF!</v>
      </c>
      <c r="M193" s="80" t="e">
        <f t="shared" ref="M193" si="642">M191*AC193</f>
        <v>#REF!</v>
      </c>
      <c r="N193" s="80" t="e">
        <f t="shared" ref="N193" si="643">N191*AD193</f>
        <v>#REF!</v>
      </c>
      <c r="O193" s="80" t="e">
        <f t="shared" ref="O193" si="644">O191*AE193</f>
        <v>#REF!</v>
      </c>
      <c r="P193" s="80" t="e">
        <f t="shared" ref="P193" si="645">P191*AF193</f>
        <v>#REF!</v>
      </c>
      <c r="Q193" s="80" t="e">
        <f t="shared" ref="Q193" si="646">Q191*AG193</f>
        <v>#REF!</v>
      </c>
      <c r="R193" s="78" t="e">
        <f>RATE(12,,-E193,Q193)</f>
        <v>#REF!</v>
      </c>
      <c r="S193" s="53"/>
      <c r="T193" s="12">
        <f>1-T192</f>
        <v>0.43999999999999995</v>
      </c>
      <c r="U193" s="12">
        <f t="shared" ref="U193:AG193" si="647">1-U192</f>
        <v>0.43907838632296048</v>
      </c>
      <c r="V193" s="12">
        <f t="shared" si="647"/>
        <v>0.43815525591061777</v>
      </c>
      <c r="W193" s="12">
        <f t="shared" si="647"/>
        <v>0.43723060626682231</v>
      </c>
      <c r="X193" s="12">
        <f t="shared" si="647"/>
        <v>0.43630443489131554</v>
      </c>
      <c r="Y193" s="12">
        <f t="shared" si="647"/>
        <v>0.43537673927972509</v>
      </c>
      <c r="Z193" s="12">
        <f t="shared" si="647"/>
        <v>0.43444751692355632</v>
      </c>
      <c r="AA193" s="12">
        <f t="shared" si="647"/>
        <v>0.43351676531018701</v>
      </c>
      <c r="AB193" s="12">
        <f t="shared" si="647"/>
        <v>0.43258448192285892</v>
      </c>
      <c r="AC193" s="12">
        <f t="shared" si="647"/>
        <v>0.43165066424067244</v>
      </c>
      <c r="AD193" s="12">
        <f t="shared" si="647"/>
        <v>0.43071530973857941</v>
      </c>
      <c r="AE193" s="12">
        <f t="shared" si="647"/>
        <v>0.42977841588737575</v>
      </c>
      <c r="AF193" s="12">
        <f t="shared" si="647"/>
        <v>0.42883998015369473</v>
      </c>
      <c r="AG193" s="12">
        <f t="shared" si="647"/>
        <v>0.42790000000000095</v>
      </c>
    </row>
    <row r="194" spans="1:33" ht="15" hidden="1" thickBot="1" x14ac:dyDescent="0.4">
      <c r="A194" s="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21"/>
    </row>
    <row r="195" spans="1:33" ht="15" hidden="1" thickBot="1" x14ac:dyDescent="0.4">
      <c r="A195" s="150" t="s">
        <v>15</v>
      </c>
      <c r="B195" s="57" t="s">
        <v>16</v>
      </c>
      <c r="C195" s="47"/>
      <c r="D195" s="82" t="e">
        <f t="shared" ref="D195" si="648">D191*T195</f>
        <v>#REF!</v>
      </c>
      <c r="E195" s="82" t="e">
        <f t="shared" ref="E195" si="649">E191*U195</f>
        <v>#REF!</v>
      </c>
      <c r="F195" s="82" t="e">
        <f t="shared" ref="F195" si="650">F191*V195</f>
        <v>#REF!</v>
      </c>
      <c r="G195" s="82" t="e">
        <f t="shared" ref="G195" si="651">G191*W195</f>
        <v>#REF!</v>
      </c>
      <c r="H195" s="82" t="e">
        <f t="shared" ref="H195" si="652">H191*X195</f>
        <v>#REF!</v>
      </c>
      <c r="I195" s="82" t="e">
        <f t="shared" ref="I195" si="653">I191*Y195</f>
        <v>#REF!</v>
      </c>
      <c r="J195" s="82" t="e">
        <f t="shared" ref="J195" si="654">J191*Z195</f>
        <v>#REF!</v>
      </c>
      <c r="K195" s="82" t="e">
        <f t="shared" ref="K195" si="655">K191*AA195</f>
        <v>#REF!</v>
      </c>
      <c r="L195" s="82" t="e">
        <f t="shared" ref="L195" si="656">L191*AB195</f>
        <v>#REF!</v>
      </c>
      <c r="M195" s="82" t="e">
        <f t="shared" ref="M195" si="657">M191*AC195</f>
        <v>#REF!</v>
      </c>
      <c r="N195" s="82" t="e">
        <f t="shared" ref="N195" si="658">N191*AD195</f>
        <v>#REF!</v>
      </c>
      <c r="O195" s="82" t="e">
        <f t="shared" ref="O195" si="659">O191*AE195</f>
        <v>#REF!</v>
      </c>
      <c r="P195" s="82" t="e">
        <f t="shared" ref="P195" si="660">P191*AF195</f>
        <v>#REF!</v>
      </c>
      <c r="Q195" s="82" t="e">
        <f t="shared" ref="Q195" si="661">Q191*AG195</f>
        <v>#REF!</v>
      </c>
      <c r="R195" s="69" t="e">
        <f>RATE(12,,-E195,Q195)</f>
        <v>#REF!</v>
      </c>
      <c r="S195" s="57"/>
      <c r="T195" s="12">
        <v>0.47099999999999992</v>
      </c>
      <c r="U195" s="12">
        <v>0.47038461538461535</v>
      </c>
      <c r="V195" s="12">
        <v>0.46976923076923072</v>
      </c>
      <c r="W195" s="12">
        <v>0.46915384615384609</v>
      </c>
      <c r="X195" s="12">
        <v>0.46853846153846151</v>
      </c>
      <c r="Y195" s="12">
        <v>0.46792307692307689</v>
      </c>
      <c r="Z195" s="12">
        <v>0.46730769230769226</v>
      </c>
      <c r="AA195" s="12">
        <v>0.46669230769230763</v>
      </c>
      <c r="AB195" s="12">
        <v>0.46607692307692306</v>
      </c>
      <c r="AC195" s="12">
        <v>0.46546153846153843</v>
      </c>
      <c r="AD195" s="12">
        <v>0.4648461538461538</v>
      </c>
      <c r="AE195" s="12">
        <v>0.46423076923076922</v>
      </c>
      <c r="AF195" s="12">
        <v>0.4636153846153846</v>
      </c>
      <c r="AG195" s="12">
        <v>0.46299999999999997</v>
      </c>
    </row>
    <row r="196" spans="1:33" ht="15" hidden="1" thickBot="1" x14ac:dyDescent="0.4">
      <c r="A196" s="151"/>
      <c r="B196" s="58" t="s">
        <v>17</v>
      </c>
      <c r="C196" s="48"/>
      <c r="D196" s="83" t="e">
        <f t="shared" ref="D196" si="662">D191*T196</f>
        <v>#REF!</v>
      </c>
      <c r="E196" s="83" t="e">
        <f t="shared" ref="E196" si="663">E191*U196</f>
        <v>#REF!</v>
      </c>
      <c r="F196" s="83" t="e">
        <f t="shared" ref="F196" si="664">F191*V196</f>
        <v>#REF!</v>
      </c>
      <c r="G196" s="83" t="e">
        <f t="shared" ref="G196" si="665">G191*W196</f>
        <v>#REF!</v>
      </c>
      <c r="H196" s="83" t="e">
        <f t="shared" ref="H196" si="666">H191*X196</f>
        <v>#REF!</v>
      </c>
      <c r="I196" s="83" t="e">
        <f t="shared" ref="I196" si="667">I191*Y196</f>
        <v>#REF!</v>
      </c>
      <c r="J196" s="83" t="e">
        <f t="shared" ref="J196" si="668">J191*Z196</f>
        <v>#REF!</v>
      </c>
      <c r="K196" s="83" t="e">
        <f t="shared" ref="K196" si="669">K191*AA196</f>
        <v>#REF!</v>
      </c>
      <c r="L196" s="83" t="e">
        <f t="shared" ref="L196" si="670">L191*AB196</f>
        <v>#REF!</v>
      </c>
      <c r="M196" s="83" t="e">
        <f t="shared" ref="M196" si="671">M191*AC196</f>
        <v>#REF!</v>
      </c>
      <c r="N196" s="83" t="e">
        <f t="shared" ref="N196" si="672">N191*AD196</f>
        <v>#REF!</v>
      </c>
      <c r="O196" s="83" t="e">
        <f t="shared" ref="O196" si="673">O191*AE196</f>
        <v>#REF!</v>
      </c>
      <c r="P196" s="83" t="e">
        <f t="shared" ref="P196" si="674">P191*AF196</f>
        <v>#REF!</v>
      </c>
      <c r="Q196" s="83" t="e">
        <f t="shared" ref="Q196" si="675">Q191*AG196</f>
        <v>#REF!</v>
      </c>
      <c r="R196" s="70" t="e">
        <f>RATE(12,,-E196,Q196)</f>
        <v>#REF!</v>
      </c>
      <c r="S196" s="58"/>
      <c r="T196" s="12">
        <f>1-T195</f>
        <v>0.52900000000000014</v>
      </c>
      <c r="U196" s="12">
        <f t="shared" ref="U196:AG196" si="676">1-U195</f>
        <v>0.5296153846153846</v>
      </c>
      <c r="V196" s="12">
        <f t="shared" si="676"/>
        <v>0.53023076923076928</v>
      </c>
      <c r="W196" s="12">
        <f t="shared" si="676"/>
        <v>0.53084615384615397</v>
      </c>
      <c r="X196" s="12">
        <f t="shared" si="676"/>
        <v>0.53146153846153843</v>
      </c>
      <c r="Y196" s="12">
        <f t="shared" si="676"/>
        <v>0.53207692307692311</v>
      </c>
      <c r="Z196" s="12">
        <f t="shared" si="676"/>
        <v>0.5326923076923078</v>
      </c>
      <c r="AA196" s="12">
        <f t="shared" si="676"/>
        <v>0.53330769230769237</v>
      </c>
      <c r="AB196" s="12">
        <f t="shared" si="676"/>
        <v>0.53392307692307694</v>
      </c>
      <c r="AC196" s="12">
        <f t="shared" si="676"/>
        <v>0.53453846153846163</v>
      </c>
      <c r="AD196" s="12">
        <f t="shared" si="676"/>
        <v>0.5351538461538462</v>
      </c>
      <c r="AE196" s="12">
        <f t="shared" si="676"/>
        <v>0.53576923076923078</v>
      </c>
      <c r="AF196" s="12">
        <f t="shared" si="676"/>
        <v>0.53638461538461546</v>
      </c>
      <c r="AG196" s="12">
        <f t="shared" si="676"/>
        <v>0.53700000000000003</v>
      </c>
    </row>
    <row r="197" spans="1:33" ht="15" hidden="1" thickBot="1" x14ac:dyDescent="0.4">
      <c r="A197" s="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21"/>
    </row>
    <row r="198" spans="1:33" ht="15" hidden="1" thickBot="1" x14ac:dyDescent="0.4">
      <c r="A198" s="150" t="s">
        <v>18</v>
      </c>
      <c r="B198" s="54" t="s">
        <v>19</v>
      </c>
      <c r="C198" s="49"/>
      <c r="D198" s="84" t="e">
        <f t="shared" ref="D198" si="677">D191*T198</f>
        <v>#REF!</v>
      </c>
      <c r="E198" s="84" t="e">
        <f t="shared" ref="E198" si="678">E191*U198</f>
        <v>#REF!</v>
      </c>
      <c r="F198" s="84" t="e">
        <f t="shared" ref="F198" si="679">F191*V198</f>
        <v>#REF!</v>
      </c>
      <c r="G198" s="84" t="e">
        <f t="shared" ref="G198" si="680">G191*W198</f>
        <v>#REF!</v>
      </c>
      <c r="H198" s="84" t="e">
        <f t="shared" ref="H198" si="681">H191*X198</f>
        <v>#REF!</v>
      </c>
      <c r="I198" s="84" t="e">
        <f t="shared" ref="I198" si="682">I191*Y198</f>
        <v>#REF!</v>
      </c>
      <c r="J198" s="84" t="e">
        <f t="shared" ref="J198" si="683">J191*Z198</f>
        <v>#REF!</v>
      </c>
      <c r="K198" s="84" t="e">
        <f t="shared" ref="K198" si="684">K191*AA198</f>
        <v>#REF!</v>
      </c>
      <c r="L198" s="84" t="e">
        <f t="shared" ref="L198" si="685">L191*AB198</f>
        <v>#REF!</v>
      </c>
      <c r="M198" s="84" t="e">
        <f t="shared" ref="M198" si="686">M191*AC198</f>
        <v>#REF!</v>
      </c>
      <c r="N198" s="84" t="e">
        <f t="shared" ref="N198" si="687">N191*AD198</f>
        <v>#REF!</v>
      </c>
      <c r="O198" s="84" t="e">
        <f t="shared" ref="O198" si="688">O191*AE198</f>
        <v>#REF!</v>
      </c>
      <c r="P198" s="84" t="e">
        <f t="shared" ref="P198" si="689">P191*AF198</f>
        <v>#REF!</v>
      </c>
      <c r="Q198" s="84" t="e">
        <f t="shared" ref="Q198" si="690">Q191*AG198</f>
        <v>#REF!</v>
      </c>
      <c r="R198" s="71" t="e">
        <f>RATE(12,,-E198,Q198)</f>
        <v>#REF!</v>
      </c>
      <c r="S198" s="54"/>
      <c r="T198" s="12">
        <v>0.40099999999999997</v>
      </c>
      <c r="U198" s="12">
        <v>0.40265090533119946</v>
      </c>
      <c r="V198" s="12">
        <v>0.40430860739160734</v>
      </c>
      <c r="W198" s="12">
        <v>0.40597313416316017</v>
      </c>
      <c r="X198" s="12">
        <v>0.40764451374299493</v>
      </c>
      <c r="Y198" s="12">
        <v>0.40932277434392395</v>
      </c>
      <c r="Z198" s="12">
        <v>0.41100794429491083</v>
      </c>
      <c r="AA198" s="12">
        <v>0.4127000520415488</v>
      </c>
      <c r="AB198" s="12">
        <v>0.41439912614654062</v>
      </c>
      <c r="AC198" s="12">
        <v>0.41610519529018092</v>
      </c>
      <c r="AD198" s="12">
        <v>0.41781828827084017</v>
      </c>
      <c r="AE198" s="12">
        <v>0.4195384340054511</v>
      </c>
      <c r="AF198" s="12">
        <v>0.4212656615299965</v>
      </c>
      <c r="AG198" s="12">
        <v>0.42299999999999938</v>
      </c>
    </row>
    <row r="199" spans="1:33" ht="15" hidden="1" thickBot="1" x14ac:dyDescent="0.4">
      <c r="A199" s="151"/>
      <c r="B199" s="56" t="s">
        <v>20</v>
      </c>
      <c r="C199" s="44"/>
      <c r="D199" s="85" t="e">
        <f t="shared" ref="D199" si="691">D191*T199</f>
        <v>#REF!</v>
      </c>
      <c r="E199" s="85" t="e">
        <f t="shared" ref="E199" si="692">E191*U199</f>
        <v>#REF!</v>
      </c>
      <c r="F199" s="85" t="e">
        <f t="shared" ref="F199" si="693">F191*V199</f>
        <v>#REF!</v>
      </c>
      <c r="G199" s="85" t="e">
        <f t="shared" ref="G199" si="694">G191*W199</f>
        <v>#REF!</v>
      </c>
      <c r="H199" s="85" t="e">
        <f t="shared" ref="H199" si="695">H191*X199</f>
        <v>#REF!</v>
      </c>
      <c r="I199" s="85" t="e">
        <f t="shared" ref="I199" si="696">I191*Y199</f>
        <v>#REF!</v>
      </c>
      <c r="J199" s="85" t="e">
        <f t="shared" ref="J199" si="697">J191*Z199</f>
        <v>#REF!</v>
      </c>
      <c r="K199" s="85" t="e">
        <f t="shared" ref="K199" si="698">K191*AA199</f>
        <v>#REF!</v>
      </c>
      <c r="L199" s="85" t="e">
        <f t="shared" ref="L199" si="699">L191*AB199</f>
        <v>#REF!</v>
      </c>
      <c r="M199" s="85" t="e">
        <f t="shared" ref="M199" si="700">M191*AC199</f>
        <v>#REF!</v>
      </c>
      <c r="N199" s="85" t="e">
        <f t="shared" ref="N199" si="701">N191*AD199</f>
        <v>#REF!</v>
      </c>
      <c r="O199" s="85" t="e">
        <f t="shared" ref="O199" si="702">O191*AE199</f>
        <v>#REF!</v>
      </c>
      <c r="P199" s="85" t="e">
        <f t="shared" ref="P199" si="703">P191*AF199</f>
        <v>#REF!</v>
      </c>
      <c r="Q199" s="85" t="e">
        <f t="shared" ref="Q199" si="704">Q191*AG199</f>
        <v>#REF!</v>
      </c>
      <c r="R199" s="72" t="e">
        <f>RATE(12,,-E199,Q199)</f>
        <v>#REF!</v>
      </c>
      <c r="S199" s="56"/>
      <c r="T199" s="12">
        <f>1-T198</f>
        <v>0.59899999999999998</v>
      </c>
      <c r="U199" s="12">
        <f t="shared" ref="U199:AG199" si="705">1-U198</f>
        <v>0.59734909466880048</v>
      </c>
      <c r="V199" s="12">
        <f t="shared" si="705"/>
        <v>0.59569139260839266</v>
      </c>
      <c r="W199" s="12">
        <f t="shared" si="705"/>
        <v>0.59402686583683983</v>
      </c>
      <c r="X199" s="12">
        <f t="shared" si="705"/>
        <v>0.59235548625700507</v>
      </c>
      <c r="Y199" s="12">
        <f t="shared" si="705"/>
        <v>0.59067722565607605</v>
      </c>
      <c r="Z199" s="12">
        <f t="shared" si="705"/>
        <v>0.58899205570508917</v>
      </c>
      <c r="AA199" s="12">
        <f t="shared" si="705"/>
        <v>0.5872999479584512</v>
      </c>
      <c r="AB199" s="12">
        <f t="shared" si="705"/>
        <v>0.58560087385345938</v>
      </c>
      <c r="AC199" s="12">
        <f t="shared" si="705"/>
        <v>0.58389480470981914</v>
      </c>
      <c r="AD199" s="12">
        <f t="shared" si="705"/>
        <v>0.58218171172915989</v>
      </c>
      <c r="AE199" s="12">
        <f t="shared" si="705"/>
        <v>0.5804615659945489</v>
      </c>
      <c r="AF199" s="12">
        <f t="shared" si="705"/>
        <v>0.57873433847000344</v>
      </c>
      <c r="AG199" s="12">
        <f t="shared" si="705"/>
        <v>0.57700000000000062</v>
      </c>
    </row>
    <row r="200" spans="1:33" ht="15" hidden="1" thickBot="1" x14ac:dyDescent="0.4">
      <c r="A200" s="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21"/>
    </row>
    <row r="201" spans="1:33" ht="15" hidden="1" thickBot="1" x14ac:dyDescent="0.4">
      <c r="A201" s="150" t="s">
        <v>14</v>
      </c>
      <c r="B201" s="59" t="s">
        <v>21</v>
      </c>
      <c r="C201" s="50"/>
      <c r="D201" s="86" t="e">
        <f t="shared" ref="D201" si="706">D191*T201</f>
        <v>#REF!</v>
      </c>
      <c r="E201" s="86" t="e">
        <f t="shared" ref="E201" si="707">E191*U201</f>
        <v>#REF!</v>
      </c>
      <c r="F201" s="86" t="e">
        <f t="shared" ref="F201" si="708">F191*V201</f>
        <v>#REF!</v>
      </c>
      <c r="G201" s="86" t="e">
        <f t="shared" ref="G201" si="709">G191*W201</f>
        <v>#REF!</v>
      </c>
      <c r="H201" s="86" t="e">
        <f t="shared" ref="H201" si="710">H191*X201</f>
        <v>#REF!</v>
      </c>
      <c r="I201" s="86" t="e">
        <f t="shared" ref="I201" si="711">I191*Y201</f>
        <v>#REF!</v>
      </c>
      <c r="J201" s="86" t="e">
        <f t="shared" ref="J201" si="712">J191*Z201</f>
        <v>#REF!</v>
      </c>
      <c r="K201" s="86" t="e">
        <f t="shared" ref="K201" si="713">K191*AA201</f>
        <v>#REF!</v>
      </c>
      <c r="L201" s="86" t="e">
        <f t="shared" ref="L201" si="714">L191*AB201</f>
        <v>#REF!</v>
      </c>
      <c r="M201" s="86" t="e">
        <f t="shared" ref="M201" si="715">M191*AC201</f>
        <v>#REF!</v>
      </c>
      <c r="N201" s="86" t="e">
        <f t="shared" ref="N201" si="716">N191*AD201</f>
        <v>#REF!</v>
      </c>
      <c r="O201" s="86" t="e">
        <f t="shared" ref="O201" si="717">O191*AE201</f>
        <v>#REF!</v>
      </c>
      <c r="P201" s="86" t="e">
        <f t="shared" ref="P201" si="718">P191*AF201</f>
        <v>#REF!</v>
      </c>
      <c r="Q201" s="86" t="e">
        <f t="shared" ref="Q201" si="719">Q191*AG201</f>
        <v>#REF!</v>
      </c>
      <c r="R201" s="73" t="e">
        <f t="shared" ref="R201:R206" si="720">RATE(12,,-E201,Q201)</f>
        <v>#REF!</v>
      </c>
      <c r="S201" s="59"/>
      <c r="T201" s="12">
        <v>0.25</v>
      </c>
      <c r="U201" s="12">
        <v>0.25155593539307364</v>
      </c>
      <c r="V201" s="12">
        <v>0.25312155452593693</v>
      </c>
      <c r="W201" s="12">
        <v>0.25469691766768382</v>
      </c>
      <c r="X201" s="12">
        <v>0.25628208546250747</v>
      </c>
      <c r="Y201" s="12">
        <v>0.2578771189320348</v>
      </c>
      <c r="Z201" s="12">
        <v>0.25948207947767565</v>
      </c>
      <c r="AA201" s="12">
        <v>0.2610970288829863</v>
      </c>
      <c r="AB201" s="12">
        <v>0.26272202931604799</v>
      </c>
      <c r="AC201" s="12">
        <v>0.26435714333185978</v>
      </c>
      <c r="AD201" s="12">
        <v>0.26600243387474731</v>
      </c>
      <c r="AE201" s="12">
        <v>0.26765796428078514</v>
      </c>
      <c r="AF201" s="12">
        <v>0.26932379828023517</v>
      </c>
      <c r="AG201" s="12">
        <v>0.27100000000000013</v>
      </c>
    </row>
    <row r="202" spans="1:33" ht="15" hidden="1" thickBot="1" x14ac:dyDescent="0.4">
      <c r="A202" s="155"/>
      <c r="B202" s="60" t="s">
        <v>22</v>
      </c>
      <c r="C202" s="41"/>
      <c r="D202" s="87" t="e">
        <f t="shared" ref="D202" si="721">D191*T202</f>
        <v>#REF!</v>
      </c>
      <c r="E202" s="87" t="e">
        <f t="shared" ref="E202" si="722">E191*U202</f>
        <v>#REF!</v>
      </c>
      <c r="F202" s="87" t="e">
        <f t="shared" ref="F202" si="723">F191*V202</f>
        <v>#REF!</v>
      </c>
      <c r="G202" s="87" t="e">
        <f t="shared" ref="G202" si="724">G191*W202</f>
        <v>#REF!</v>
      </c>
      <c r="H202" s="87" t="e">
        <f t="shared" ref="H202" si="725">H191*X202</f>
        <v>#REF!</v>
      </c>
      <c r="I202" s="87" t="e">
        <f t="shared" ref="I202" si="726">I191*Y202</f>
        <v>#REF!</v>
      </c>
      <c r="J202" s="87" t="e">
        <f t="shared" ref="J202" si="727">J191*Z202</f>
        <v>#REF!</v>
      </c>
      <c r="K202" s="87" t="e">
        <f t="shared" ref="K202" si="728">K191*AA202</f>
        <v>#REF!</v>
      </c>
      <c r="L202" s="87" t="e">
        <f t="shared" ref="L202" si="729">L191*AB202</f>
        <v>#REF!</v>
      </c>
      <c r="M202" s="87" t="e">
        <f t="shared" ref="M202" si="730">M191*AC202</f>
        <v>#REF!</v>
      </c>
      <c r="N202" s="87" t="e">
        <f t="shared" ref="N202" si="731">N191*AD202</f>
        <v>#REF!</v>
      </c>
      <c r="O202" s="87" t="e">
        <f t="shared" ref="O202" si="732">O191*AE202</f>
        <v>#REF!</v>
      </c>
      <c r="P202" s="87" t="e">
        <f t="shared" ref="P202" si="733">P191*AF202</f>
        <v>#REF!</v>
      </c>
      <c r="Q202" s="87" t="e">
        <f t="shared" ref="Q202" si="734">Q191*AG202</f>
        <v>#REF!</v>
      </c>
      <c r="R202" s="74" t="e">
        <f t="shared" si="720"/>
        <v>#REF!</v>
      </c>
      <c r="S202" s="60"/>
      <c r="T202" s="12">
        <v>0.38</v>
      </c>
      <c r="U202" s="12">
        <v>0.38090988938047371</v>
      </c>
      <c r="V202" s="12">
        <v>0.38182195744169661</v>
      </c>
      <c r="W202" s="12">
        <v>0.38273620940040159</v>
      </c>
      <c r="X202" s="12">
        <v>0.38365265048581265</v>
      </c>
      <c r="Y202" s="12">
        <v>0.38457128593967477</v>
      </c>
      <c r="Z202" s="12">
        <v>0.38549212101628438</v>
      </c>
      <c r="AA202" s="12">
        <v>0.38641516098251855</v>
      </c>
      <c r="AB202" s="12">
        <v>0.38734041111786593</v>
      </c>
      <c r="AC202" s="12">
        <v>0.38826787671445667</v>
      </c>
      <c r="AD202" s="12">
        <v>0.38919756307709236</v>
      </c>
      <c r="AE202" s="12">
        <v>0.39012947552327681</v>
      </c>
      <c r="AF202" s="12">
        <v>0.3910636193832463</v>
      </c>
      <c r="AG202" s="12">
        <v>0.39200000000000002</v>
      </c>
    </row>
    <row r="203" spans="1:33" ht="15" hidden="1" thickBot="1" x14ac:dyDescent="0.4">
      <c r="A203" s="155"/>
      <c r="B203" s="61" t="s">
        <v>23</v>
      </c>
      <c r="C203" s="41"/>
      <c r="D203" s="88" t="e">
        <f t="shared" ref="D203" si="735">D202*T203</f>
        <v>#REF!</v>
      </c>
      <c r="E203" s="88" t="e">
        <f t="shared" ref="E203" si="736">E202*U203</f>
        <v>#REF!</v>
      </c>
      <c r="F203" s="88" t="e">
        <f t="shared" ref="F203" si="737">F202*V203</f>
        <v>#REF!</v>
      </c>
      <c r="G203" s="88" t="e">
        <f t="shared" ref="G203" si="738">G202*W203</f>
        <v>#REF!</v>
      </c>
      <c r="H203" s="88" t="e">
        <f t="shared" ref="H203" si="739">H202*X203</f>
        <v>#REF!</v>
      </c>
      <c r="I203" s="88" t="e">
        <f t="shared" ref="I203" si="740">I202*Y203</f>
        <v>#REF!</v>
      </c>
      <c r="J203" s="88" t="e">
        <f t="shared" ref="J203" si="741">J202*Z203</f>
        <v>#REF!</v>
      </c>
      <c r="K203" s="88" t="e">
        <f t="shared" ref="K203" si="742">K202*AA203</f>
        <v>#REF!</v>
      </c>
      <c r="L203" s="88" t="e">
        <f t="shared" ref="L203" si="743">L202*AB203</f>
        <v>#REF!</v>
      </c>
      <c r="M203" s="88" t="e">
        <f t="shared" ref="M203" si="744">M202*AC203</f>
        <v>#REF!</v>
      </c>
      <c r="N203" s="88" t="e">
        <f t="shared" ref="N203" si="745">N202*AD203</f>
        <v>#REF!</v>
      </c>
      <c r="O203" s="88" t="e">
        <f t="shared" ref="O203" si="746">O202*AE203</f>
        <v>#REF!</v>
      </c>
      <c r="P203" s="88" t="e">
        <f t="shared" ref="P203" si="747">P202*AF203</f>
        <v>#REF!</v>
      </c>
      <c r="Q203" s="88" t="e">
        <f t="shared" ref="Q203" si="748">Q202*AG203</f>
        <v>#REF!</v>
      </c>
      <c r="R203" s="74" t="e">
        <f t="shared" si="720"/>
        <v>#REF!</v>
      </c>
      <c r="S203" s="61"/>
      <c r="T203" s="67">
        <v>0.34999999999999987</v>
      </c>
      <c r="U203" s="67">
        <v>0.34938588387166564</v>
      </c>
      <c r="V203" s="67">
        <v>0.34877284528224306</v>
      </c>
      <c r="W203" s="67">
        <v>0.34816088234106346</v>
      </c>
      <c r="X203" s="67">
        <v>0.34754999316077562</v>
      </c>
      <c r="Y203" s="67">
        <v>0.34694017585733994</v>
      </c>
      <c r="Z203" s="67">
        <v>0.34633142855002247</v>
      </c>
      <c r="AA203" s="67">
        <v>0.34572374936138933</v>
      </c>
      <c r="AB203" s="67">
        <v>0.34511713641730069</v>
      </c>
      <c r="AC203" s="67">
        <v>0.34451158784690528</v>
      </c>
      <c r="AD203" s="67">
        <v>0.34390710178263434</v>
      </c>
      <c r="AE203" s="67">
        <v>0.34330367636019604</v>
      </c>
      <c r="AF203" s="67">
        <v>0.34270130971856966</v>
      </c>
      <c r="AG203" s="67">
        <v>0.34209999999999979</v>
      </c>
    </row>
    <row r="204" spans="1:33" ht="15" hidden="1" thickBot="1" x14ac:dyDescent="0.4">
      <c r="A204" s="155"/>
      <c r="B204" s="61" t="s">
        <v>24</v>
      </c>
      <c r="C204" s="41"/>
      <c r="D204" s="88" t="e">
        <f t="shared" ref="D204" si="749">D202*T204</f>
        <v>#REF!</v>
      </c>
      <c r="E204" s="88" t="e">
        <f t="shared" ref="E204" si="750">E202*U204</f>
        <v>#REF!</v>
      </c>
      <c r="F204" s="88" t="e">
        <f t="shared" ref="F204" si="751">F202*V204</f>
        <v>#REF!</v>
      </c>
      <c r="G204" s="88" t="e">
        <f t="shared" ref="G204" si="752">G202*W204</f>
        <v>#REF!</v>
      </c>
      <c r="H204" s="88" t="e">
        <f t="shared" ref="H204" si="753">H202*X204</f>
        <v>#REF!</v>
      </c>
      <c r="I204" s="88" t="e">
        <f t="shared" ref="I204" si="754">I202*Y204</f>
        <v>#REF!</v>
      </c>
      <c r="J204" s="88" t="e">
        <f t="shared" ref="J204" si="755">J202*Z204</f>
        <v>#REF!</v>
      </c>
      <c r="K204" s="88" t="e">
        <f t="shared" ref="K204" si="756">K202*AA204</f>
        <v>#REF!</v>
      </c>
      <c r="L204" s="88" t="e">
        <f t="shared" ref="L204" si="757">L202*AB204</f>
        <v>#REF!</v>
      </c>
      <c r="M204" s="88" t="e">
        <f t="shared" ref="M204" si="758">M202*AC204</f>
        <v>#REF!</v>
      </c>
      <c r="N204" s="88" t="e">
        <f t="shared" ref="N204" si="759">N202*AD204</f>
        <v>#REF!</v>
      </c>
      <c r="O204" s="88" t="e">
        <f t="shared" ref="O204" si="760">O202*AE204</f>
        <v>#REF!</v>
      </c>
      <c r="P204" s="88" t="e">
        <f t="shared" ref="P204" si="761">P202*AF204</f>
        <v>#REF!</v>
      </c>
      <c r="Q204" s="88" t="e">
        <f t="shared" ref="Q204" si="762">Q202*AG204</f>
        <v>#REF!</v>
      </c>
      <c r="R204" s="74" t="e">
        <f t="shared" si="720"/>
        <v>#REF!</v>
      </c>
      <c r="S204" s="61"/>
      <c r="T204" s="67">
        <v>0.28000000000000003</v>
      </c>
      <c r="U204" s="67">
        <v>0.28097918830490543</v>
      </c>
      <c r="V204" s="67">
        <v>0.28196180093029821</v>
      </c>
      <c r="W204" s="67">
        <v>0.28294784985137333</v>
      </c>
      <c r="X204" s="67">
        <v>0.28393734708520407</v>
      </c>
      <c r="Y204" s="67">
        <v>0.28493030469088876</v>
      </c>
      <c r="Z204" s="67">
        <v>0.28592673476969749</v>
      </c>
      <c r="AA204" s="67">
        <v>0.28692664946521995</v>
      </c>
      <c r="AB204" s="67">
        <v>0.28793006096351298</v>
      </c>
      <c r="AC204" s="67">
        <v>0.28893698149324931</v>
      </c>
      <c r="AD204" s="67">
        <v>0.28994742332586665</v>
      </c>
      <c r="AE204" s="67">
        <v>0.29096139877571725</v>
      </c>
      <c r="AF204" s="67">
        <v>0.29197892020021765</v>
      </c>
      <c r="AG204" s="67">
        <v>0.29299999999999965</v>
      </c>
    </row>
    <row r="205" spans="1:33" ht="15" hidden="1" thickBot="1" x14ac:dyDescent="0.4">
      <c r="A205" s="155"/>
      <c r="B205" s="61" t="s">
        <v>25</v>
      </c>
      <c r="C205" s="41"/>
      <c r="D205" s="88" t="e">
        <f t="shared" ref="D205" si="763">D202*T205</f>
        <v>#REF!</v>
      </c>
      <c r="E205" s="88" t="e">
        <f t="shared" ref="E205" si="764">E202*U205</f>
        <v>#REF!</v>
      </c>
      <c r="F205" s="88" t="e">
        <f t="shared" ref="F205" si="765">F202*V205</f>
        <v>#REF!</v>
      </c>
      <c r="G205" s="88" t="e">
        <f t="shared" ref="G205" si="766">G202*W205</f>
        <v>#REF!</v>
      </c>
      <c r="H205" s="88" t="e">
        <f t="shared" ref="H205" si="767">H202*X205</f>
        <v>#REF!</v>
      </c>
      <c r="I205" s="88" t="e">
        <f t="shared" ref="I205" si="768">I202*Y205</f>
        <v>#REF!</v>
      </c>
      <c r="J205" s="88" t="e">
        <f t="shared" ref="J205" si="769">J202*Z205</f>
        <v>#REF!</v>
      </c>
      <c r="K205" s="88" t="e">
        <f t="shared" ref="K205" si="770">K202*AA205</f>
        <v>#REF!</v>
      </c>
      <c r="L205" s="88" t="e">
        <f t="shared" ref="L205" si="771">L202*AB205</f>
        <v>#REF!</v>
      </c>
      <c r="M205" s="88" t="e">
        <f t="shared" ref="M205" si="772">M202*AC205</f>
        <v>#REF!</v>
      </c>
      <c r="N205" s="88" t="e">
        <f t="shared" ref="N205" si="773">N202*AD205</f>
        <v>#REF!</v>
      </c>
      <c r="O205" s="88" t="e">
        <f t="shared" ref="O205" si="774">O202*AE205</f>
        <v>#REF!</v>
      </c>
      <c r="P205" s="88" t="e">
        <f t="shared" ref="P205" si="775">P202*AF205</f>
        <v>#REF!</v>
      </c>
      <c r="Q205" s="88" t="e">
        <f t="shared" ref="Q205" si="776">Q202*AG205</f>
        <v>#REF!</v>
      </c>
      <c r="R205" s="74" t="e">
        <f t="shared" si="720"/>
        <v>#REF!</v>
      </c>
      <c r="S205" s="61"/>
      <c r="T205" s="67">
        <f>1-SUM(T203:T204)</f>
        <v>0.37000000000000011</v>
      </c>
      <c r="U205" s="67">
        <f t="shared" ref="U205:AG205" si="777">1-SUM(U203:U204)</f>
        <v>0.36963492782342899</v>
      </c>
      <c r="V205" s="67">
        <f t="shared" si="777"/>
        <v>0.36926535378745873</v>
      </c>
      <c r="W205" s="67">
        <f t="shared" si="777"/>
        <v>0.36889126780756321</v>
      </c>
      <c r="X205" s="67">
        <f t="shared" si="777"/>
        <v>0.36851265975402026</v>
      </c>
      <c r="Y205" s="67">
        <f t="shared" si="777"/>
        <v>0.3681295194517713</v>
      </c>
      <c r="Z205" s="67">
        <f t="shared" si="777"/>
        <v>0.36774183668028004</v>
      </c>
      <c r="AA205" s="67">
        <f t="shared" si="777"/>
        <v>0.36734960117339077</v>
      </c>
      <c r="AB205" s="67">
        <f t="shared" si="777"/>
        <v>0.36695280261918639</v>
      </c>
      <c r="AC205" s="67">
        <f t="shared" si="777"/>
        <v>0.36655143065984541</v>
      </c>
      <c r="AD205" s="67">
        <f t="shared" si="777"/>
        <v>0.36614547489149896</v>
      </c>
      <c r="AE205" s="67">
        <f t="shared" si="777"/>
        <v>0.36573492486408665</v>
      </c>
      <c r="AF205" s="67">
        <f t="shared" si="777"/>
        <v>0.36531977008121275</v>
      </c>
      <c r="AG205" s="67">
        <f t="shared" si="777"/>
        <v>0.36490000000000056</v>
      </c>
    </row>
    <row r="206" spans="1:33" ht="15" hidden="1" thickBot="1" x14ac:dyDescent="0.4">
      <c r="A206" s="151"/>
      <c r="B206" s="62" t="s">
        <v>26</v>
      </c>
      <c r="C206" s="51"/>
      <c r="D206" s="89" t="e">
        <f t="shared" ref="D206" si="778">D191*T206</f>
        <v>#REF!</v>
      </c>
      <c r="E206" s="89" t="e">
        <f t="shared" ref="E206" si="779">E191*U206</f>
        <v>#REF!</v>
      </c>
      <c r="F206" s="89" t="e">
        <f t="shared" ref="F206" si="780">F191*V206</f>
        <v>#REF!</v>
      </c>
      <c r="G206" s="89" t="e">
        <f t="shared" ref="G206" si="781">G191*W206</f>
        <v>#REF!</v>
      </c>
      <c r="H206" s="89" t="e">
        <f t="shared" ref="H206" si="782">H191*X206</f>
        <v>#REF!</v>
      </c>
      <c r="I206" s="89" t="e">
        <f t="shared" ref="I206" si="783">I191*Y206</f>
        <v>#REF!</v>
      </c>
      <c r="J206" s="89" t="e">
        <f t="shared" ref="J206" si="784">J191*Z206</f>
        <v>#REF!</v>
      </c>
      <c r="K206" s="89" t="e">
        <f t="shared" ref="K206" si="785">K191*AA206</f>
        <v>#REF!</v>
      </c>
      <c r="L206" s="89" t="e">
        <f t="shared" ref="L206" si="786">L191*AB206</f>
        <v>#REF!</v>
      </c>
      <c r="M206" s="89" t="e">
        <f t="shared" ref="M206" si="787">M191*AC206</f>
        <v>#REF!</v>
      </c>
      <c r="N206" s="89" t="e">
        <f t="shared" ref="N206" si="788">N191*AD206</f>
        <v>#REF!</v>
      </c>
      <c r="O206" s="89" t="e">
        <f t="shared" ref="O206" si="789">O191*AE206</f>
        <v>#REF!</v>
      </c>
      <c r="P206" s="89" t="e">
        <f t="shared" ref="P206" si="790">P191*AF206</f>
        <v>#REF!</v>
      </c>
      <c r="Q206" s="89" t="e">
        <f t="shared" ref="Q206" si="791">Q191*AG206</f>
        <v>#REF!</v>
      </c>
      <c r="R206" s="75" t="e">
        <f t="shared" si="720"/>
        <v>#REF!</v>
      </c>
      <c r="S206" s="62"/>
      <c r="T206" s="12">
        <f>1-SUM(T201+T202)</f>
        <v>0.37</v>
      </c>
      <c r="U206" s="12">
        <f t="shared" ref="U206:AG206" si="792">1-SUM(U201+U202)</f>
        <v>0.36753417522645271</v>
      </c>
      <c r="V206" s="12">
        <f t="shared" si="792"/>
        <v>0.36505648803236646</v>
      </c>
      <c r="W206" s="12">
        <f t="shared" si="792"/>
        <v>0.36256687293191459</v>
      </c>
      <c r="X206" s="12">
        <f t="shared" si="792"/>
        <v>0.36006526405167993</v>
      </c>
      <c r="Y206" s="12">
        <f t="shared" si="792"/>
        <v>0.35755159512829038</v>
      </c>
      <c r="Z206" s="12">
        <f t="shared" si="792"/>
        <v>0.35502579950603996</v>
      </c>
      <c r="AA206" s="12">
        <f t="shared" si="792"/>
        <v>0.35248781013449515</v>
      </c>
      <c r="AB206" s="12">
        <f t="shared" si="792"/>
        <v>0.34993755956608608</v>
      </c>
      <c r="AC206" s="12">
        <f t="shared" si="792"/>
        <v>0.3473749799536836</v>
      </c>
      <c r="AD206" s="12">
        <f t="shared" si="792"/>
        <v>0.34480000304816039</v>
      </c>
      <c r="AE206" s="12">
        <f t="shared" si="792"/>
        <v>0.34221256019593804</v>
      </c>
      <c r="AF206" s="12">
        <f t="shared" si="792"/>
        <v>0.33961258233651859</v>
      </c>
      <c r="AG206" s="12">
        <f t="shared" si="792"/>
        <v>0.33699999999999986</v>
      </c>
    </row>
    <row r="207" spans="1:33" ht="15" hidden="1" thickBot="1" x14ac:dyDescent="0.4">
      <c r="A207" s="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21"/>
    </row>
    <row r="208" spans="1:33" ht="15" hidden="1" thickBot="1" x14ac:dyDescent="0.4">
      <c r="A208" s="152" t="s">
        <v>27</v>
      </c>
      <c r="B208" s="54" t="s">
        <v>28</v>
      </c>
      <c r="C208" s="49"/>
      <c r="D208" s="84" t="e">
        <f t="shared" ref="D208" si="793">D191*T208</f>
        <v>#REF!</v>
      </c>
      <c r="E208" s="84" t="e">
        <f t="shared" ref="E208" si="794">E191*U208</f>
        <v>#REF!</v>
      </c>
      <c r="F208" s="84" t="e">
        <f t="shared" ref="F208" si="795">F191*V208</f>
        <v>#REF!</v>
      </c>
      <c r="G208" s="84" t="e">
        <f t="shared" ref="G208" si="796">G191*W208</f>
        <v>#REF!</v>
      </c>
      <c r="H208" s="84" t="e">
        <f t="shared" ref="H208" si="797">H191*X208</f>
        <v>#REF!</v>
      </c>
      <c r="I208" s="84" t="e">
        <f t="shared" ref="I208" si="798">I191*Y208</f>
        <v>#REF!</v>
      </c>
      <c r="J208" s="84" t="e">
        <f t="shared" ref="J208" si="799">J191*Z208</f>
        <v>#REF!</v>
      </c>
      <c r="K208" s="84" t="e">
        <f t="shared" ref="K208" si="800">K191*AA208</f>
        <v>#REF!</v>
      </c>
      <c r="L208" s="84" t="e">
        <f t="shared" ref="L208" si="801">L191*AB208</f>
        <v>#REF!</v>
      </c>
      <c r="M208" s="84" t="e">
        <f t="shared" ref="M208" si="802">M191*AC208</f>
        <v>#REF!</v>
      </c>
      <c r="N208" s="84" t="e">
        <f t="shared" ref="N208" si="803">N191*AD208</f>
        <v>#REF!</v>
      </c>
      <c r="O208" s="84" t="e">
        <f t="shared" ref="O208" si="804">O191*AE208</f>
        <v>#REF!</v>
      </c>
      <c r="P208" s="84" t="e">
        <f t="shared" ref="P208" si="805">P191*AF208</f>
        <v>#REF!</v>
      </c>
      <c r="Q208" s="84" t="e">
        <f t="shared" ref="Q208" si="806">Q191*AG208</f>
        <v>#REF!</v>
      </c>
      <c r="R208" s="71" t="e">
        <f>RATE(12,,-E208,Q208)</f>
        <v>#REF!</v>
      </c>
      <c r="S208" s="54"/>
      <c r="T208" s="12">
        <v>0.40099999999999997</v>
      </c>
      <c r="U208" s="12">
        <v>0.40265090533119946</v>
      </c>
      <c r="V208" s="12">
        <v>0.40430860739160734</v>
      </c>
      <c r="W208" s="12">
        <v>0.40597313416316017</v>
      </c>
      <c r="X208" s="12">
        <v>0.40764451374299493</v>
      </c>
      <c r="Y208" s="12">
        <v>0.40932277434392395</v>
      </c>
      <c r="Z208" s="12">
        <v>0.41100794429491083</v>
      </c>
      <c r="AA208" s="12">
        <v>0.4127000520415488</v>
      </c>
      <c r="AB208" s="12">
        <v>0.41439912614654062</v>
      </c>
      <c r="AC208" s="12">
        <v>0.41610519529018092</v>
      </c>
      <c r="AD208" s="12">
        <v>0.41781828827084017</v>
      </c>
      <c r="AE208" s="12">
        <v>0.4195384340054511</v>
      </c>
      <c r="AF208" s="12">
        <v>0.4212656615299965</v>
      </c>
      <c r="AG208" s="12">
        <v>0.42299999999999938</v>
      </c>
    </row>
    <row r="209" spans="1:33" ht="15" hidden="1" thickBot="1" x14ac:dyDescent="0.4">
      <c r="A209" s="154"/>
      <c r="B209" s="55" t="s">
        <v>29</v>
      </c>
      <c r="C209" s="40"/>
      <c r="D209" s="90" t="e">
        <f t="shared" ref="D209" si="807">D191*T209</f>
        <v>#REF!</v>
      </c>
      <c r="E209" s="90" t="e">
        <f t="shared" ref="E209" si="808">E191*U209</f>
        <v>#REF!</v>
      </c>
      <c r="F209" s="90" t="e">
        <f t="shared" ref="F209" si="809">F191*V209</f>
        <v>#REF!</v>
      </c>
      <c r="G209" s="90" t="e">
        <f t="shared" ref="G209" si="810">G191*W209</f>
        <v>#REF!</v>
      </c>
      <c r="H209" s="90" t="e">
        <f t="shared" ref="H209" si="811">H191*X209</f>
        <v>#REF!</v>
      </c>
      <c r="I209" s="90" t="e">
        <f t="shared" ref="I209" si="812">I191*Y209</f>
        <v>#REF!</v>
      </c>
      <c r="J209" s="90" t="e">
        <f t="shared" ref="J209" si="813">J191*Z209</f>
        <v>#REF!</v>
      </c>
      <c r="K209" s="90" t="e">
        <f t="shared" ref="K209" si="814">K191*AA209</f>
        <v>#REF!</v>
      </c>
      <c r="L209" s="90" t="e">
        <f t="shared" ref="L209" si="815">L191*AB209</f>
        <v>#REF!</v>
      </c>
      <c r="M209" s="90" t="e">
        <f t="shared" ref="M209" si="816">M191*AC209</f>
        <v>#REF!</v>
      </c>
      <c r="N209" s="90" t="e">
        <f t="shared" ref="N209" si="817">N191*AD209</f>
        <v>#REF!</v>
      </c>
      <c r="O209" s="90" t="e">
        <f t="shared" ref="O209" si="818">O191*AE209</f>
        <v>#REF!</v>
      </c>
      <c r="P209" s="90" t="e">
        <f t="shared" ref="P209" si="819">P191*AF209</f>
        <v>#REF!</v>
      </c>
      <c r="Q209" s="90" t="e">
        <f t="shared" ref="Q209" si="820">Q191*AG209</f>
        <v>#REF!</v>
      </c>
      <c r="R209" s="76" t="e">
        <f>RATE(12,,-E209,Q209)</f>
        <v>#REF!</v>
      </c>
      <c r="S209" s="55"/>
      <c r="T209" s="12">
        <v>0.43099999999999999</v>
      </c>
      <c r="U209" s="12">
        <v>0.43183634674261745</v>
      </c>
      <c r="V209" s="12">
        <v>0.43267431639909548</v>
      </c>
      <c r="W209" s="12">
        <v>0.43351391211866536</v>
      </c>
      <c r="X209" s="12">
        <v>0.43435513705666956</v>
      </c>
      <c r="Y209" s="12">
        <v>0.43519799437457324</v>
      </c>
      <c r="Z209" s="12">
        <v>0.43604248723997657</v>
      </c>
      <c r="AA209" s="12">
        <v>0.43688861882662616</v>
      </c>
      <c r="AB209" s="12">
        <v>0.43773639231442729</v>
      </c>
      <c r="AC209" s="12">
        <v>0.43858581088945586</v>
      </c>
      <c r="AD209" s="12">
        <v>0.43943687774397006</v>
      </c>
      <c r="AE209" s="12">
        <v>0.44028959607642287</v>
      </c>
      <c r="AF209" s="12">
        <v>0.44114396909147369</v>
      </c>
      <c r="AG209" s="12">
        <v>0.44200000000000028</v>
      </c>
    </row>
    <row r="210" spans="1:33" ht="15" hidden="1" thickBot="1" x14ac:dyDescent="0.4">
      <c r="A210" s="153"/>
      <c r="B210" s="56" t="s">
        <v>30</v>
      </c>
      <c r="C210" s="44"/>
      <c r="D210" s="85" t="e">
        <f t="shared" ref="D210" si="821">D191*T210</f>
        <v>#REF!</v>
      </c>
      <c r="E210" s="85" t="e">
        <f t="shared" ref="E210" si="822">E191*U210</f>
        <v>#REF!</v>
      </c>
      <c r="F210" s="85" t="e">
        <f t="shared" ref="F210" si="823">F191*V210</f>
        <v>#REF!</v>
      </c>
      <c r="G210" s="85" t="e">
        <f t="shared" ref="G210" si="824">G191*W210</f>
        <v>#REF!</v>
      </c>
      <c r="H210" s="85" t="e">
        <f t="shared" ref="H210" si="825">H191*X210</f>
        <v>#REF!</v>
      </c>
      <c r="I210" s="85" t="e">
        <f t="shared" ref="I210" si="826">I191*Y210</f>
        <v>#REF!</v>
      </c>
      <c r="J210" s="85" t="e">
        <f t="shared" ref="J210" si="827">J191*Z210</f>
        <v>#REF!</v>
      </c>
      <c r="K210" s="85" t="e">
        <f t="shared" ref="K210" si="828">K191*AA210</f>
        <v>#REF!</v>
      </c>
      <c r="L210" s="85" t="e">
        <f t="shared" ref="L210" si="829">L191*AB210</f>
        <v>#REF!</v>
      </c>
      <c r="M210" s="85" t="e">
        <f t="shared" ref="M210" si="830">M191*AC210</f>
        <v>#REF!</v>
      </c>
      <c r="N210" s="85" t="e">
        <f t="shared" ref="N210" si="831">N191*AD210</f>
        <v>#REF!</v>
      </c>
      <c r="O210" s="85" t="e">
        <f t="shared" ref="O210" si="832">O191*AE210</f>
        <v>#REF!</v>
      </c>
      <c r="P210" s="85" t="e">
        <f t="shared" ref="P210" si="833">P191*AF210</f>
        <v>#REF!</v>
      </c>
      <c r="Q210" s="85" t="e">
        <f t="shared" ref="Q210" si="834">Q191*AG210</f>
        <v>#REF!</v>
      </c>
      <c r="R210" s="72" t="e">
        <f>RATE(12,,-E210,Q210)</f>
        <v>#REF!</v>
      </c>
      <c r="S210" s="56"/>
      <c r="T210" s="12">
        <f>1-SUM(T208:T209)</f>
        <v>0.16800000000000004</v>
      </c>
      <c r="U210" s="12">
        <f t="shared" ref="U210:AG210" si="835">1-SUM(U208:U209)</f>
        <v>0.16551274792618309</v>
      </c>
      <c r="V210" s="12">
        <f t="shared" si="835"/>
        <v>0.16301707620929717</v>
      </c>
      <c r="W210" s="12">
        <f t="shared" si="835"/>
        <v>0.16051295371817442</v>
      </c>
      <c r="X210" s="12">
        <f t="shared" si="835"/>
        <v>0.15800034920033545</v>
      </c>
      <c r="Y210" s="12">
        <f t="shared" si="835"/>
        <v>0.15547923128150276</v>
      </c>
      <c r="Z210" s="12">
        <f t="shared" si="835"/>
        <v>0.15294956846511254</v>
      </c>
      <c r="AA210" s="12">
        <f t="shared" si="835"/>
        <v>0.15041132913182498</v>
      </c>
      <c r="AB210" s="12">
        <f t="shared" si="835"/>
        <v>0.14786448153903209</v>
      </c>
      <c r="AC210" s="12">
        <f t="shared" si="835"/>
        <v>0.14530899382036322</v>
      </c>
      <c r="AD210" s="12">
        <f t="shared" si="835"/>
        <v>0.14274483398518978</v>
      </c>
      <c r="AE210" s="12">
        <f t="shared" si="835"/>
        <v>0.14017196991812608</v>
      </c>
      <c r="AF210" s="12">
        <f t="shared" si="835"/>
        <v>0.13759036937852986</v>
      </c>
      <c r="AG210" s="12">
        <f t="shared" si="835"/>
        <v>0.13500000000000034</v>
      </c>
    </row>
    <row r="211" spans="1:33" ht="15.5" x14ac:dyDescent="0.35">
      <c r="A211" s="42"/>
      <c r="B211" s="43"/>
      <c r="C211" s="93"/>
      <c r="D211" s="91">
        <v>2023</v>
      </c>
      <c r="E211" s="65">
        <v>2024</v>
      </c>
      <c r="F211" s="65">
        <v>2025</v>
      </c>
      <c r="G211" s="65">
        <v>2026</v>
      </c>
      <c r="H211" s="65">
        <v>2027</v>
      </c>
      <c r="I211" s="65">
        <v>2028</v>
      </c>
      <c r="J211" s="65">
        <v>2029</v>
      </c>
      <c r="K211" s="65">
        <v>2030</v>
      </c>
      <c r="L211" s="65">
        <v>2031</v>
      </c>
      <c r="M211" s="65">
        <v>2032</v>
      </c>
      <c r="N211" s="65">
        <v>2033</v>
      </c>
      <c r="O211" s="65">
        <v>2034</v>
      </c>
      <c r="P211" s="65">
        <v>2035</v>
      </c>
      <c r="Q211" s="65">
        <v>2036</v>
      </c>
      <c r="R211" s="66" t="s">
        <v>84</v>
      </c>
    </row>
    <row r="212" spans="1:33" ht="16" thickBot="1" x14ac:dyDescent="0.4">
      <c r="A212" s="1"/>
      <c r="C212" s="21"/>
      <c r="D212" s="92">
        <f>'Market Analysis '!C53</f>
        <v>115.64279999999999</v>
      </c>
      <c r="E212" s="92">
        <f>'Market Analysis '!D53</f>
        <v>130.09815</v>
      </c>
      <c r="F212" s="92">
        <f>'Market Analysis '!E53</f>
        <v>146.65456387738467</v>
      </c>
      <c r="G212" s="92">
        <f>'Market Analysis '!F53</f>
        <v>165.65553844236058</v>
      </c>
      <c r="H212" s="92">
        <f>'Market Analysis '!G53</f>
        <v>187.50654235220202</v>
      </c>
      <c r="I212" s="92">
        <f>'Market Analysis '!H53</f>
        <v>212.6871960399437</v>
      </c>
      <c r="J212" s="92">
        <f>'Market Analysis '!I53</f>
        <v>241.76603490694808</v>
      </c>
      <c r="K212" s="92">
        <f>'Market Analysis '!J53</f>
        <v>275.41844273938875</v>
      </c>
      <c r="L212" s="92">
        <f>'Market Analysis '!K53</f>
        <v>314.44848436061505</v>
      </c>
      <c r="M212" s="92">
        <f>'Market Analysis '!L53</f>
        <v>359.81554502717933</v>
      </c>
      <c r="N212" s="92">
        <f>'Market Analysis '!M53</f>
        <v>412.66690888835706</v>
      </c>
      <c r="O212" s="92">
        <f>'Market Analysis '!N53</f>
        <v>474.3776926439358</v>
      </c>
      <c r="P212" s="92">
        <f>'Market Analysis '!O53</f>
        <v>546.59990969568059</v>
      </c>
      <c r="Q212" s="92">
        <f>'Market Analysis '!P53</f>
        <v>631.32289569851127</v>
      </c>
      <c r="R212" s="68">
        <f>RATE(12,,-E212,Q212)</f>
        <v>0.14068317271255587</v>
      </c>
      <c r="T212" s="65">
        <v>2023</v>
      </c>
      <c r="U212" s="65">
        <v>2024</v>
      </c>
      <c r="V212" s="65">
        <v>2025</v>
      </c>
      <c r="W212" s="65">
        <v>2026</v>
      </c>
      <c r="X212" s="65">
        <v>2027</v>
      </c>
      <c r="Y212" s="65">
        <v>2028</v>
      </c>
      <c r="Z212" s="65">
        <v>2029</v>
      </c>
      <c r="AA212" s="65">
        <v>2030</v>
      </c>
      <c r="AB212" s="65">
        <v>2031</v>
      </c>
      <c r="AC212" s="65">
        <v>2032</v>
      </c>
      <c r="AD212" s="65">
        <v>2033</v>
      </c>
      <c r="AE212" s="65">
        <v>2034</v>
      </c>
      <c r="AF212" s="65">
        <v>2035</v>
      </c>
      <c r="AG212" s="65">
        <v>2036</v>
      </c>
    </row>
    <row r="213" spans="1:33" s="121" customFormat="1" x14ac:dyDescent="0.35">
      <c r="A213" s="147" t="s">
        <v>59</v>
      </c>
      <c r="B213" s="118" t="s">
        <v>60</v>
      </c>
      <c r="C213" s="119"/>
      <c r="D213" s="120">
        <f>D212*T213</f>
        <v>40.474979999999988</v>
      </c>
      <c r="E213" s="120">
        <f t="shared" ref="E213" si="836">E212*U213</f>
        <v>46.004475566229388</v>
      </c>
      <c r="F213" s="120">
        <f>F212*V213</f>
        <v>52.394471628896923</v>
      </c>
      <c r="G213" s="120">
        <f t="shared" ref="G213" si="837">G212*W213</f>
        <v>59.793883615784651</v>
      </c>
      <c r="H213" s="120">
        <f t="shared" ref="H213" si="838">H212*X213</f>
        <v>68.379850315180434</v>
      </c>
      <c r="I213" s="120">
        <f t="shared" ref="I213" si="839">I212*Y213</f>
        <v>78.363528902821088</v>
      </c>
      <c r="J213" s="120">
        <f t="shared" ref="J213" si="840">J212*Z213</f>
        <v>89.997168580733614</v>
      </c>
      <c r="K213" s="120">
        <f t="shared" ref="K213" si="841">K212*AA213</f>
        <v>103.582764044695</v>
      </c>
      <c r="L213" s="120">
        <f t="shared" ref="L213" si="842">L212*AB213</f>
        <v>119.48266537211335</v>
      </c>
      <c r="M213" s="120">
        <f t="shared" ref="M213" si="843">M212*AC213</f>
        <v>138.13261624630687</v>
      </c>
      <c r="N213" s="120">
        <f t="shared" ref="N213" si="844">N212*AD213</f>
        <v>160.05781327051807</v>
      </c>
      <c r="O213" s="120">
        <f t="shared" ref="O213" si="845">O212*AE213</f>
        <v>185.89273267006621</v>
      </c>
      <c r="P213" s="120">
        <f t="shared" ref="P213" si="846">P212*AF213</f>
        <v>216.40566625932084</v>
      </c>
      <c r="Q213" s="120">
        <f t="shared" ref="Q213" si="847">Q212*AG213</f>
        <v>252.52915827940458</v>
      </c>
      <c r="R213" s="68">
        <f>RATE(9,,-H213,Q213)</f>
        <v>0.1562256466236743</v>
      </c>
      <c r="S213" s="118" t="s">
        <v>60</v>
      </c>
      <c r="T213" s="116">
        <v>0.34999999999999992</v>
      </c>
      <c r="U213" s="116">
        <v>0.35361360300841621</v>
      </c>
      <c r="V213" s="116">
        <v>0.35726451495026795</v>
      </c>
      <c r="W213" s="116">
        <v>0.36095312102462412</v>
      </c>
      <c r="X213" s="116">
        <v>0.36467981040757214</v>
      </c>
      <c r="Y213" s="116">
        <v>0.36844497629327921</v>
      </c>
      <c r="Z213" s="116">
        <v>0.37224901593547705</v>
      </c>
      <c r="AA213" s="116">
        <v>0.37609233068937542</v>
      </c>
      <c r="AB213" s="116">
        <v>0.37997532605400802</v>
      </c>
      <c r="AC213" s="116">
        <v>0.38389841171501571</v>
      </c>
      <c r="AD213" s="116">
        <v>0.38786200158787171</v>
      </c>
      <c r="AE213" s="116">
        <v>0.39186651386155258</v>
      </c>
      <c r="AF213" s="116">
        <v>0.39591237104266019</v>
      </c>
      <c r="AG213" s="116">
        <v>0.40000000000000013</v>
      </c>
    </row>
    <row r="214" spans="1:33" s="117" customFormat="1" x14ac:dyDescent="0.35">
      <c r="A214" s="148"/>
      <c r="B214" s="113" t="s">
        <v>61</v>
      </c>
      <c r="C214" s="114"/>
      <c r="D214" s="115">
        <f>D212*T214</f>
        <v>34.692840000000004</v>
      </c>
      <c r="E214" s="115">
        <f t="shared" ref="E214" si="848">E212*U214</f>
        <v>39.049398776984866</v>
      </c>
      <c r="F214" s="115">
        <f t="shared" ref="F214" si="849">F212*V214</f>
        <v>44.041366889916972</v>
      </c>
      <c r="G214" s="115">
        <f t="shared" ref="G214" si="850">G212*W214</f>
        <v>49.772922660232929</v>
      </c>
      <c r="H214" s="115">
        <f t="shared" ref="H214" si="851">H212*X214</f>
        <v>56.367086062556851</v>
      </c>
      <c r="I214" s="115">
        <f t="shared" ref="I214" si="852">I212*Y214</f>
        <v>63.969429945795916</v>
      </c>
      <c r="J214" s="115">
        <f t="shared" ref="J214" si="853">J212*Z214</f>
        <v>72.752579924246106</v>
      </c>
      <c r="K214" s="115">
        <f t="shared" ref="K214" si="854">K212*AA214</f>
        <v>82.921682460028322</v>
      </c>
      <c r="L214" s="115">
        <f t="shared" ref="L214" si="855">L212*AB214</f>
        <v>94.7210641768594</v>
      </c>
      <c r="M214" s="115">
        <f t="shared" ref="M214" si="856">M212*AC214</f>
        <v>108.44236014598157</v>
      </c>
      <c r="N214" s="115">
        <f t="shared" ref="N214" si="857">N212*AD214</f>
        <v>124.43445780157147</v>
      </c>
      <c r="O214" s="115">
        <f t="shared" ref="O214" si="858">O212*AE214</f>
        <v>143.11569017461261</v>
      </c>
      <c r="P214" s="115">
        <f t="shared" ref="P214" si="859">P212*AF214</f>
        <v>164.98882230586227</v>
      </c>
      <c r="Q214" s="115">
        <f t="shared" ref="Q214" si="860">Q212*AG214</f>
        <v>190.65951450095062</v>
      </c>
      <c r="R214" s="68">
        <f>RATE(9,,-H214,Q214)</f>
        <v>0.14499517191286407</v>
      </c>
      <c r="S214" s="113" t="s">
        <v>61</v>
      </c>
      <c r="T214" s="116">
        <v>0.30000000000000004</v>
      </c>
      <c r="U214" s="116">
        <v>0.30015337479422161</v>
      </c>
      <c r="V214" s="116">
        <v>0.30030682800120145</v>
      </c>
      <c r="W214" s="116">
        <v>0.30046035966102813</v>
      </c>
      <c r="X214" s="116">
        <v>0.30061396981381056</v>
      </c>
      <c r="Y214" s="116">
        <v>0.30076765849967829</v>
      </c>
      <c r="Z214" s="116">
        <v>0.30092142575878128</v>
      </c>
      <c r="AA214" s="116">
        <v>0.30107527163128989</v>
      </c>
      <c r="AB214" s="116">
        <v>0.30122919615739541</v>
      </c>
      <c r="AC214" s="116">
        <v>0.30138319937730923</v>
      </c>
      <c r="AD214" s="116">
        <v>0.30153728133126367</v>
      </c>
      <c r="AE214" s="116">
        <v>0.30169144205951126</v>
      </c>
      <c r="AF214" s="116">
        <v>0.3018456816023255</v>
      </c>
      <c r="AG214" s="116">
        <v>0.30200000000000032</v>
      </c>
    </row>
    <row r="215" spans="1:33" s="117" customFormat="1" x14ac:dyDescent="0.35">
      <c r="A215" s="148"/>
      <c r="B215" s="113" t="s">
        <v>62</v>
      </c>
      <c r="C215" s="114"/>
      <c r="D215" s="115">
        <f>D212*T215</f>
        <v>17.346419999999998</v>
      </c>
      <c r="E215" s="115">
        <f t="shared" ref="E215" si="861">E212*U215</f>
        <v>19.544471519696089</v>
      </c>
      <c r="F215" s="115">
        <f t="shared" ref="F215" si="862">F212*V215</f>
        <v>22.065305519834499</v>
      </c>
      <c r="G215" s="115">
        <f t="shared" ref="G215" si="863">G212*W215</f>
        <v>24.962143444007015</v>
      </c>
      <c r="H215" s="115">
        <f t="shared" ref="H215" si="864">H212*X215</f>
        <v>28.297879387907432</v>
      </c>
      <c r="I215" s="115">
        <f t="shared" ref="I215" si="865">I212*Y215</f>
        <v>32.146993558267141</v>
      </c>
      <c r="J215" s="115">
        <f t="shared" ref="J215" si="866">J212*Z215</f>
        <v>36.59787394742014</v>
      </c>
      <c r="K215" s="115">
        <f t="shared" ref="K215" si="867">K212*AA215</f>
        <v>41.75563947524514</v>
      </c>
      <c r="L215" s="115">
        <f t="shared" ref="L215" si="868">L212*AB215</f>
        <v>47.745580530338231</v>
      </c>
      <c r="M215" s="115">
        <f t="shared" ref="M215" si="869">M212*AC215</f>
        <v>54.717361367908282</v>
      </c>
      <c r="N215" s="115">
        <f t="shared" ref="N215" si="870">N212*AD215</f>
        <v>62.850164783418805</v>
      </c>
      <c r="O215" s="115">
        <f t="shared" ref="O215" si="871">O212*AE215</f>
        <v>72.359004924001539</v>
      </c>
      <c r="P215" s="115">
        <f t="shared" ref="P215" si="872">P212*AF215</f>
        <v>83.502491661617654</v>
      </c>
      <c r="Q215" s="115">
        <f t="shared" ref="Q215" si="873">Q212*AG215</f>
        <v>96.592403041872089</v>
      </c>
      <c r="R215" s="68">
        <f>RATE(9,,-H215,Q215)</f>
        <v>0.14615467733295581</v>
      </c>
      <c r="S215" s="113" t="s">
        <v>62</v>
      </c>
      <c r="T215" s="116">
        <v>0.15</v>
      </c>
      <c r="U215" s="116">
        <v>0.15022866597023929</v>
      </c>
      <c r="V215" s="116">
        <v>0.15045768052798492</v>
      </c>
      <c r="W215" s="116">
        <v>0.15068704420463749</v>
      </c>
      <c r="X215" s="116">
        <v>0.15091675753240782</v>
      </c>
      <c r="Y215" s="116">
        <v>0.15114682104431795</v>
      </c>
      <c r="Z215" s="116">
        <v>0.15137723527420252</v>
      </c>
      <c r="AA215" s="116">
        <v>0.15160800075670999</v>
      </c>
      <c r="AB215" s="116">
        <v>0.15183911802730382</v>
      </c>
      <c r="AC215" s="116">
        <v>0.1520705876222638</v>
      </c>
      <c r="AD215" s="116">
        <v>0.15230241007868719</v>
      </c>
      <c r="AE215" s="116">
        <v>0.15253458593449007</v>
      </c>
      <c r="AF215" s="116">
        <v>0.15276711572840845</v>
      </c>
      <c r="AG215" s="116">
        <v>0.15299999999999978</v>
      </c>
    </row>
    <row r="216" spans="1:33" s="117" customFormat="1" x14ac:dyDescent="0.35">
      <c r="A216" s="148"/>
      <c r="B216" s="113" t="s">
        <v>63</v>
      </c>
      <c r="C216" s="114"/>
      <c r="D216" s="115">
        <f>D212*T216</f>
        <v>13.877136000000002</v>
      </c>
      <c r="E216" s="115">
        <f t="shared" ref="E216" si="874">E212*U216</f>
        <v>15.631640762813214</v>
      </c>
      <c r="F216" s="115">
        <f t="shared" ref="F216" si="875">F212*V216</f>
        <v>17.64335718626387</v>
      </c>
      <c r="G216" s="115">
        <f t="shared" ref="G216" si="876">G212*W216</f>
        <v>19.954635672676051</v>
      </c>
      <c r="H216" s="115">
        <f t="shared" ref="H216" si="877">H212*X216</f>
        <v>22.615514209406474</v>
      </c>
      <c r="I216" s="115">
        <f t="shared" ref="I216" si="878">I212*Y216</f>
        <v>25.685237505898627</v>
      </c>
      <c r="J216" s="115">
        <f t="shared" ref="J216" si="879">J212*Z216</f>
        <v>29.23409990814487</v>
      </c>
      <c r="K216" s="115">
        <f t="shared" ref="K216" si="880">K212*AA216</f>
        <v>33.345685987949381</v>
      </c>
      <c r="L216" s="115">
        <f t="shared" ref="L216" si="881">L212*AB216</f>
        <v>38.119600662544947</v>
      </c>
      <c r="M216" s="115">
        <f t="shared" ref="M216" si="882">M212*AC216</f>
        <v>43.674803283257731</v>
      </c>
      <c r="N216" s="115">
        <f t="shared" ref="N216" si="883">N212*AD216</f>
        <v>50.153688597429394</v>
      </c>
      <c r="O216" s="115">
        <f t="shared" ref="O216" si="884">O212*AE216</f>
        <v>57.727093452756485</v>
      </c>
      <c r="P216" s="115">
        <f t="shared" ref="P216" si="885">P212*AF216</f>
        <v>66.60045366224864</v>
      </c>
      <c r="Q216" s="115">
        <f t="shared" ref="Q216" si="886">Q212*AG216</f>
        <v>77.021393275218273</v>
      </c>
      <c r="R216" s="68">
        <f>RATE(9,,-H216,Q216)</f>
        <v>0.14586611849747325</v>
      </c>
      <c r="S216" s="113" t="s">
        <v>63</v>
      </c>
      <c r="T216" s="116">
        <v>0.12000000000000002</v>
      </c>
      <c r="U216" s="116">
        <v>0.12015267521339246</v>
      </c>
      <c r="V216" s="116">
        <v>0.12030554467445809</v>
      </c>
      <c r="W216" s="116">
        <v>0.12045860863033696</v>
      </c>
      <c r="X216" s="116">
        <v>0.12061186732848356</v>
      </c>
      <c r="Y216" s="116">
        <v>0.12076532101666719</v>
      </c>
      <c r="Z216" s="116">
        <v>0.1209189699429724</v>
      </c>
      <c r="AA216" s="116">
        <v>0.12107281435579939</v>
      </c>
      <c r="AB216" s="116">
        <v>0.12122685450386435</v>
      </c>
      <c r="AC216" s="116">
        <v>0.12138109063619994</v>
      </c>
      <c r="AD216" s="116">
        <v>0.12153552300215566</v>
      </c>
      <c r="AE216" s="116">
        <v>0.12169015185139827</v>
      </c>
      <c r="AF216" s="116">
        <v>0.12184497743391219</v>
      </c>
      <c r="AG216" s="116">
        <v>0.12199999999999984</v>
      </c>
    </row>
    <row r="217" spans="1:33" s="117" customFormat="1" x14ac:dyDescent="0.35">
      <c r="A217" s="148"/>
      <c r="B217" s="113" t="s">
        <v>64</v>
      </c>
      <c r="C217" s="114"/>
      <c r="D217" s="115">
        <f>D212*T217</f>
        <v>9.2514240000000072</v>
      </c>
      <c r="E217" s="115">
        <f t="shared" ref="E217" si="887">E212*U217</f>
        <v>9.8681633742764507</v>
      </c>
      <c r="F217" s="115">
        <f t="shared" ref="F217" si="888">F212*V217</f>
        <v>10.510062652472419</v>
      </c>
      <c r="G217" s="115">
        <f t="shared" ref="G217" si="889">G212*W217</f>
        <v>11.171953049659932</v>
      </c>
      <c r="H217" s="115">
        <f>H212*X217</f>
        <v>11.846212377150813</v>
      </c>
      <c r="I217" s="115">
        <f t="shared" ref="I217" si="890">I212*Y217</f>
        <v>12.522006127160946</v>
      </c>
      <c r="J217" s="115">
        <f t="shared" ref="J217" si="891">J212*Z217</f>
        <v>13.184312546403358</v>
      </c>
      <c r="K217" s="115">
        <f t="shared" ref="K217" si="892">K212*AA217</f>
        <v>13.812670771470897</v>
      </c>
      <c r="L217" s="115">
        <f t="shared" ref="L217" si="893">L212*AB217</f>
        <v>14.37957361875916</v>
      </c>
      <c r="M217" s="115">
        <f t="shared" ref="M217" si="894">M212*AC217</f>
        <v>14.848403983724863</v>
      </c>
      <c r="N217" s="115">
        <f t="shared" ref="N217" si="895">N212*AD217</f>
        <v>15.170784435419373</v>
      </c>
      <c r="O217" s="115">
        <f t="shared" ref="O217" si="896">O212*AE217</f>
        <v>15.283171422498945</v>
      </c>
      <c r="P217" s="115">
        <f t="shared" ref="P217" si="897">P212*AF217</f>
        <v>15.102475806631201</v>
      </c>
      <c r="Q217" s="115">
        <f t="shared" ref="Q217" si="898">Q212*AG217</f>
        <v>14.520426601065703</v>
      </c>
      <c r="R217" s="68">
        <f>RATE(9,,-H217,Q217)</f>
        <v>2.2874158350247645E-2</v>
      </c>
      <c r="S217" s="113" t="s">
        <v>64</v>
      </c>
      <c r="T217" s="116">
        <f>1-SUM(T213:T216)</f>
        <v>8.0000000000000071E-2</v>
      </c>
      <c r="U217" s="116">
        <f>1-SUM(U213:U216)</f>
        <v>7.585168101373041E-2</v>
      </c>
      <c r="V217" s="116">
        <f t="shared" ref="V217:AG217" si="899">1-SUM(V213:V216)</f>
        <v>7.1665431846087646E-2</v>
      </c>
      <c r="W217" s="116">
        <f t="shared" si="899"/>
        <v>6.7440866479373307E-2</v>
      </c>
      <c r="X217" s="116">
        <f t="shared" si="899"/>
        <v>6.3177594917725788E-2</v>
      </c>
      <c r="Y217" s="116">
        <f t="shared" si="899"/>
        <v>5.887522314605742E-2</v>
      </c>
      <c r="Z217" s="116">
        <f t="shared" si="899"/>
        <v>5.4533353088566772E-2</v>
      </c>
      <c r="AA217" s="116">
        <f t="shared" si="899"/>
        <v>5.0151582566825281E-2</v>
      </c>
      <c r="AB217" s="116">
        <f t="shared" si="899"/>
        <v>4.5729505257428471E-2</v>
      </c>
      <c r="AC217" s="116">
        <f t="shared" si="899"/>
        <v>4.126671064921128E-2</v>
      </c>
      <c r="AD217" s="116">
        <f t="shared" si="899"/>
        <v>3.6762784000021864E-2</v>
      </c>
      <c r="AE217" s="116">
        <f t="shared" si="899"/>
        <v>3.2217306293047754E-2</v>
      </c>
      <c r="AF217" s="116">
        <f t="shared" si="899"/>
        <v>2.7629854192693704E-2</v>
      </c>
      <c r="AG217" s="116">
        <f t="shared" si="899"/>
        <v>2.2999999999999909E-2</v>
      </c>
    </row>
    <row r="218" spans="1:33" x14ac:dyDescent="0.35">
      <c r="A218" s="1"/>
      <c r="D218" s="81" t="b">
        <f>D212=SUM(D213:D217)</f>
        <v>1</v>
      </c>
      <c r="E218" s="81" t="b">
        <f t="shared" ref="E218:Q218" si="900">E212=SUM(E213:E217)</f>
        <v>1</v>
      </c>
      <c r="F218" s="81" t="b">
        <f t="shared" si="900"/>
        <v>1</v>
      </c>
      <c r="G218" s="81" t="b">
        <f t="shared" si="900"/>
        <v>1</v>
      </c>
      <c r="H218" s="81" t="b">
        <f t="shared" si="900"/>
        <v>1</v>
      </c>
      <c r="I218" s="81" t="b">
        <f t="shared" si="900"/>
        <v>1</v>
      </c>
      <c r="J218" s="81" t="b">
        <f t="shared" si="900"/>
        <v>1</v>
      </c>
      <c r="K218" s="81" t="b">
        <f t="shared" si="900"/>
        <v>1</v>
      </c>
      <c r="L218" s="81" t="b">
        <f t="shared" si="900"/>
        <v>1</v>
      </c>
      <c r="M218" s="81" t="b">
        <f t="shared" si="900"/>
        <v>1</v>
      </c>
      <c r="N218" s="81" t="b">
        <f t="shared" si="900"/>
        <v>1</v>
      </c>
      <c r="O218" s="81" t="b">
        <f t="shared" si="900"/>
        <v>1</v>
      </c>
      <c r="P218" s="81" t="b">
        <f t="shared" si="900"/>
        <v>1</v>
      </c>
      <c r="Q218" s="81" t="b">
        <f t="shared" si="900"/>
        <v>1</v>
      </c>
      <c r="R218" s="21"/>
    </row>
    <row r="219" spans="1:33" s="117" customFormat="1" x14ac:dyDescent="0.35">
      <c r="A219" s="149" t="s">
        <v>65</v>
      </c>
      <c r="B219" s="122" t="s">
        <v>66</v>
      </c>
      <c r="C219" s="123"/>
      <c r="D219" s="124">
        <f>D212*T219</f>
        <v>80.949960000000004</v>
      </c>
      <c r="E219" s="124">
        <f t="shared" ref="E219" si="901">E212*U219</f>
        <v>91.118578541773658</v>
      </c>
      <c r="F219" s="124">
        <f t="shared" ref="F219" si="902">F212*V219</f>
        <v>102.77066649511994</v>
      </c>
      <c r="G219" s="124">
        <f t="shared" ref="G219" si="903">G212*W219</f>
        <v>116.14949500402699</v>
      </c>
      <c r="H219" s="124">
        <f t="shared" ref="H219" si="904">H212*X219</f>
        <v>131.5423408563679</v>
      </c>
      <c r="I219" s="124">
        <f t="shared" ref="I219" si="905">I212*Y219</f>
        <v>149.28915557635031</v>
      </c>
      <c r="J219" s="124">
        <f t="shared" ref="J219" si="906">J212*Z219</f>
        <v>169.79307704009636</v>
      </c>
      <c r="K219" s="124">
        <f t="shared" ref="K219" si="907">K212*AA219</f>
        <v>193.53320307308815</v>
      </c>
      <c r="L219" s="124">
        <f t="shared" ref="L219" si="908">L212*AB219</f>
        <v>221.08014818337114</v>
      </c>
      <c r="M219" s="124">
        <f t="shared" ref="M219" si="909">M212*AC219</f>
        <v>253.11503241304794</v>
      </c>
      <c r="N219" s="124">
        <f t="shared" ref="N219" si="910">N212*AD219</f>
        <v>290.45271234302817</v>
      </c>
      <c r="O219" s="124">
        <f t="shared" ref="O219" si="911">O212*AE219</f>
        <v>334.07026767679372</v>
      </c>
      <c r="P219" s="124">
        <f t="shared" ref="P219" si="912">P212*AF219</f>
        <v>385.14201430313796</v>
      </c>
      <c r="Q219" s="124">
        <f t="shared" ref="Q219" si="913">Q212*AG219</f>
        <v>445.08264146745125</v>
      </c>
      <c r="R219" s="68">
        <f>RATE(9,,-H219,Q219)</f>
        <v>0.14503682627815528</v>
      </c>
      <c r="S219" s="122" t="s">
        <v>66</v>
      </c>
      <c r="T219" s="116">
        <v>0.70000000000000007</v>
      </c>
      <c r="U219" s="116">
        <v>0.70038335319736411</v>
      </c>
      <c r="V219" s="116">
        <v>0.70076691633711929</v>
      </c>
      <c r="W219" s="116">
        <v>0.70115068953424042</v>
      </c>
      <c r="X219" s="116">
        <v>0.70153467290376448</v>
      </c>
      <c r="Y219" s="116">
        <v>0.70191886656079228</v>
      </c>
      <c r="Z219" s="116">
        <v>0.70230327062048659</v>
      </c>
      <c r="AA219" s="116">
        <v>0.70268788519807479</v>
      </c>
      <c r="AB219" s="116">
        <v>0.70307271040884567</v>
      </c>
      <c r="AC219" s="116">
        <v>0.70345774636815217</v>
      </c>
      <c r="AD219" s="116">
        <v>0.70384299319141008</v>
      </c>
      <c r="AE219" s="116">
        <v>0.70422845099409903</v>
      </c>
      <c r="AF219" s="116">
        <v>0.70461411989176093</v>
      </c>
      <c r="AG219" s="116">
        <v>0.70500000000000129</v>
      </c>
    </row>
    <row r="220" spans="1:33" s="117" customFormat="1" x14ac:dyDescent="0.35">
      <c r="A220" s="149"/>
      <c r="B220" s="122" t="s">
        <v>67</v>
      </c>
      <c r="C220" s="123"/>
      <c r="D220" s="124">
        <f>D212*T220</f>
        <v>23.128560000000004</v>
      </c>
      <c r="E220" s="124">
        <f t="shared" ref="E220" si="914">E212*U220</f>
        <v>26.03955331048445</v>
      </c>
      <c r="F220" s="124">
        <f t="shared" ref="F220" si="915">F212*V220</f>
        <v>29.375847511946326</v>
      </c>
      <c r="G220" s="124">
        <f t="shared" ref="G220" si="916">G212*W220</f>
        <v>33.207271750046019</v>
      </c>
      <c r="H220" s="124">
        <f t="shared" ref="H220" si="917">H212*X220</f>
        <v>37.616299927764217</v>
      </c>
      <c r="I220" s="124">
        <f t="shared" ref="I220" si="918">I212*Y220</f>
        <v>42.700544034784798</v>
      </c>
      <c r="J220" s="124">
        <f t="shared" ref="J220" si="919">J212*Z220</f>
        <v>48.575777852136788</v>
      </c>
      <c r="K220" s="124">
        <f t="shared" ref="K220" si="920">K212*AA220</f>
        <v>55.37961186703145</v>
      </c>
      <c r="L220" s="124">
        <f t="shared" ref="L220" si="921">L212*AB220</f>
        <v>63.275969549259216</v>
      </c>
      <c r="M220" s="124">
        <f t="shared" ref="M220" si="922">M212*AC220</f>
        <v>72.460551995599673</v>
      </c>
      <c r="N220" s="124">
        <f t="shared" ref="N220" si="923">N212*AD220</f>
        <v>83.167524389042583</v>
      </c>
      <c r="O220" s="124">
        <f t="shared" ref="O220" si="924">O212*AE220</f>
        <v>95.677716376435029</v>
      </c>
      <c r="P220" s="124">
        <f t="shared" ref="P220" si="925">P212*AF220</f>
        <v>110.3287027325044</v>
      </c>
      <c r="Q220" s="124">
        <f t="shared" ref="Q220" si="926">Q212*AG220</f>
        <v>127.52722493109948</v>
      </c>
      <c r="R220" s="68">
        <f>RATE(9,,-H220,Q220)</f>
        <v>0.14528637135554096</v>
      </c>
      <c r="S220" s="122" t="s">
        <v>67</v>
      </c>
      <c r="T220" s="116">
        <v>0.20000000000000004</v>
      </c>
      <c r="U220" s="116">
        <v>0.2001531406133327</v>
      </c>
      <c r="V220" s="116">
        <v>0.2003063984869026</v>
      </c>
      <c r="W220" s="116">
        <v>0.20045977371049628</v>
      </c>
      <c r="X220" s="116">
        <v>0.20061326637396906</v>
      </c>
      <c r="Y220" s="116">
        <v>0.2007668765672449</v>
      </c>
      <c r="Z220" s="116">
        <v>0.20092060438031684</v>
      </c>
      <c r="AA220" s="116">
        <v>0.20107444990324672</v>
      </c>
      <c r="AB220" s="116">
        <v>0.20122841322616528</v>
      </c>
      <c r="AC220" s="116">
        <v>0.20138249443927231</v>
      </c>
      <c r="AD220" s="116">
        <v>0.20153669363283677</v>
      </c>
      <c r="AE220" s="116">
        <v>0.2016910108971966</v>
      </c>
      <c r="AF220" s="116">
        <v>0.20184544632275897</v>
      </c>
      <c r="AG220" s="116">
        <v>0.20200000000000032</v>
      </c>
    </row>
    <row r="221" spans="1:33" s="117" customFormat="1" x14ac:dyDescent="0.35">
      <c r="A221" s="149"/>
      <c r="B221" s="122" t="s">
        <v>68</v>
      </c>
      <c r="C221" s="123"/>
      <c r="D221" s="124">
        <f>D212*T221</f>
        <v>11.564279999999984</v>
      </c>
      <c r="E221" s="124">
        <f t="shared" ref="E221" si="927">E212*U221</f>
        <v>12.940018147741899</v>
      </c>
      <c r="F221" s="124">
        <f t="shared" ref="F221" si="928">F212*V221</f>
        <v>14.508049870318409</v>
      </c>
      <c r="G221" s="124">
        <f t="shared" ref="G221" si="929">G212*W221</f>
        <v>16.29877168828757</v>
      </c>
      <c r="H221" s="124">
        <f t="shared" ref="H221" si="930">H212*X221</f>
        <v>18.347901568069904</v>
      </c>
      <c r="I221" s="124">
        <f t="shared" ref="I221" si="931">I212*Y221</f>
        <v>20.697496428808595</v>
      </c>
      <c r="J221" s="124">
        <f t="shared" ref="J221" si="932">J212*Z221</f>
        <v>23.397180014714916</v>
      </c>
      <c r="K221" s="124">
        <f t="shared" ref="K221" si="933">K212*AA221</f>
        <v>26.505627799269156</v>
      </c>
      <c r="L221" s="124">
        <f t="shared" ref="L221" si="934">L212*AB221</f>
        <v>30.092366627984703</v>
      </c>
      <c r="M221" s="124">
        <f>M212*AC221</f>
        <v>34.239960618531683</v>
      </c>
      <c r="N221" s="124">
        <f t="shared" ref="N221" si="935">N212*AD221</f>
        <v>39.046672156286334</v>
      </c>
      <c r="O221" s="124">
        <f t="shared" ref="O221" si="936">O212*AE221</f>
        <v>44.629708590707075</v>
      </c>
      <c r="P221" s="124">
        <f t="shared" ref="P221" si="937">P212*AF221</f>
        <v>51.129192660038242</v>
      </c>
      <c r="Q221" s="124">
        <f t="shared" ref="Q221" si="938">Q212*AG221</f>
        <v>58.713029299960546</v>
      </c>
      <c r="R221" s="68">
        <f>RATE(9,,-H221,Q221)</f>
        <v>0.13796148985517737</v>
      </c>
      <c r="S221" s="122" t="s">
        <v>68</v>
      </c>
      <c r="T221" s="116">
        <f>1-SUM(T219:T220)</f>
        <v>9.9999999999999867E-2</v>
      </c>
      <c r="U221" s="116">
        <f t="shared" ref="U221:AG221" si="939">1-SUM(U219:U220)</f>
        <v>9.9463506189303219E-2</v>
      </c>
      <c r="V221" s="116">
        <f t="shared" si="939"/>
        <v>9.8926685175978135E-2</v>
      </c>
      <c r="W221" s="116">
        <f t="shared" si="939"/>
        <v>9.8389536755263296E-2</v>
      </c>
      <c r="X221" s="116">
        <f t="shared" si="939"/>
        <v>9.7852060722266487E-2</v>
      </c>
      <c r="Y221" s="116">
        <f t="shared" si="939"/>
        <v>9.7314256871962823E-2</v>
      </c>
      <c r="Z221" s="116">
        <f t="shared" si="939"/>
        <v>9.6776124999196522E-2</v>
      </c>
      <c r="AA221" s="116">
        <f t="shared" si="939"/>
        <v>9.6237664898678466E-2</v>
      </c>
      <c r="AB221" s="116">
        <f t="shared" si="939"/>
        <v>9.5698876364989083E-2</v>
      </c>
      <c r="AC221" s="116">
        <f t="shared" si="939"/>
        <v>9.5159759192575466E-2</v>
      </c>
      <c r="AD221" s="116">
        <f t="shared" si="939"/>
        <v>9.4620313175753146E-2</v>
      </c>
      <c r="AE221" s="116">
        <f t="shared" si="939"/>
        <v>9.4080538108704426E-2</v>
      </c>
      <c r="AF221" s="116">
        <f t="shared" si="939"/>
        <v>9.3540433785480159E-2</v>
      </c>
      <c r="AG221" s="116">
        <f t="shared" si="939"/>
        <v>9.2999999999998417E-2</v>
      </c>
    </row>
    <row r="222" spans="1:33" x14ac:dyDescent="0.35">
      <c r="A222" s="1"/>
      <c r="D222" s="81" t="b">
        <f>D212=SUM(D219:D221)</f>
        <v>1</v>
      </c>
      <c r="E222" s="81" t="b">
        <f t="shared" ref="E222:Q222" si="940">E212=SUM(E219:E221)</f>
        <v>1</v>
      </c>
      <c r="F222" s="81" t="b">
        <f t="shared" si="940"/>
        <v>1</v>
      </c>
      <c r="G222" s="81" t="b">
        <f t="shared" si="940"/>
        <v>1</v>
      </c>
      <c r="H222" s="81" t="b">
        <f t="shared" si="940"/>
        <v>1</v>
      </c>
      <c r="I222" s="81" t="b">
        <f t="shared" si="940"/>
        <v>1</v>
      </c>
      <c r="J222" s="81" t="b">
        <f t="shared" si="940"/>
        <v>1</v>
      </c>
      <c r="K222" s="81" t="b">
        <f t="shared" si="940"/>
        <v>1</v>
      </c>
      <c r="L222" s="81" t="b">
        <f t="shared" si="940"/>
        <v>1</v>
      </c>
      <c r="M222" s="81" t="b">
        <f t="shared" si="940"/>
        <v>1</v>
      </c>
      <c r="N222" s="81" t="b">
        <f t="shared" si="940"/>
        <v>1</v>
      </c>
      <c r="O222" s="81" t="b">
        <f t="shared" si="940"/>
        <v>1</v>
      </c>
      <c r="P222" s="81" t="b">
        <f t="shared" si="940"/>
        <v>1</v>
      </c>
      <c r="Q222" s="81" t="b">
        <f t="shared" si="940"/>
        <v>1</v>
      </c>
      <c r="R222" s="21"/>
    </row>
    <row r="223" spans="1:33" s="117" customFormat="1" x14ac:dyDescent="0.35">
      <c r="A223" s="149" t="s">
        <v>69</v>
      </c>
      <c r="B223" s="125" t="s">
        <v>70</v>
      </c>
      <c r="C223" s="126"/>
      <c r="D223" s="127">
        <f>D212*T223</f>
        <v>48.569975999999997</v>
      </c>
      <c r="E223" s="127">
        <f t="shared" ref="E223" si="941">E212*U223</f>
        <v>54.651219569447818</v>
      </c>
      <c r="F223" s="127">
        <f t="shared" ref="F223" si="942">F212*V223</f>
        <v>61.617456374810452</v>
      </c>
      <c r="G223" s="127">
        <f t="shared" ref="G223" si="943">G212*W223</f>
        <v>69.613519388535181</v>
      </c>
      <c r="H223" s="127">
        <f t="shared" ref="H223" si="944">H212*X223</f>
        <v>78.810394622146916</v>
      </c>
      <c r="I223" s="127">
        <f t="shared" ref="I223" si="945">I212*Y223</f>
        <v>89.410365252428804</v>
      </c>
      <c r="J223" s="127">
        <f t="shared" ref="J223" si="946">J212*Z223</f>
        <v>101.65324754351325</v>
      </c>
      <c r="K223" s="127">
        <f t="shared" ref="K223" si="947">K212*AA223</f>
        <v>115.82396679857509</v>
      </c>
      <c r="L223" s="127">
        <f t="shared" ref="L223" si="948">L212*AB223</f>
        <v>132.26178168629554</v>
      </c>
      <c r="M223" s="127">
        <f t="shared" ref="M223" si="949">M212*AC223</f>
        <v>151.37154082907429</v>
      </c>
      <c r="N223" s="127">
        <f t="shared" ref="N223" si="950">N212*AD223</f>
        <v>173.63745069422654</v>
      </c>
      <c r="O223" s="127">
        <f t="shared" ref="O223" si="951">O212*AE223</f>
        <v>199.63995397100507</v>
      </c>
      <c r="P223" s="127">
        <f t="shared" ref="P223" si="952">P212*AF223</f>
        <v>230.07646966986707</v>
      </c>
      <c r="Q223" s="127">
        <f t="shared" ref="Q223" si="953">Q212*AG223</f>
        <v>265.78693908907314</v>
      </c>
      <c r="R223" s="68">
        <f>RATE(9,,-H223,Q223)</f>
        <v>0.14461946197836759</v>
      </c>
      <c r="S223" s="125" t="s">
        <v>70</v>
      </c>
      <c r="T223" s="116">
        <v>0.42</v>
      </c>
      <c r="U223" s="116">
        <v>0.42007683867486062</v>
      </c>
      <c r="V223" s="116">
        <v>0.4201536914072973</v>
      </c>
      <c r="W223" s="116">
        <v>0.42023055819988187</v>
      </c>
      <c r="X223" s="116">
        <v>0.42030743905518658</v>
      </c>
      <c r="Y223" s="116">
        <v>0.42038433397578434</v>
      </c>
      <c r="Z223" s="116">
        <v>0.42046124296424836</v>
      </c>
      <c r="AA223" s="116">
        <v>0.42053816602315214</v>
      </c>
      <c r="AB223" s="116">
        <v>0.42061510315507006</v>
      </c>
      <c r="AC223" s="116">
        <v>0.42069205436257667</v>
      </c>
      <c r="AD223" s="116">
        <v>0.4207690196482472</v>
      </c>
      <c r="AE223" s="116">
        <v>0.42084599901465702</v>
      </c>
      <c r="AF223" s="116">
        <v>0.42092299246438242</v>
      </c>
      <c r="AG223" s="137">
        <v>0.42099999999999982</v>
      </c>
    </row>
    <row r="224" spans="1:33" s="117" customFormat="1" x14ac:dyDescent="0.35">
      <c r="A224" s="149"/>
      <c r="B224" s="125" t="s">
        <v>71</v>
      </c>
      <c r="C224" s="126"/>
      <c r="D224" s="127">
        <f>D212*T224</f>
        <v>26.597844000000006</v>
      </c>
      <c r="E224" s="127">
        <f t="shared" ref="E224" si="954">E212*U224</f>
        <v>29.942509716773547</v>
      </c>
      <c r="F224" s="127">
        <f t="shared" ref="F224" si="955">F212*V224</f>
        <v>33.775509046081289</v>
      </c>
      <c r="G224" s="127">
        <f t="shared" ref="G224" si="956">G212*W224</f>
        <v>38.176975840544948</v>
      </c>
      <c r="H224" s="127">
        <f t="shared" ref="H224" si="957">H212*X224</f>
        <v>43.241547752582015</v>
      </c>
      <c r="I224" s="127">
        <f t="shared" ref="I224" si="958">I212*Y224</f>
        <v>49.081224922080217</v>
      </c>
      <c r="J224" s="127">
        <f t="shared" ref="J224" si="959">J212*Z224</f>
        <v>55.828836524868279</v>
      </c>
      <c r="K224" s="127">
        <f t="shared" ref="K224" si="960">K212*AA224</f>
        <v>63.642253621955355</v>
      </c>
      <c r="L224" s="127">
        <f t="shared" ref="L224" si="961">L212*AB224</f>
        <v>72.709520326347757</v>
      </c>
      <c r="M224" s="127">
        <f t="shared" ref="M224" si="962">M212*AC224</f>
        <v>83.255117512707741</v>
      </c>
      <c r="N224" s="127">
        <f t="shared" ref="N224" si="963">N212*AD224</f>
        <v>95.547626477845924</v>
      </c>
      <c r="O224" s="127">
        <f t="shared" ref="O224" si="964">O212*AE224</f>
        <v>109.90912712870352</v>
      </c>
      <c r="P224" s="127">
        <f t="shared" ref="P224" si="965">P212*AF224</f>
        <v>126.72675031020515</v>
      </c>
      <c r="Q224" s="127">
        <f t="shared" ref="Q224" si="966">Q212*AG224</f>
        <v>146.46691180205474</v>
      </c>
      <c r="R224" s="68">
        <f>RATE(9,,-H224,Q224)</f>
        <v>0.14517252954813364</v>
      </c>
      <c r="S224" s="125" t="s">
        <v>71</v>
      </c>
      <c r="T224" s="116">
        <v>0.23000000000000007</v>
      </c>
      <c r="U224" s="116">
        <v>0.230153232131076</v>
      </c>
      <c r="V224" s="116">
        <v>0.23030656634948232</v>
      </c>
      <c r="W224" s="116">
        <v>0.23046000272323239</v>
      </c>
      <c r="X224" s="116">
        <v>0.23061354132038475</v>
      </c>
      <c r="Y224" s="116">
        <v>0.23076718220904338</v>
      </c>
      <c r="Z224" s="116">
        <v>0.23092092545735762</v>
      </c>
      <c r="AA224" s="116">
        <v>0.23107477113352223</v>
      </c>
      <c r="AB224" s="116">
        <v>0.23122871930577729</v>
      </c>
      <c r="AC224" s="116">
        <v>0.23138277004240856</v>
      </c>
      <c r="AD224" s="116">
        <v>0.23153692341174703</v>
      </c>
      <c r="AE224" s="116">
        <v>0.23169117948216938</v>
      </c>
      <c r="AF224" s="116">
        <v>0.23184553832209787</v>
      </c>
      <c r="AG224" s="137">
        <v>0.23200000000000018</v>
      </c>
    </row>
    <row r="225" spans="1:33" s="117" customFormat="1" x14ac:dyDescent="0.35">
      <c r="A225" s="149"/>
      <c r="B225" s="125" t="s">
        <v>72</v>
      </c>
      <c r="C225" s="126"/>
      <c r="D225" s="127">
        <f>D212*T225</f>
        <v>23.128559999999997</v>
      </c>
      <c r="E225" s="127">
        <f t="shared" ref="E225" si="967">E212*U225</f>
        <v>26.029614529404778</v>
      </c>
      <c r="F225" s="127">
        <f t="shared" ref="F225" si="968">F212*V225</f>
        <v>29.353427434591161</v>
      </c>
      <c r="G225" s="127">
        <f t="shared" ref="G225" si="969">G212*W225</f>
        <v>33.169262589909323</v>
      </c>
      <c r="H225" s="127">
        <f t="shared" ref="H225" si="970">H212*X225</f>
        <v>37.558903216308572</v>
      </c>
      <c r="I225" s="127">
        <f t="shared" ref="I225" si="971">I212*Y225</f>
        <v>42.619116463008844</v>
      </c>
      <c r="J225" s="127">
        <f t="shared" ref="J225" si="972">J212*Z225</f>
        <v>48.464641479461314</v>
      </c>
      <c r="K225" s="127">
        <f t="shared" ref="K225" si="973">K212*AA225</f>
        <v>55.231820083856171</v>
      </c>
      <c r="L225" s="127">
        <f t="shared" ref="L225" si="974">L212*AB225</f>
        <v>63.083017995640915</v>
      </c>
      <c r="M225" s="127">
        <f t="shared" ref="M225" si="975">M212*AC225</f>
        <v>72.212020873751825</v>
      </c>
      <c r="N225" s="127">
        <f t="shared" ref="N225" si="976">N212*AD225</f>
        <v>82.850635099849299</v>
      </c>
      <c r="O225" s="127">
        <f t="shared" ref="O225" si="977">O212*AE225</f>
        <v>95.276780950768668</v>
      </c>
      <c r="P225" s="127">
        <f t="shared" ref="P225" si="978">P212*AF225</f>
        <v>109.82443884606715</v>
      </c>
      <c r="Q225" s="127">
        <f t="shared" ref="Q225" si="979">Q212*AG225</f>
        <v>126.8959020354006</v>
      </c>
      <c r="R225" s="68">
        <f>RATE(9,,-H225,Q225)</f>
        <v>0.14484923826102514</v>
      </c>
      <c r="S225" s="125" t="s">
        <v>72</v>
      </c>
      <c r="T225" s="116">
        <v>0.19999999999999998</v>
      </c>
      <c r="U225" s="116">
        <v>0.20007674612901705</v>
      </c>
      <c r="V225" s="116">
        <v>0.20015352170787573</v>
      </c>
      <c r="W225" s="116">
        <v>0.2002303267478768</v>
      </c>
      <c r="X225" s="116">
        <v>0.20030716126032544</v>
      </c>
      <c r="Y225" s="116">
        <v>0.20038402525653101</v>
      </c>
      <c r="Z225" s="116">
        <v>0.20046091874780753</v>
      </c>
      <c r="AA225" s="116">
        <v>0.20053784174547304</v>
      </c>
      <c r="AB225" s="116">
        <v>0.20061479426085005</v>
      </c>
      <c r="AC225" s="116">
        <v>0.20069177630526541</v>
      </c>
      <c r="AD225" s="116">
        <v>0.20076878789005037</v>
      </c>
      <c r="AE225" s="116">
        <v>0.20084582902654041</v>
      </c>
      <c r="AF225" s="116">
        <v>0.20092289972607549</v>
      </c>
      <c r="AG225" s="137">
        <v>0.20099999999999973</v>
      </c>
    </row>
    <row r="226" spans="1:33" s="117" customFormat="1" x14ac:dyDescent="0.35">
      <c r="A226" s="149"/>
      <c r="B226" s="125" t="s">
        <v>73</v>
      </c>
      <c r="C226" s="126"/>
      <c r="D226" s="127">
        <f>D212*T226</f>
        <v>11.564279999999998</v>
      </c>
      <c r="E226" s="127">
        <f t="shared" ref="E226" si="980">E212*U226</f>
        <v>13.029647679797392</v>
      </c>
      <c r="F226" s="127">
        <f t="shared" ref="F226" si="981">F212*V226</f>
        <v>14.710203679889666</v>
      </c>
      <c r="G226" s="127">
        <f t="shared" ref="G226" si="982">G212*W226</f>
        <v>16.641428962671345</v>
      </c>
      <c r="H226" s="127">
        <f t="shared" ref="H226" si="983">H212*X226</f>
        <v>18.865252925271619</v>
      </c>
      <c r="I226" s="127">
        <f t="shared" ref="I226" si="984">I212*Y226</f>
        <v>21.431329038844762</v>
      </c>
      <c r="J226" s="127">
        <f t="shared" ref="J226" si="985">J212*Z226</f>
        <v>24.398582631613422</v>
      </c>
      <c r="K226" s="127">
        <f t="shared" ref="K226" si="986">K212*AA226</f>
        <v>27.83709298349676</v>
      </c>
      <c r="L226" s="127">
        <f t="shared" ref="L226" si="987">L212*AB226</f>
        <v>31.830387020225491</v>
      </c>
      <c r="M226" s="127">
        <f t="shared" ref="M226" si="988">M212*AC226</f>
        <v>36.478240911938855</v>
      </c>
      <c r="N226" s="127">
        <f t="shared" ref="N226" si="989">N212*AD226</f>
        <v>41.900109855612534</v>
      </c>
      <c r="O226" s="127">
        <f t="shared" ref="O226" si="990">O212*AE226</f>
        <v>48.239336616001026</v>
      </c>
      <c r="P226" s="127">
        <f t="shared" ref="P226" si="991">P212*AF226</f>
        <v>55.668327774411765</v>
      </c>
      <c r="Q226" s="127">
        <f t="shared" ref="Q226" si="992">Q212*AG226</f>
        <v>64.394935361248059</v>
      </c>
      <c r="R226" s="68">
        <f>RATE(9,,-H226,Q226)</f>
        <v>0.14615467733295587</v>
      </c>
      <c r="S226" s="125" t="s">
        <v>73</v>
      </c>
      <c r="T226" s="116">
        <v>9.9999999999999992E-2</v>
      </c>
      <c r="U226" s="116">
        <v>0.10015244398015953</v>
      </c>
      <c r="V226" s="116">
        <v>0.10030512035198993</v>
      </c>
      <c r="W226" s="116">
        <v>0.10045802946975833</v>
      </c>
      <c r="X226" s="116">
        <v>0.10061117168827188</v>
      </c>
      <c r="Y226" s="116">
        <v>0.10076454736287864</v>
      </c>
      <c r="Z226" s="116">
        <v>0.10091815684946834</v>
      </c>
      <c r="AA226" s="116">
        <v>0.10107200050447333</v>
      </c>
      <c r="AB226" s="116">
        <v>0.10122607868486923</v>
      </c>
      <c r="AC226" s="116">
        <v>0.10138039174817587</v>
      </c>
      <c r="AD226" s="116">
        <v>0.10153494005245813</v>
      </c>
      <c r="AE226" s="116">
        <v>0.10168972395632671</v>
      </c>
      <c r="AF226" s="116">
        <v>0.10184474381893897</v>
      </c>
      <c r="AG226" s="137">
        <v>0.10199999999999985</v>
      </c>
    </row>
    <row r="227" spans="1:33" s="117" customFormat="1" x14ac:dyDescent="0.35">
      <c r="A227" s="149"/>
      <c r="B227" s="125" t="s">
        <v>74</v>
      </c>
      <c r="C227" s="126"/>
      <c r="D227" s="127">
        <f>D212*T227</f>
        <v>5.7821400000000045</v>
      </c>
      <c r="E227" s="127">
        <f t="shared" ref="E227" si="993">E212*U227</f>
        <v>6.4451585045764617</v>
      </c>
      <c r="F227" s="127">
        <f t="shared" ref="F227" si="994">F212*V227</f>
        <v>7.1979673420121184</v>
      </c>
      <c r="G227" s="127">
        <f t="shared" ref="G227" si="995">G212*W227</f>
        <v>8.0543516606997869</v>
      </c>
      <c r="H227" s="127">
        <f t="shared" ref="H227" si="996">H212*X227</f>
        <v>9.0304438358928909</v>
      </c>
      <c r="I227" s="127">
        <f t="shared" ref="I227" si="997">I212*Y227</f>
        <v>10.145160363581081</v>
      </c>
      <c r="J227" s="127">
        <f t="shared" ref="J227" si="998">J212*Z227</f>
        <v>11.420726727491786</v>
      </c>
      <c r="K227" s="127">
        <f t="shared" ref="K227" si="999">K212*AA227</f>
        <v>12.883309251505393</v>
      </c>
      <c r="L227" s="127">
        <f t="shared" ref="L227" si="1000">L212*AB227</f>
        <v>14.563777332105353</v>
      </c>
      <c r="M227" s="127">
        <f t="shared" ref="M227" si="1001">M212*AC227</f>
        <v>16.498624899706638</v>
      </c>
      <c r="N227" s="127">
        <f t="shared" ref="N227" si="1002">N212*AD227</f>
        <v>18.731086760822762</v>
      </c>
      <c r="O227" s="127">
        <f t="shared" ref="O227" si="1003">O212*AE227</f>
        <v>21.312493977457521</v>
      </c>
      <c r="P227" s="127">
        <f t="shared" ref="P227" si="1004">P212*AF227</f>
        <v>24.303923095129463</v>
      </c>
      <c r="Q227" s="127">
        <f t="shared" ref="Q227" si="1005">Q212*AG227</f>
        <v>27.77820741073473</v>
      </c>
      <c r="R227" s="68">
        <f>RATE(9,,-H227,Q227)</f>
        <v>0.13297853001626478</v>
      </c>
      <c r="S227" s="125" t="s">
        <v>74</v>
      </c>
      <c r="T227" s="116">
        <f>1-SUM(T223:T226)</f>
        <v>5.0000000000000044E-2</v>
      </c>
      <c r="U227" s="116">
        <f t="shared" ref="U227:AG227" si="1006">1-SUM(U223:U226)</f>
        <v>4.9540739084886765E-2</v>
      </c>
      <c r="V227" s="116">
        <f t="shared" si="1006"/>
        <v>4.9081100183354764E-2</v>
      </c>
      <c r="W227" s="116">
        <f t="shared" si="1006"/>
        <v>4.8621082859250597E-2</v>
      </c>
      <c r="X227" s="116">
        <f t="shared" si="1006"/>
        <v>4.8160686675831288E-2</v>
      </c>
      <c r="Y227" s="116">
        <f t="shared" si="1006"/>
        <v>4.7699911195762668E-2</v>
      </c>
      <c r="Z227" s="116">
        <f t="shared" si="1006"/>
        <v>4.7238755981118041E-2</v>
      </c>
      <c r="AA227" s="116">
        <f t="shared" si="1006"/>
        <v>4.6777220593379298E-2</v>
      </c>
      <c r="AB227" s="116">
        <f t="shared" si="1006"/>
        <v>4.631530459343336E-2</v>
      </c>
      <c r="AC227" s="116">
        <f t="shared" si="1006"/>
        <v>4.5853007541573509E-2</v>
      </c>
      <c r="AD227" s="116">
        <f t="shared" si="1006"/>
        <v>4.5390328997497287E-2</v>
      </c>
      <c r="AE227" s="116">
        <f t="shared" si="1006"/>
        <v>4.4927268520306485E-2</v>
      </c>
      <c r="AF227" s="116">
        <f t="shared" si="1006"/>
        <v>4.4463825668505264E-2</v>
      </c>
      <c r="AG227" s="116">
        <f t="shared" si="1006"/>
        <v>4.4000000000000372E-2</v>
      </c>
    </row>
    <row r="228" spans="1:33" x14ac:dyDescent="0.35">
      <c r="A228" s="2"/>
      <c r="D228" s="81" t="b">
        <f>D212=SUM(D223:D227)</f>
        <v>1</v>
      </c>
      <c r="E228" s="81" t="b">
        <f t="shared" ref="E228:Q228" si="1007">E212=SUM(E223:E227)</f>
        <v>1</v>
      </c>
      <c r="F228" s="81" t="b">
        <f t="shared" si="1007"/>
        <v>1</v>
      </c>
      <c r="G228" s="81" t="b">
        <f t="shared" si="1007"/>
        <v>1</v>
      </c>
      <c r="H228" s="81" t="b">
        <f t="shared" si="1007"/>
        <v>1</v>
      </c>
      <c r="I228" s="81" t="b">
        <f t="shared" si="1007"/>
        <v>1</v>
      </c>
      <c r="J228" s="81" t="b">
        <f t="shared" si="1007"/>
        <v>1</v>
      </c>
      <c r="K228" s="81" t="b">
        <f t="shared" si="1007"/>
        <v>1</v>
      </c>
      <c r="L228" s="81" t="b">
        <f t="shared" si="1007"/>
        <v>1</v>
      </c>
      <c r="M228" s="81" t="b">
        <f t="shared" si="1007"/>
        <v>1</v>
      </c>
      <c r="N228" s="81" t="b">
        <f t="shared" si="1007"/>
        <v>1</v>
      </c>
      <c r="O228" s="81" t="b">
        <f t="shared" si="1007"/>
        <v>1</v>
      </c>
      <c r="P228" s="81" t="b">
        <f t="shared" si="1007"/>
        <v>1</v>
      </c>
      <c r="Q228" s="81" t="b">
        <f t="shared" si="1007"/>
        <v>1</v>
      </c>
      <c r="R228" s="21"/>
    </row>
    <row r="229" spans="1:33" s="117" customFormat="1" x14ac:dyDescent="0.35">
      <c r="A229" s="149" t="s">
        <v>75</v>
      </c>
      <c r="B229" s="128" t="s">
        <v>76</v>
      </c>
      <c r="C229" s="129"/>
      <c r="D229" s="130">
        <f>D212*T229</f>
        <v>25.441416</v>
      </c>
      <c r="E229" s="130">
        <f t="shared" ref="E229" si="1008">E212*U229</f>
        <v>28.671113400449244</v>
      </c>
      <c r="F229" s="130">
        <f t="shared" ref="F229" si="1009">F212*V229</f>
        <v>32.375745462731494</v>
      </c>
      <c r="G229" s="130">
        <f t="shared" ref="G229" si="1010">G212*W229</f>
        <v>36.633710698143616</v>
      </c>
      <c r="H229" s="130">
        <f t="shared" ref="H229" si="1011">H212*X229</f>
        <v>41.537670134371254</v>
      </c>
      <c r="I229" s="130">
        <f t="shared" ref="I229" si="1012">I212*Y229</f>
        <v>47.197371221841898</v>
      </c>
      <c r="J229" s="130">
        <f t="shared" ref="J229" si="1013">J212*Z229</f>
        <v>53.743074666217574</v>
      </c>
      <c r="K229" s="130">
        <f t="shared" ref="K229" si="1014">K212*AA229</f>
        <v>61.329722017534891</v>
      </c>
      <c r="L229" s="130">
        <f t="shared" ref="L229" si="1015">L212*AB229</f>
        <v>70.142015391158026</v>
      </c>
      <c r="M229" s="130">
        <f t="shared" ref="M229" si="1016">M212*AC229</f>
        <v>80.400622891489419</v>
      </c>
      <c r="N229" s="130">
        <f t="shared" ref="N229" si="1017">N212*AD229</f>
        <v>92.369776511313674</v>
      </c>
      <c r="O229" s="130">
        <f t="shared" ref="O229" si="1018">O212*AE229</f>
        <v>106.36659651722987</v>
      </c>
      <c r="P229" s="130">
        <f t="shared" ref="P229" si="1019">P212*AF229</f>
        <v>122.77256151143459</v>
      </c>
      <c r="Q229" s="130">
        <f>Q212*AG229</f>
        <v>142.04765153216513</v>
      </c>
      <c r="R229" s="68">
        <f t="shared" ref="R229:R234" si="1020">RATE(9,,-H229,Q229)</f>
        <v>0.14639012420115466</v>
      </c>
      <c r="S229" s="134" t="s">
        <v>76</v>
      </c>
      <c r="T229" s="116">
        <v>0.22000000000000003</v>
      </c>
      <c r="U229" s="116">
        <v>0.22038063877502673</v>
      </c>
      <c r="V229" s="116">
        <v>0.22076193612222184</v>
      </c>
      <c r="W229" s="116">
        <v>0.22114389318103134</v>
      </c>
      <c r="X229" s="116">
        <v>0.22152651109287255</v>
      </c>
      <c r="Y229" s="116">
        <v>0.22190979100113767</v>
      </c>
      <c r="Z229" s="116">
        <v>0.22229373405119721</v>
      </c>
      <c r="AA229" s="116">
        <v>0.22267834139040343</v>
      </c>
      <c r="AB229" s="116">
        <v>0.2230636141680935</v>
      </c>
      <c r="AC229" s="116">
        <v>0.22344955353559337</v>
      </c>
      <c r="AD229" s="116">
        <v>0.22383616064622086</v>
      </c>
      <c r="AE229" s="116">
        <v>0.22422343665528938</v>
      </c>
      <c r="AF229" s="116">
        <v>0.22461138272011094</v>
      </c>
      <c r="AG229" s="116">
        <v>0.22500000000000017</v>
      </c>
    </row>
    <row r="230" spans="1:33" s="117" customFormat="1" x14ac:dyDescent="0.35">
      <c r="A230" s="149"/>
      <c r="B230" s="128" t="s">
        <v>77</v>
      </c>
      <c r="C230" s="129"/>
      <c r="D230" s="130">
        <f>D212*T230</f>
        <v>43.944263999999997</v>
      </c>
      <c r="E230" s="130">
        <f t="shared" ref="E230" si="1021">E212*U230</f>
        <v>49.437297000000001</v>
      </c>
      <c r="F230" s="130">
        <f t="shared" ref="F230" si="1022">F212*V230</f>
        <v>55.728734273406175</v>
      </c>
      <c r="G230" s="130">
        <f t="shared" ref="G230" si="1023">G212*W230</f>
        <v>62.949104608097024</v>
      </c>
      <c r="H230" s="130">
        <f t="shared" ref="H230" si="1024">H212*X230</f>
        <v>71.252486093836765</v>
      </c>
      <c r="I230" s="130">
        <f t="shared" ref="I230" si="1025">I212*Y230</f>
        <v>80.821134495178612</v>
      </c>
      <c r="J230" s="130">
        <f t="shared" ref="J230" si="1026">J212*Z230</f>
        <v>91.871093264640265</v>
      </c>
      <c r="K230" s="130">
        <f t="shared" ref="K230" si="1027">K212*AA230</f>
        <v>104.65900824096772</v>
      </c>
      <c r="L230" s="130">
        <f t="shared" ref="L230" si="1028">L212*AB230</f>
        <v>119.49042405703372</v>
      </c>
      <c r="M230" s="130">
        <f t="shared" ref="M230" si="1029">M212*AC230</f>
        <v>136.72990711032816</v>
      </c>
      <c r="N230" s="130">
        <f t="shared" ref="N230" si="1030">N212*AD230</f>
        <v>156.8134253775757</v>
      </c>
      <c r="O230" s="130">
        <f t="shared" ref="O230" si="1031">O212*AE230</f>
        <v>180.26352320469562</v>
      </c>
      <c r="P230" s="130">
        <f t="shared" ref="P230" si="1032">P212*AF230</f>
        <v>207.70796568435864</v>
      </c>
      <c r="Q230" s="130">
        <f t="shared" ref="Q230" si="1033">Q212*AG230</f>
        <v>239.9027003654343</v>
      </c>
      <c r="R230" s="68">
        <f t="shared" si="1020"/>
        <v>0.14441009303778146</v>
      </c>
      <c r="S230" s="134" t="s">
        <v>77</v>
      </c>
      <c r="T230" s="116">
        <v>0.38</v>
      </c>
      <c r="U230" s="116">
        <v>0.38</v>
      </c>
      <c r="V230" s="116">
        <v>0.38</v>
      </c>
      <c r="W230" s="116">
        <v>0.38</v>
      </c>
      <c r="X230" s="116">
        <v>0.38</v>
      </c>
      <c r="Y230" s="116">
        <v>0.38</v>
      </c>
      <c r="Z230" s="116">
        <v>0.38</v>
      </c>
      <c r="AA230" s="116">
        <v>0.38</v>
      </c>
      <c r="AB230" s="116">
        <v>0.38</v>
      </c>
      <c r="AC230" s="116">
        <v>0.38</v>
      </c>
      <c r="AD230" s="116">
        <v>0.38</v>
      </c>
      <c r="AE230" s="116">
        <v>0.38</v>
      </c>
      <c r="AF230" s="116">
        <v>0.38</v>
      </c>
      <c r="AG230" s="116">
        <v>0.38</v>
      </c>
    </row>
    <row r="231" spans="1:33" s="117" customFormat="1" x14ac:dyDescent="0.35">
      <c r="A231" s="149"/>
      <c r="B231" s="128" t="s">
        <v>78</v>
      </c>
      <c r="C231" s="129"/>
      <c r="D231" s="132">
        <f>D212*T231</f>
        <v>19.659275999999998</v>
      </c>
      <c r="E231" s="132">
        <f t="shared" ref="E231" si="1034">E212*U231</f>
        <v>22.223611226265444</v>
      </c>
      <c r="F231" s="132">
        <f t="shared" ref="F231" si="1035">F212*V231</f>
        <v>25.172924982185169</v>
      </c>
      <c r="G231" s="132">
        <f t="shared" ref="G231" si="1036">G212*W231</f>
        <v>28.571868852680161</v>
      </c>
      <c r="H231" s="132">
        <f t="shared" ref="H231" si="1037">H212*X231</f>
        <v>32.497032275237657</v>
      </c>
      <c r="I231" s="132">
        <f t="shared" ref="I231" si="1038">I212*Y231</f>
        <v>37.039337558119321</v>
      </c>
      <c r="J231" s="132">
        <f t="shared" ref="J231" si="1039">J212*Z231</f>
        <v>42.306952378812696</v>
      </c>
      <c r="K231" s="132">
        <f t="shared" ref="K231" si="1040">K212*AA231</f>
        <v>48.428839355357617</v>
      </c>
      <c r="L231" s="132">
        <f t="shared" ref="L231" si="1041">L212*AB231</f>
        <v>55.559091683484468</v>
      </c>
      <c r="M231" s="132">
        <f t="shared" ref="M231" si="1042">M212*AC231</f>
        <v>63.882240886487693</v>
      </c>
      <c r="N231" s="132">
        <f t="shared" ref="N231" si="1043">N212*AD231</f>
        <v>73.61976953431811</v>
      </c>
      <c r="O231" s="132">
        <f t="shared" ref="O231" si="1044">O212*AE231</f>
        <v>85.038121062374699</v>
      </c>
      <c r="P231" s="132">
        <f t="shared" ref="P231" si="1045">P212*AF231</f>
        <v>98.458574058531227</v>
      </c>
      <c r="Q231" s="132">
        <f t="shared" ref="Q231" si="1046">Q212*AG231</f>
        <v>114.26944412143034</v>
      </c>
      <c r="R231" s="68">
        <f t="shared" si="1020"/>
        <v>0.149942878696083</v>
      </c>
      <c r="S231" s="134" t="s">
        <v>78</v>
      </c>
      <c r="T231" s="116">
        <v>0.16999999999999998</v>
      </c>
      <c r="U231" s="116">
        <v>0.17082188506343435</v>
      </c>
      <c r="V231" s="116">
        <v>0.17164774362720694</v>
      </c>
      <c r="W231" s="116">
        <v>0.17247759490167405</v>
      </c>
      <c r="X231" s="116">
        <v>0.17331145819006682</v>
      </c>
      <c r="Y231" s="116">
        <v>0.17414935288894001</v>
      </c>
      <c r="Z231" s="116">
        <v>0.17499129848862341</v>
      </c>
      <c r="AA231" s="116">
        <v>0.17583731457367507</v>
      </c>
      <c r="AB231" s="116">
        <v>0.17668742082333691</v>
      </c>
      <c r="AC231" s="116">
        <v>0.17754163701199244</v>
      </c>
      <c r="AD231" s="116">
        <v>0.17839998300962681</v>
      </c>
      <c r="AE231" s="116">
        <v>0.17926247878228888</v>
      </c>
      <c r="AF231" s="116">
        <v>0.18012914439255584</v>
      </c>
      <c r="AG231" s="116">
        <v>0.18099999999999969</v>
      </c>
    </row>
    <row r="232" spans="1:33" s="117" customFormat="1" x14ac:dyDescent="0.35">
      <c r="A232" s="149"/>
      <c r="B232" s="128" t="s">
        <v>79</v>
      </c>
      <c r="C232" s="129"/>
      <c r="D232" s="132">
        <f>D212*T232</f>
        <v>16.189992</v>
      </c>
      <c r="E232" s="132">
        <f t="shared" ref="E232" si="1047">E212*U232</f>
        <v>18.223715708354732</v>
      </c>
      <c r="F232" s="132">
        <f t="shared" ref="F232" si="1048">F212*V232</f>
        <v>20.554133299023988</v>
      </c>
      <c r="G232" s="132">
        <f t="shared" ref="G232" si="1049">G212*W232</f>
        <v>23.2298990008054</v>
      </c>
      <c r="H232" s="132">
        <f t="shared" ref="H232" si="1050">H212*X232</f>
        <v>26.308468171273585</v>
      </c>
      <c r="I232" s="132">
        <f t="shared" ref="I232" si="1051">I212*Y232</f>
        <v>29.857831115270063</v>
      </c>
      <c r="J232" s="132">
        <f t="shared" ref="J232" si="1052">J212*Z232</f>
        <v>33.95861540801927</v>
      </c>
      <c r="K232" s="132">
        <f t="shared" ref="K232" si="1053">K212*AA232</f>
        <v>38.706640614617626</v>
      </c>
      <c r="L232" s="132">
        <f t="shared" ref="L232" si="1054">L212*AB232</f>
        <v>44.216029636674229</v>
      </c>
      <c r="M232" s="132">
        <f t="shared" ref="M232" si="1055">M212*AC232</f>
        <v>50.623006482609583</v>
      </c>
      <c r="N232" s="132">
        <f t="shared" ref="N232" si="1056">N212*AD232</f>
        <v>58.090542468605634</v>
      </c>
      <c r="O232" s="132">
        <f t="shared" ref="O232" si="1057">O212*AE232</f>
        <v>66.814053535358752</v>
      </c>
      <c r="P232" s="132">
        <f t="shared" ref="P232" si="1058">P212*AF232</f>
        <v>77.028402860627594</v>
      </c>
      <c r="Q232" s="132">
        <f t="shared" ref="Q232" si="1059">Q212*AG232</f>
        <v>89.016528293490254</v>
      </c>
      <c r="R232" s="68">
        <f t="shared" si="1020"/>
        <v>0.14503682627815534</v>
      </c>
      <c r="S232" s="134" t="s">
        <v>79</v>
      </c>
      <c r="T232" s="116">
        <v>0.14000000000000001</v>
      </c>
      <c r="U232" s="116">
        <v>0.14007667063947282</v>
      </c>
      <c r="V232" s="116">
        <v>0.14015338326742385</v>
      </c>
      <c r="W232" s="116">
        <v>0.1402301379068481</v>
      </c>
      <c r="X232" s="116">
        <v>0.14030693458075291</v>
      </c>
      <c r="Y232" s="116">
        <v>0.14038377331215846</v>
      </c>
      <c r="Z232" s="116">
        <v>0.14046065412409731</v>
      </c>
      <c r="AA232" s="116">
        <v>0.14053757703961495</v>
      </c>
      <c r="AB232" s="116">
        <v>0.14061454208176913</v>
      </c>
      <c r="AC232" s="116">
        <v>0.14069154927363042</v>
      </c>
      <c r="AD232" s="116">
        <v>0.14076859863828203</v>
      </c>
      <c r="AE232" s="116">
        <v>0.14084569019881982</v>
      </c>
      <c r="AF232" s="116">
        <v>0.14092282397835218</v>
      </c>
      <c r="AG232" s="116">
        <v>0.14100000000000026</v>
      </c>
    </row>
    <row r="233" spans="1:33" s="117" customFormat="1" x14ac:dyDescent="0.35">
      <c r="A233" s="149"/>
      <c r="B233" s="128" t="s">
        <v>80</v>
      </c>
      <c r="C233" s="129"/>
      <c r="D233" s="132">
        <f>D212*T233</f>
        <v>4.6257120000000027</v>
      </c>
      <c r="E233" s="132">
        <f t="shared" ref="E233" si="1060">E212*U233</f>
        <v>4.8257440812916368</v>
      </c>
      <c r="F233" s="132">
        <f t="shared" ref="F233" si="1061">F212*V233</f>
        <v>5.0445440988653827</v>
      </c>
      <c r="G233" s="132">
        <f t="shared" ref="G233" si="1062">G212*W233</f>
        <v>5.284032438736638</v>
      </c>
      <c r="H233" s="132">
        <f t="shared" ref="H233" si="1063">H212*X233</f>
        <v>5.5463735299865711</v>
      </c>
      <c r="I233" s="132">
        <f t="shared" ref="I233" si="1064">I212*Y233</f>
        <v>5.8340105386520618</v>
      </c>
      <c r="J233" s="132">
        <f t="shared" ref="J233" si="1065">J212*Z233</f>
        <v>6.1497056031480435</v>
      </c>
      <c r="K233" s="132">
        <f t="shared" ref="K233" si="1066">K212*AA233</f>
        <v>6.4965865820239452</v>
      </c>
      <c r="L233" s="132">
        <f t="shared" ref="L233" si="1067">L212*AB233</f>
        <v>6.878201469939925</v>
      </c>
      <c r="M233" s="132">
        <f t="shared" ref="M233" si="1068">M212*AC233</f>
        <v>7.2985818608703994</v>
      </c>
      <c r="N233" s="132">
        <f t="shared" ref="N233" si="1069">N212*AD233</f>
        <v>7.7623171070754937</v>
      </c>
      <c r="O233" s="132">
        <f t="shared" ref="O233" si="1070">O212*AE233</f>
        <v>8.2746411486624645</v>
      </c>
      <c r="P233" s="132">
        <f t="shared" ref="P233" si="1071">P212*AF233</f>
        <v>8.8415343843772707</v>
      </c>
      <c r="Q233" s="132">
        <f t="shared" ref="Q233" si="1072">Q212*AG233</f>
        <v>9.4698434354776726</v>
      </c>
      <c r="R233" s="68">
        <f t="shared" si="1020"/>
        <v>6.1243037095018264E-2</v>
      </c>
      <c r="S233" s="134" t="s">
        <v>80</v>
      </c>
      <c r="T233" s="116">
        <v>4.0000000000000029E-2</v>
      </c>
      <c r="U233" s="116">
        <v>3.7093103024844219E-2</v>
      </c>
      <c r="V233" s="116">
        <v>3.4397457300292665E-2</v>
      </c>
      <c r="W233" s="116">
        <v>3.1897710685810869E-2</v>
      </c>
      <c r="X233" s="116">
        <v>2.9579626718136409E-2</v>
      </c>
      <c r="Y233" s="116">
        <v>2.7430003532306693E-2</v>
      </c>
      <c r="Z233" s="116">
        <v>2.543659867489231E-2</v>
      </c>
      <c r="AA233" s="116">
        <v>2.3588059381234896E-2</v>
      </c>
      <c r="AB233" s="116">
        <v>2.1873857919607213E-2</v>
      </c>
      <c r="AC233" s="116">
        <v>2.0284231634069862E-2</v>
      </c>
      <c r="AD233" s="116">
        <v>1.8810127344558929E-2</v>
      </c>
      <c r="AE233" s="116">
        <v>1.7443149787554083E-2</v>
      </c>
      <c r="AF233" s="116">
        <v>1.617551380368832E-2</v>
      </c>
      <c r="AG233" s="116">
        <v>1.5000000000000005E-2</v>
      </c>
    </row>
    <row r="234" spans="1:33" s="117" customFormat="1" x14ac:dyDescent="0.35">
      <c r="A234" s="149"/>
      <c r="B234" s="128" t="s">
        <v>81</v>
      </c>
      <c r="C234" s="129"/>
      <c r="D234" s="132">
        <f>D212*T234</f>
        <v>2.3128560000000005</v>
      </c>
      <c r="E234" s="132">
        <f t="shared" ref="E234" si="1073">E212*U234</f>
        <v>2.6211095289239656</v>
      </c>
      <c r="F234" s="132">
        <f t="shared" ref="F234" si="1074">F212*V234</f>
        <v>2.9764163655948135</v>
      </c>
      <c r="G234" s="132">
        <f t="shared" ref="G234" si="1075">G212*W234</f>
        <v>3.3867887946418076</v>
      </c>
      <c r="H234" s="132">
        <f t="shared" ref="H234" si="1076">H212*X234</f>
        <v>3.8617364548468269</v>
      </c>
      <c r="I234" s="132">
        <f t="shared" ref="I234" si="1077">I212*Y234</f>
        <v>4.4125699691104829</v>
      </c>
      <c r="J234" s="132">
        <f t="shared" ref="J234" si="1078">J212*Z234</f>
        <v>5.0527708143509882</v>
      </c>
      <c r="K234" s="132">
        <f t="shared" ref="K234" si="1079">K212*AA234</f>
        <v>5.798442875536705</v>
      </c>
      <c r="L234" s="132">
        <f t="shared" ref="L234" si="1080">L212*AB234</f>
        <v>6.6688649559264839</v>
      </c>
      <c r="M234" s="132">
        <f t="shared" ref="M234" si="1081">M212*AC234</f>
        <v>7.6871683475691848</v>
      </c>
      <c r="N234" s="132">
        <f t="shared" ref="N234" si="1082">N212*AD234</f>
        <v>8.8811696799206921</v>
      </c>
      <c r="O234" s="132">
        <f t="shared" ref="O234" si="1083">O212*AE234</f>
        <v>10.284397018539961</v>
      </c>
      <c r="P234" s="132">
        <f t="shared" ref="P234" si="1084">P212*AF234</f>
        <v>11.93735704403702</v>
      </c>
      <c r="Q234" s="132">
        <f t="shared" ref="Q234" si="1085">Q212*AG234</f>
        <v>13.889103705367251</v>
      </c>
      <c r="R234" s="68">
        <f t="shared" si="1020"/>
        <v>0.15283122775308075</v>
      </c>
      <c r="S234" s="134" t="s">
        <v>81</v>
      </c>
      <c r="T234" s="116">
        <v>2.0000000000000004E-2</v>
      </c>
      <c r="U234" s="116">
        <v>2.0147169878464571E-2</v>
      </c>
      <c r="V234" s="116">
        <v>2.0295422705585511E-2</v>
      </c>
      <c r="W234" s="116">
        <v>2.0444766450233912E-2</v>
      </c>
      <c r="X234" s="116">
        <v>2.0595209139919784E-2</v>
      </c>
      <c r="Y234" s="116">
        <v>2.0746758861223506E-2</v>
      </c>
      <c r="Z234" s="116">
        <v>2.0899423760230504E-2</v>
      </c>
      <c r="AA234" s="116">
        <v>2.1053212042969137E-2</v>
      </c>
      <c r="AB234" s="116">
        <v>2.1208131975851766E-2</v>
      </c>
      <c r="AC234" s="116">
        <v>2.1364191886119096E-2</v>
      </c>
      <c r="AD234" s="116">
        <v>2.1521400162287797E-2</v>
      </c>
      <c r="AE234" s="116">
        <v>2.1679765254601358E-2</v>
      </c>
      <c r="AF234" s="116">
        <v>2.1839295675484361E-2</v>
      </c>
      <c r="AG234" s="116">
        <v>2.2000000000000006E-2</v>
      </c>
    </row>
    <row r="235" spans="1:33" s="117" customFormat="1" x14ac:dyDescent="0.35">
      <c r="A235" s="149"/>
      <c r="B235" s="128" t="s">
        <v>82</v>
      </c>
      <c r="C235" s="129"/>
      <c r="D235" s="132">
        <f>D212*T235</f>
        <v>3.4692839999999903</v>
      </c>
      <c r="E235" s="132">
        <f t="shared" ref="E235" si="1086">E212*U235</f>
        <v>4.0955590547149763</v>
      </c>
      <c r="F235" s="132">
        <f t="shared" ref="F235" si="1087">F212*V235</f>
        <v>4.802065395577654</v>
      </c>
      <c r="G235" s="132">
        <f t="shared" ref="G235" si="1088">G212*W235</f>
        <v>5.6001340492559315</v>
      </c>
      <c r="H235" s="132">
        <f t="shared" ref="H235" si="1089">H212*X235</f>
        <v>6.502775692649343</v>
      </c>
      <c r="I235" s="132">
        <f t="shared" ref="I235" si="1090">I212*Y235</f>
        <v>7.5249411417712659</v>
      </c>
      <c r="J235" s="132">
        <f t="shared" ref="J235" si="1091">J212*Z235</f>
        <v>8.6838227717592211</v>
      </c>
      <c r="K235" s="132">
        <f t="shared" ref="K235" si="1092">K212*AA235</f>
        <v>9.9992030533502749</v>
      </c>
      <c r="L235" s="132">
        <f t="shared" ref="L235" si="1093">L212*AB235</f>
        <v>11.493857166398211</v>
      </c>
      <c r="M235" s="132">
        <f t="shared" ref="M235" si="1094">M212*AC235</f>
        <v>13.194017447824931</v>
      </c>
      <c r="N235" s="132">
        <f t="shared" ref="N235" si="1095">N212*AD235</f>
        <v>15.129908209547814</v>
      </c>
      <c r="O235" s="132">
        <f t="shared" ref="O235" si="1096">O212*AE235</f>
        <v>17.336360157074395</v>
      </c>
      <c r="P235" s="132">
        <f t="shared" ref="P235" si="1097">P212*AF235</f>
        <v>19.853514152314208</v>
      </c>
      <c r="Q235" s="132">
        <f t="shared" ref="Q235" si="1098">Q212*AG235</f>
        <v>22.727624245146284</v>
      </c>
      <c r="R235" s="68">
        <f>RATE(9,,-H235,Q235)</f>
        <v>0.14916904393578895</v>
      </c>
      <c r="S235" s="134" t="s">
        <v>82</v>
      </c>
      <c r="T235" s="116">
        <f>1-SUM(T229:T234)</f>
        <v>2.9999999999999916E-2</v>
      </c>
      <c r="U235" s="116">
        <f t="shared" ref="U235:AG235" si="1099">1-SUM(U229:U234)</f>
        <v>3.1480532618757273E-2</v>
      </c>
      <c r="V235" s="116">
        <f t="shared" si="1099"/>
        <v>3.2744056977269231E-2</v>
      </c>
      <c r="W235" s="116">
        <f t="shared" si="1099"/>
        <v>3.380589687440172E-2</v>
      </c>
      <c r="X235" s="116">
        <f t="shared" si="1099"/>
        <v>3.468026027825144E-2</v>
      </c>
      <c r="Y235" s="116">
        <f t="shared" si="1099"/>
        <v>3.5380320404233667E-2</v>
      </c>
      <c r="Z235" s="116">
        <f t="shared" si="1099"/>
        <v>3.5918290900959216E-2</v>
      </c>
      <c r="AA235" s="116">
        <f t="shared" si="1099"/>
        <v>3.6305495572102608E-2</v>
      </c>
      <c r="AB235" s="116">
        <f t="shared" si="1099"/>
        <v>3.655243303134148E-2</v>
      </c>
      <c r="AC235" s="116">
        <f t="shared" si="1099"/>
        <v>3.6668836658594883E-2</v>
      </c>
      <c r="AD235" s="116">
        <f t="shared" si="1099"/>
        <v>3.6663730199023692E-2</v>
      </c>
      <c r="AE235" s="116">
        <f t="shared" si="1099"/>
        <v>3.6545479321446361E-2</v>
      </c>
      <c r="AF235" s="116">
        <f t="shared" si="1099"/>
        <v>3.6321839429808267E-2</v>
      </c>
      <c r="AG235" s="116">
        <f t="shared" si="1099"/>
        <v>3.599999999999981E-2</v>
      </c>
    </row>
    <row r="237" spans="1:33" ht="25" x14ac:dyDescent="0.5">
      <c r="A237" s="146" t="s">
        <v>106</v>
      </c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63"/>
    </row>
    <row r="238" spans="1:33" ht="23.5" thickBot="1" x14ac:dyDescent="0.55000000000000004">
      <c r="A238" s="63"/>
      <c r="B238" s="63"/>
      <c r="C238" s="63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</row>
    <row r="239" spans="1:33" ht="16" hidden="1" thickBot="1" x14ac:dyDescent="0.4">
      <c r="A239" s="42"/>
      <c r="B239" s="43"/>
      <c r="C239" s="93"/>
      <c r="D239" s="91">
        <v>2023</v>
      </c>
      <c r="E239" s="65">
        <v>2024</v>
      </c>
      <c r="F239" s="65">
        <v>2025</v>
      </c>
      <c r="G239" s="65">
        <v>2026</v>
      </c>
      <c r="H239" s="65">
        <v>2027</v>
      </c>
      <c r="I239" s="65">
        <v>2028</v>
      </c>
      <c r="J239" s="65">
        <v>2029</v>
      </c>
      <c r="K239" s="65">
        <v>2030</v>
      </c>
      <c r="L239" s="65">
        <v>2031</v>
      </c>
      <c r="M239" s="65">
        <v>2032</v>
      </c>
      <c r="N239" s="65">
        <v>2033</v>
      </c>
      <c r="O239" s="65">
        <v>2034</v>
      </c>
      <c r="P239" s="65">
        <v>2035</v>
      </c>
      <c r="Q239" s="65">
        <v>2036</v>
      </c>
      <c r="R239" s="66" t="s">
        <v>13</v>
      </c>
    </row>
    <row r="240" spans="1:33" ht="16" hidden="1" thickBot="1" x14ac:dyDescent="0.4">
      <c r="A240" s="25"/>
      <c r="B240" s="94"/>
      <c r="C240" s="95"/>
      <c r="D240" s="92" t="e">
        <f>#REF!</f>
        <v>#REF!</v>
      </c>
      <c r="E240" s="92" t="e">
        <f>#REF!</f>
        <v>#REF!</v>
      </c>
      <c r="F240" s="92" t="e">
        <f>#REF!</f>
        <v>#REF!</v>
      </c>
      <c r="G240" s="92" t="e">
        <f>#REF!</f>
        <v>#REF!</v>
      </c>
      <c r="H240" s="92" t="e">
        <f>#REF!</f>
        <v>#REF!</v>
      </c>
      <c r="I240" s="92" t="e">
        <f>#REF!</f>
        <v>#REF!</v>
      </c>
      <c r="J240" s="92" t="e">
        <f>#REF!</f>
        <v>#REF!</v>
      </c>
      <c r="K240" s="92" t="e">
        <f>#REF!</f>
        <v>#REF!</v>
      </c>
      <c r="L240" s="92" t="e">
        <f>#REF!</f>
        <v>#REF!</v>
      </c>
      <c r="M240" s="92" t="e">
        <f>#REF!</f>
        <v>#REF!</v>
      </c>
      <c r="N240" s="92" t="e">
        <f>#REF!</f>
        <v>#REF!</v>
      </c>
      <c r="O240" s="92" t="e">
        <f>#REF!</f>
        <v>#REF!</v>
      </c>
      <c r="P240" s="92" t="e">
        <f>#REF!</f>
        <v>#REF!</v>
      </c>
      <c r="Q240" s="92" t="e">
        <f>#REF!</f>
        <v>#REF!</v>
      </c>
      <c r="R240" s="68" t="e">
        <f>RATE(12,,-E240,Q240)</f>
        <v>#REF!</v>
      </c>
      <c r="T240" s="65">
        <v>2023</v>
      </c>
      <c r="U240" s="65">
        <v>2024</v>
      </c>
      <c r="V240" s="65">
        <v>2025</v>
      </c>
      <c r="W240" s="65">
        <v>2026</v>
      </c>
      <c r="X240" s="65">
        <v>2027</v>
      </c>
      <c r="Y240" s="65">
        <v>2028</v>
      </c>
      <c r="Z240" s="65">
        <v>2029</v>
      </c>
      <c r="AA240" s="65">
        <v>2030</v>
      </c>
      <c r="AB240" s="65">
        <v>2031</v>
      </c>
      <c r="AC240" s="65">
        <v>2032</v>
      </c>
      <c r="AD240" s="65">
        <v>2033</v>
      </c>
      <c r="AE240" s="65">
        <v>2034</v>
      </c>
      <c r="AF240" s="65">
        <v>2035</v>
      </c>
      <c r="AG240" s="65">
        <v>2036</v>
      </c>
    </row>
    <row r="241" spans="1:33" ht="15" hidden="1" thickBot="1" x14ac:dyDescent="0.4">
      <c r="A241" s="150" t="s">
        <v>49</v>
      </c>
      <c r="B241" s="52" t="s">
        <v>34</v>
      </c>
      <c r="C241" s="45"/>
      <c r="D241" s="79" t="e">
        <f t="shared" ref="D241" si="1100">D240*T241</f>
        <v>#REF!</v>
      </c>
      <c r="E241" s="79" t="e">
        <f t="shared" ref="E241" si="1101">E240*U241</f>
        <v>#REF!</v>
      </c>
      <c r="F241" s="79" t="e">
        <f t="shared" ref="F241" si="1102">F240*V241</f>
        <v>#REF!</v>
      </c>
      <c r="G241" s="79" t="e">
        <f t="shared" ref="G241" si="1103">G240*W241</f>
        <v>#REF!</v>
      </c>
      <c r="H241" s="79" t="e">
        <f t="shared" ref="H241" si="1104">H240*X241</f>
        <v>#REF!</v>
      </c>
      <c r="I241" s="79" t="e">
        <f t="shared" ref="I241" si="1105">I240*Y241</f>
        <v>#REF!</v>
      </c>
      <c r="J241" s="79" t="e">
        <f t="shared" ref="J241" si="1106">J240*Z241</f>
        <v>#REF!</v>
      </c>
      <c r="K241" s="79" t="e">
        <f t="shared" ref="K241" si="1107">K240*AA241</f>
        <v>#REF!</v>
      </c>
      <c r="L241" s="79" t="e">
        <f t="shared" ref="L241" si="1108">L240*AB241</f>
        <v>#REF!</v>
      </c>
      <c r="M241" s="79" t="e">
        <f t="shared" ref="M241" si="1109">M240*AC241</f>
        <v>#REF!</v>
      </c>
      <c r="N241" s="79" t="e">
        <f t="shared" ref="N241" si="1110">N240*AD241</f>
        <v>#REF!</v>
      </c>
      <c r="O241" s="79" t="e">
        <f t="shared" ref="O241" si="1111">O240*AE241</f>
        <v>#REF!</v>
      </c>
      <c r="P241" s="79" t="e">
        <f t="shared" ref="P241" si="1112">P240*AF241</f>
        <v>#REF!</v>
      </c>
      <c r="Q241" s="79" t="e">
        <f t="shared" ref="Q241" si="1113">Q240*AG241</f>
        <v>#REF!</v>
      </c>
      <c r="R241" s="77" t="e">
        <f>RATE(12,,-E241,Q241)</f>
        <v>#REF!</v>
      </c>
      <c r="S241" s="52"/>
      <c r="T241" s="12">
        <v>0.56000000000000005</v>
      </c>
      <c r="U241" s="12">
        <v>0.56092161367703952</v>
      </c>
      <c r="V241" s="12">
        <v>0.56184474408938223</v>
      </c>
      <c r="W241" s="12">
        <v>0.56276939373317769</v>
      </c>
      <c r="X241" s="12">
        <v>0.56369556510868446</v>
      </c>
      <c r="Y241" s="12">
        <v>0.56462326072027491</v>
      </c>
      <c r="Z241" s="12">
        <v>0.56555248307644368</v>
      </c>
      <c r="AA241" s="12">
        <v>0.56648323468981299</v>
      </c>
      <c r="AB241" s="12">
        <v>0.56741551807714108</v>
      </c>
      <c r="AC241" s="12">
        <v>0.56834933575932756</v>
      </c>
      <c r="AD241" s="12">
        <v>0.56928469026142059</v>
      </c>
      <c r="AE241" s="12">
        <v>0.57022158411262425</v>
      </c>
      <c r="AF241" s="12">
        <v>0.57116001984630527</v>
      </c>
      <c r="AG241" s="12">
        <v>0.57209999999999905</v>
      </c>
    </row>
    <row r="242" spans="1:33" ht="15" hidden="1" thickBot="1" x14ac:dyDescent="0.4">
      <c r="A242" s="151"/>
      <c r="B242" s="53" t="s">
        <v>35</v>
      </c>
      <c r="C242" s="46"/>
      <c r="D242" s="80" t="e">
        <f t="shared" ref="D242" si="1114">D240*T242</f>
        <v>#REF!</v>
      </c>
      <c r="E242" s="80" t="e">
        <f t="shared" ref="E242" si="1115">E240*U242</f>
        <v>#REF!</v>
      </c>
      <c r="F242" s="80" t="e">
        <f t="shared" ref="F242" si="1116">F240*V242</f>
        <v>#REF!</v>
      </c>
      <c r="G242" s="80" t="e">
        <f t="shared" ref="G242" si="1117">G240*W242</f>
        <v>#REF!</v>
      </c>
      <c r="H242" s="80" t="e">
        <f t="shared" ref="H242" si="1118">H240*X242</f>
        <v>#REF!</v>
      </c>
      <c r="I242" s="80" t="e">
        <f t="shared" ref="I242" si="1119">I240*Y242</f>
        <v>#REF!</v>
      </c>
      <c r="J242" s="80" t="e">
        <f t="shared" ref="J242" si="1120">J240*Z242</f>
        <v>#REF!</v>
      </c>
      <c r="K242" s="80" t="e">
        <f t="shared" ref="K242" si="1121">K240*AA242</f>
        <v>#REF!</v>
      </c>
      <c r="L242" s="80" t="e">
        <f t="shared" ref="L242" si="1122">L240*AB242</f>
        <v>#REF!</v>
      </c>
      <c r="M242" s="80" t="e">
        <f t="shared" ref="M242" si="1123">M240*AC242</f>
        <v>#REF!</v>
      </c>
      <c r="N242" s="80" t="e">
        <f t="shared" ref="N242" si="1124">N240*AD242</f>
        <v>#REF!</v>
      </c>
      <c r="O242" s="80" t="e">
        <f t="shared" ref="O242" si="1125">O240*AE242</f>
        <v>#REF!</v>
      </c>
      <c r="P242" s="80" t="e">
        <f t="shared" ref="P242" si="1126">P240*AF242</f>
        <v>#REF!</v>
      </c>
      <c r="Q242" s="80" t="e">
        <f t="shared" ref="Q242" si="1127">Q240*AG242</f>
        <v>#REF!</v>
      </c>
      <c r="R242" s="78" t="e">
        <f>RATE(12,,-E242,Q242)</f>
        <v>#REF!</v>
      </c>
      <c r="S242" s="53"/>
      <c r="T242" s="12">
        <f>1-T241</f>
        <v>0.43999999999999995</v>
      </c>
      <c r="U242" s="12">
        <f t="shared" ref="U242:AG242" si="1128">1-U241</f>
        <v>0.43907838632296048</v>
      </c>
      <c r="V242" s="12">
        <f t="shared" si="1128"/>
        <v>0.43815525591061777</v>
      </c>
      <c r="W242" s="12">
        <f t="shared" si="1128"/>
        <v>0.43723060626682231</v>
      </c>
      <c r="X242" s="12">
        <f t="shared" si="1128"/>
        <v>0.43630443489131554</v>
      </c>
      <c r="Y242" s="12">
        <f t="shared" si="1128"/>
        <v>0.43537673927972509</v>
      </c>
      <c r="Z242" s="12">
        <f t="shared" si="1128"/>
        <v>0.43444751692355632</v>
      </c>
      <c r="AA242" s="12">
        <f t="shared" si="1128"/>
        <v>0.43351676531018701</v>
      </c>
      <c r="AB242" s="12">
        <f t="shared" si="1128"/>
        <v>0.43258448192285892</v>
      </c>
      <c r="AC242" s="12">
        <f t="shared" si="1128"/>
        <v>0.43165066424067244</v>
      </c>
      <c r="AD242" s="12">
        <f t="shared" si="1128"/>
        <v>0.43071530973857941</v>
      </c>
      <c r="AE242" s="12">
        <f t="shared" si="1128"/>
        <v>0.42977841588737575</v>
      </c>
      <c r="AF242" s="12">
        <f t="shared" si="1128"/>
        <v>0.42883998015369473</v>
      </c>
      <c r="AG242" s="12">
        <f t="shared" si="1128"/>
        <v>0.42790000000000095</v>
      </c>
    </row>
    <row r="243" spans="1:33" ht="15" hidden="1" thickBot="1" x14ac:dyDescent="0.4">
      <c r="A243" s="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21"/>
    </row>
    <row r="244" spans="1:33" ht="15" hidden="1" thickBot="1" x14ac:dyDescent="0.4">
      <c r="A244" s="150" t="s">
        <v>15</v>
      </c>
      <c r="B244" s="57" t="s">
        <v>16</v>
      </c>
      <c r="C244" s="47"/>
      <c r="D244" s="82" t="e">
        <f t="shared" ref="D244" si="1129">D240*T244</f>
        <v>#REF!</v>
      </c>
      <c r="E244" s="82" t="e">
        <f t="shared" ref="E244" si="1130">E240*U244</f>
        <v>#REF!</v>
      </c>
      <c r="F244" s="82" t="e">
        <f t="shared" ref="F244" si="1131">F240*V244</f>
        <v>#REF!</v>
      </c>
      <c r="G244" s="82" t="e">
        <f t="shared" ref="G244" si="1132">G240*W244</f>
        <v>#REF!</v>
      </c>
      <c r="H244" s="82" t="e">
        <f t="shared" ref="H244" si="1133">H240*X244</f>
        <v>#REF!</v>
      </c>
      <c r="I244" s="82" t="e">
        <f t="shared" ref="I244" si="1134">I240*Y244</f>
        <v>#REF!</v>
      </c>
      <c r="J244" s="82" t="e">
        <f t="shared" ref="J244" si="1135">J240*Z244</f>
        <v>#REF!</v>
      </c>
      <c r="K244" s="82" t="e">
        <f t="shared" ref="K244" si="1136">K240*AA244</f>
        <v>#REF!</v>
      </c>
      <c r="L244" s="82" t="e">
        <f t="shared" ref="L244" si="1137">L240*AB244</f>
        <v>#REF!</v>
      </c>
      <c r="M244" s="82" t="e">
        <f t="shared" ref="M244" si="1138">M240*AC244</f>
        <v>#REF!</v>
      </c>
      <c r="N244" s="82" t="e">
        <f t="shared" ref="N244" si="1139">N240*AD244</f>
        <v>#REF!</v>
      </c>
      <c r="O244" s="82" t="e">
        <f t="shared" ref="O244" si="1140">O240*AE244</f>
        <v>#REF!</v>
      </c>
      <c r="P244" s="82" t="e">
        <f t="shared" ref="P244" si="1141">P240*AF244</f>
        <v>#REF!</v>
      </c>
      <c r="Q244" s="82" t="e">
        <f t="shared" ref="Q244" si="1142">Q240*AG244</f>
        <v>#REF!</v>
      </c>
      <c r="R244" s="69" t="e">
        <f>RATE(12,,-E244,Q244)</f>
        <v>#REF!</v>
      </c>
      <c r="S244" s="57"/>
      <c r="T244" s="12">
        <v>0.47099999999999992</v>
      </c>
      <c r="U244" s="12">
        <v>0.47038461538461535</v>
      </c>
      <c r="V244" s="12">
        <v>0.46976923076923072</v>
      </c>
      <c r="W244" s="12">
        <v>0.46915384615384609</v>
      </c>
      <c r="X244" s="12">
        <v>0.46853846153846151</v>
      </c>
      <c r="Y244" s="12">
        <v>0.46792307692307689</v>
      </c>
      <c r="Z244" s="12">
        <v>0.46730769230769226</v>
      </c>
      <c r="AA244" s="12">
        <v>0.46669230769230763</v>
      </c>
      <c r="AB244" s="12">
        <v>0.46607692307692306</v>
      </c>
      <c r="AC244" s="12">
        <v>0.46546153846153843</v>
      </c>
      <c r="AD244" s="12">
        <v>0.4648461538461538</v>
      </c>
      <c r="AE244" s="12">
        <v>0.46423076923076922</v>
      </c>
      <c r="AF244" s="12">
        <v>0.4636153846153846</v>
      </c>
      <c r="AG244" s="12">
        <v>0.46299999999999997</v>
      </c>
    </row>
    <row r="245" spans="1:33" ht="15" hidden="1" thickBot="1" x14ac:dyDescent="0.4">
      <c r="A245" s="151"/>
      <c r="B245" s="58" t="s">
        <v>17</v>
      </c>
      <c r="C245" s="48"/>
      <c r="D245" s="83" t="e">
        <f t="shared" ref="D245" si="1143">D240*T245</f>
        <v>#REF!</v>
      </c>
      <c r="E245" s="83" t="e">
        <f t="shared" ref="E245" si="1144">E240*U245</f>
        <v>#REF!</v>
      </c>
      <c r="F245" s="83" t="e">
        <f t="shared" ref="F245" si="1145">F240*V245</f>
        <v>#REF!</v>
      </c>
      <c r="G245" s="83" t="e">
        <f t="shared" ref="G245" si="1146">G240*W245</f>
        <v>#REF!</v>
      </c>
      <c r="H245" s="83" t="e">
        <f t="shared" ref="H245" si="1147">H240*X245</f>
        <v>#REF!</v>
      </c>
      <c r="I245" s="83" t="e">
        <f t="shared" ref="I245" si="1148">I240*Y245</f>
        <v>#REF!</v>
      </c>
      <c r="J245" s="83" t="e">
        <f t="shared" ref="J245" si="1149">J240*Z245</f>
        <v>#REF!</v>
      </c>
      <c r="K245" s="83" t="e">
        <f t="shared" ref="K245" si="1150">K240*AA245</f>
        <v>#REF!</v>
      </c>
      <c r="L245" s="83" t="e">
        <f t="shared" ref="L245" si="1151">L240*AB245</f>
        <v>#REF!</v>
      </c>
      <c r="M245" s="83" t="e">
        <f t="shared" ref="M245" si="1152">M240*AC245</f>
        <v>#REF!</v>
      </c>
      <c r="N245" s="83" t="e">
        <f t="shared" ref="N245" si="1153">N240*AD245</f>
        <v>#REF!</v>
      </c>
      <c r="O245" s="83" t="e">
        <f t="shared" ref="O245" si="1154">O240*AE245</f>
        <v>#REF!</v>
      </c>
      <c r="P245" s="83" t="e">
        <f t="shared" ref="P245" si="1155">P240*AF245</f>
        <v>#REF!</v>
      </c>
      <c r="Q245" s="83" t="e">
        <f t="shared" ref="Q245" si="1156">Q240*AG245</f>
        <v>#REF!</v>
      </c>
      <c r="R245" s="70" t="e">
        <f>RATE(12,,-E245,Q245)</f>
        <v>#REF!</v>
      </c>
      <c r="S245" s="58"/>
      <c r="T245" s="12">
        <f>1-T244</f>
        <v>0.52900000000000014</v>
      </c>
      <c r="U245" s="12">
        <f t="shared" ref="U245:AG245" si="1157">1-U244</f>
        <v>0.5296153846153846</v>
      </c>
      <c r="V245" s="12">
        <f t="shared" si="1157"/>
        <v>0.53023076923076928</v>
      </c>
      <c r="W245" s="12">
        <f t="shared" si="1157"/>
        <v>0.53084615384615397</v>
      </c>
      <c r="X245" s="12">
        <f t="shared" si="1157"/>
        <v>0.53146153846153843</v>
      </c>
      <c r="Y245" s="12">
        <f t="shared" si="1157"/>
        <v>0.53207692307692311</v>
      </c>
      <c r="Z245" s="12">
        <f t="shared" si="1157"/>
        <v>0.5326923076923078</v>
      </c>
      <c r="AA245" s="12">
        <f t="shared" si="1157"/>
        <v>0.53330769230769237</v>
      </c>
      <c r="AB245" s="12">
        <f t="shared" si="1157"/>
        <v>0.53392307692307694</v>
      </c>
      <c r="AC245" s="12">
        <f t="shared" si="1157"/>
        <v>0.53453846153846163</v>
      </c>
      <c r="AD245" s="12">
        <f t="shared" si="1157"/>
        <v>0.5351538461538462</v>
      </c>
      <c r="AE245" s="12">
        <f t="shared" si="1157"/>
        <v>0.53576923076923078</v>
      </c>
      <c r="AF245" s="12">
        <f t="shared" si="1157"/>
        <v>0.53638461538461546</v>
      </c>
      <c r="AG245" s="12">
        <f t="shared" si="1157"/>
        <v>0.53700000000000003</v>
      </c>
    </row>
    <row r="246" spans="1:33" ht="15" hidden="1" thickBot="1" x14ac:dyDescent="0.4">
      <c r="A246" s="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21"/>
    </row>
    <row r="247" spans="1:33" ht="15" hidden="1" thickBot="1" x14ac:dyDescent="0.4">
      <c r="A247" s="150" t="s">
        <v>18</v>
      </c>
      <c r="B247" s="54" t="s">
        <v>19</v>
      </c>
      <c r="C247" s="49"/>
      <c r="D247" s="84" t="e">
        <f t="shared" ref="D247" si="1158">D240*T247</f>
        <v>#REF!</v>
      </c>
      <c r="E247" s="84" t="e">
        <f t="shared" ref="E247" si="1159">E240*U247</f>
        <v>#REF!</v>
      </c>
      <c r="F247" s="84" t="e">
        <f t="shared" ref="F247" si="1160">F240*V247</f>
        <v>#REF!</v>
      </c>
      <c r="G247" s="84" t="e">
        <f t="shared" ref="G247" si="1161">G240*W247</f>
        <v>#REF!</v>
      </c>
      <c r="H247" s="84" t="e">
        <f t="shared" ref="H247" si="1162">H240*X247</f>
        <v>#REF!</v>
      </c>
      <c r="I247" s="84" t="e">
        <f t="shared" ref="I247" si="1163">I240*Y247</f>
        <v>#REF!</v>
      </c>
      <c r="J247" s="84" t="e">
        <f t="shared" ref="J247" si="1164">J240*Z247</f>
        <v>#REF!</v>
      </c>
      <c r="K247" s="84" t="e">
        <f t="shared" ref="K247" si="1165">K240*AA247</f>
        <v>#REF!</v>
      </c>
      <c r="L247" s="84" t="e">
        <f t="shared" ref="L247" si="1166">L240*AB247</f>
        <v>#REF!</v>
      </c>
      <c r="M247" s="84" t="e">
        <f t="shared" ref="M247" si="1167">M240*AC247</f>
        <v>#REF!</v>
      </c>
      <c r="N247" s="84" t="e">
        <f t="shared" ref="N247" si="1168">N240*AD247</f>
        <v>#REF!</v>
      </c>
      <c r="O247" s="84" t="e">
        <f t="shared" ref="O247" si="1169">O240*AE247</f>
        <v>#REF!</v>
      </c>
      <c r="P247" s="84" t="e">
        <f t="shared" ref="P247" si="1170">P240*AF247</f>
        <v>#REF!</v>
      </c>
      <c r="Q247" s="84" t="e">
        <f t="shared" ref="Q247" si="1171">Q240*AG247</f>
        <v>#REF!</v>
      </c>
      <c r="R247" s="71" t="e">
        <f>RATE(12,,-E247,Q247)</f>
        <v>#REF!</v>
      </c>
      <c r="S247" s="54"/>
      <c r="T247" s="12">
        <v>0.40099999999999997</v>
      </c>
      <c r="U247" s="12">
        <v>0.40265090533119946</v>
      </c>
      <c r="V247" s="12">
        <v>0.40430860739160734</v>
      </c>
      <c r="W247" s="12">
        <v>0.40597313416316017</v>
      </c>
      <c r="X247" s="12">
        <v>0.40764451374299493</v>
      </c>
      <c r="Y247" s="12">
        <v>0.40932277434392395</v>
      </c>
      <c r="Z247" s="12">
        <v>0.41100794429491083</v>
      </c>
      <c r="AA247" s="12">
        <v>0.4127000520415488</v>
      </c>
      <c r="AB247" s="12">
        <v>0.41439912614654062</v>
      </c>
      <c r="AC247" s="12">
        <v>0.41610519529018092</v>
      </c>
      <c r="AD247" s="12">
        <v>0.41781828827084017</v>
      </c>
      <c r="AE247" s="12">
        <v>0.4195384340054511</v>
      </c>
      <c r="AF247" s="12">
        <v>0.4212656615299965</v>
      </c>
      <c r="AG247" s="12">
        <v>0.42299999999999938</v>
      </c>
    </row>
    <row r="248" spans="1:33" ht="15" hidden="1" thickBot="1" x14ac:dyDescent="0.4">
      <c r="A248" s="151"/>
      <c r="B248" s="56" t="s">
        <v>20</v>
      </c>
      <c r="C248" s="44"/>
      <c r="D248" s="85" t="e">
        <f t="shared" ref="D248" si="1172">D240*T248</f>
        <v>#REF!</v>
      </c>
      <c r="E248" s="85" t="e">
        <f t="shared" ref="E248" si="1173">E240*U248</f>
        <v>#REF!</v>
      </c>
      <c r="F248" s="85" t="e">
        <f t="shared" ref="F248" si="1174">F240*V248</f>
        <v>#REF!</v>
      </c>
      <c r="G248" s="85" t="e">
        <f t="shared" ref="G248" si="1175">G240*W248</f>
        <v>#REF!</v>
      </c>
      <c r="H248" s="85" t="e">
        <f t="shared" ref="H248" si="1176">H240*X248</f>
        <v>#REF!</v>
      </c>
      <c r="I248" s="85" t="e">
        <f t="shared" ref="I248" si="1177">I240*Y248</f>
        <v>#REF!</v>
      </c>
      <c r="J248" s="85" t="e">
        <f t="shared" ref="J248" si="1178">J240*Z248</f>
        <v>#REF!</v>
      </c>
      <c r="K248" s="85" t="e">
        <f t="shared" ref="K248" si="1179">K240*AA248</f>
        <v>#REF!</v>
      </c>
      <c r="L248" s="85" t="e">
        <f t="shared" ref="L248" si="1180">L240*AB248</f>
        <v>#REF!</v>
      </c>
      <c r="M248" s="85" t="e">
        <f t="shared" ref="M248" si="1181">M240*AC248</f>
        <v>#REF!</v>
      </c>
      <c r="N248" s="85" t="e">
        <f t="shared" ref="N248" si="1182">N240*AD248</f>
        <v>#REF!</v>
      </c>
      <c r="O248" s="85" t="e">
        <f t="shared" ref="O248" si="1183">O240*AE248</f>
        <v>#REF!</v>
      </c>
      <c r="P248" s="85" t="e">
        <f t="shared" ref="P248" si="1184">P240*AF248</f>
        <v>#REF!</v>
      </c>
      <c r="Q248" s="85" t="e">
        <f t="shared" ref="Q248" si="1185">Q240*AG248</f>
        <v>#REF!</v>
      </c>
      <c r="R248" s="72" t="e">
        <f>RATE(12,,-E248,Q248)</f>
        <v>#REF!</v>
      </c>
      <c r="S248" s="56"/>
      <c r="T248" s="12">
        <f>1-T247</f>
        <v>0.59899999999999998</v>
      </c>
      <c r="U248" s="12">
        <f t="shared" ref="U248:AG248" si="1186">1-U247</f>
        <v>0.59734909466880048</v>
      </c>
      <c r="V248" s="12">
        <f t="shared" si="1186"/>
        <v>0.59569139260839266</v>
      </c>
      <c r="W248" s="12">
        <f t="shared" si="1186"/>
        <v>0.59402686583683983</v>
      </c>
      <c r="X248" s="12">
        <f t="shared" si="1186"/>
        <v>0.59235548625700507</v>
      </c>
      <c r="Y248" s="12">
        <f t="shared" si="1186"/>
        <v>0.59067722565607605</v>
      </c>
      <c r="Z248" s="12">
        <f t="shared" si="1186"/>
        <v>0.58899205570508917</v>
      </c>
      <c r="AA248" s="12">
        <f t="shared" si="1186"/>
        <v>0.5872999479584512</v>
      </c>
      <c r="AB248" s="12">
        <f t="shared" si="1186"/>
        <v>0.58560087385345938</v>
      </c>
      <c r="AC248" s="12">
        <f t="shared" si="1186"/>
        <v>0.58389480470981914</v>
      </c>
      <c r="AD248" s="12">
        <f t="shared" si="1186"/>
        <v>0.58218171172915989</v>
      </c>
      <c r="AE248" s="12">
        <f t="shared" si="1186"/>
        <v>0.5804615659945489</v>
      </c>
      <c r="AF248" s="12">
        <f t="shared" si="1186"/>
        <v>0.57873433847000344</v>
      </c>
      <c r="AG248" s="12">
        <f t="shared" si="1186"/>
        <v>0.57700000000000062</v>
      </c>
    </row>
    <row r="249" spans="1:33" ht="15" hidden="1" thickBot="1" x14ac:dyDescent="0.4">
      <c r="A249" s="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21"/>
    </row>
    <row r="250" spans="1:33" ht="15" hidden="1" thickBot="1" x14ac:dyDescent="0.4">
      <c r="A250" s="150" t="s">
        <v>14</v>
      </c>
      <c r="B250" s="59" t="s">
        <v>21</v>
      </c>
      <c r="C250" s="50"/>
      <c r="D250" s="86" t="e">
        <f t="shared" ref="D250" si="1187">D240*T250</f>
        <v>#REF!</v>
      </c>
      <c r="E250" s="86" t="e">
        <f t="shared" ref="E250" si="1188">E240*U250</f>
        <v>#REF!</v>
      </c>
      <c r="F250" s="86" t="e">
        <f t="shared" ref="F250" si="1189">F240*V250</f>
        <v>#REF!</v>
      </c>
      <c r="G250" s="86" t="e">
        <f t="shared" ref="G250" si="1190">G240*W250</f>
        <v>#REF!</v>
      </c>
      <c r="H250" s="86" t="e">
        <f t="shared" ref="H250" si="1191">H240*X250</f>
        <v>#REF!</v>
      </c>
      <c r="I250" s="86" t="e">
        <f t="shared" ref="I250" si="1192">I240*Y250</f>
        <v>#REF!</v>
      </c>
      <c r="J250" s="86" t="e">
        <f t="shared" ref="J250" si="1193">J240*Z250</f>
        <v>#REF!</v>
      </c>
      <c r="K250" s="86" t="e">
        <f t="shared" ref="K250" si="1194">K240*AA250</f>
        <v>#REF!</v>
      </c>
      <c r="L250" s="86" t="e">
        <f t="shared" ref="L250" si="1195">L240*AB250</f>
        <v>#REF!</v>
      </c>
      <c r="M250" s="86" t="e">
        <f t="shared" ref="M250" si="1196">M240*AC250</f>
        <v>#REF!</v>
      </c>
      <c r="N250" s="86" t="e">
        <f t="shared" ref="N250" si="1197">N240*AD250</f>
        <v>#REF!</v>
      </c>
      <c r="O250" s="86" t="e">
        <f t="shared" ref="O250" si="1198">O240*AE250</f>
        <v>#REF!</v>
      </c>
      <c r="P250" s="86" t="e">
        <f t="shared" ref="P250" si="1199">P240*AF250</f>
        <v>#REF!</v>
      </c>
      <c r="Q250" s="86" t="e">
        <f t="shared" ref="Q250" si="1200">Q240*AG250</f>
        <v>#REF!</v>
      </c>
      <c r="R250" s="73" t="e">
        <f t="shared" ref="R250:R255" si="1201">RATE(12,,-E250,Q250)</f>
        <v>#REF!</v>
      </c>
      <c r="S250" s="59"/>
      <c r="T250" s="12">
        <v>0.25</v>
      </c>
      <c r="U250" s="12">
        <v>0.25155593539307364</v>
      </c>
      <c r="V250" s="12">
        <v>0.25312155452593693</v>
      </c>
      <c r="W250" s="12">
        <v>0.25469691766768382</v>
      </c>
      <c r="X250" s="12">
        <v>0.25628208546250747</v>
      </c>
      <c r="Y250" s="12">
        <v>0.2578771189320348</v>
      </c>
      <c r="Z250" s="12">
        <v>0.25948207947767565</v>
      </c>
      <c r="AA250" s="12">
        <v>0.2610970288829863</v>
      </c>
      <c r="AB250" s="12">
        <v>0.26272202931604799</v>
      </c>
      <c r="AC250" s="12">
        <v>0.26435714333185978</v>
      </c>
      <c r="AD250" s="12">
        <v>0.26600243387474731</v>
      </c>
      <c r="AE250" s="12">
        <v>0.26765796428078514</v>
      </c>
      <c r="AF250" s="12">
        <v>0.26932379828023517</v>
      </c>
      <c r="AG250" s="12">
        <v>0.27100000000000013</v>
      </c>
    </row>
    <row r="251" spans="1:33" ht="15" hidden="1" thickBot="1" x14ac:dyDescent="0.4">
      <c r="A251" s="155"/>
      <c r="B251" s="60" t="s">
        <v>22</v>
      </c>
      <c r="C251" s="41"/>
      <c r="D251" s="87" t="e">
        <f t="shared" ref="D251" si="1202">D240*T251</f>
        <v>#REF!</v>
      </c>
      <c r="E251" s="87" t="e">
        <f t="shared" ref="E251" si="1203">E240*U251</f>
        <v>#REF!</v>
      </c>
      <c r="F251" s="87" t="e">
        <f t="shared" ref="F251" si="1204">F240*V251</f>
        <v>#REF!</v>
      </c>
      <c r="G251" s="87" t="e">
        <f t="shared" ref="G251" si="1205">G240*W251</f>
        <v>#REF!</v>
      </c>
      <c r="H251" s="87" t="e">
        <f t="shared" ref="H251" si="1206">H240*X251</f>
        <v>#REF!</v>
      </c>
      <c r="I251" s="87" t="e">
        <f t="shared" ref="I251" si="1207">I240*Y251</f>
        <v>#REF!</v>
      </c>
      <c r="J251" s="87" t="e">
        <f t="shared" ref="J251" si="1208">J240*Z251</f>
        <v>#REF!</v>
      </c>
      <c r="K251" s="87" t="e">
        <f t="shared" ref="K251" si="1209">K240*AA251</f>
        <v>#REF!</v>
      </c>
      <c r="L251" s="87" t="e">
        <f t="shared" ref="L251" si="1210">L240*AB251</f>
        <v>#REF!</v>
      </c>
      <c r="M251" s="87" t="e">
        <f t="shared" ref="M251" si="1211">M240*AC251</f>
        <v>#REF!</v>
      </c>
      <c r="N251" s="87" t="e">
        <f t="shared" ref="N251" si="1212">N240*AD251</f>
        <v>#REF!</v>
      </c>
      <c r="O251" s="87" t="e">
        <f t="shared" ref="O251" si="1213">O240*AE251</f>
        <v>#REF!</v>
      </c>
      <c r="P251" s="87" t="e">
        <f t="shared" ref="P251" si="1214">P240*AF251</f>
        <v>#REF!</v>
      </c>
      <c r="Q251" s="87" t="e">
        <f t="shared" ref="Q251" si="1215">Q240*AG251</f>
        <v>#REF!</v>
      </c>
      <c r="R251" s="74" t="e">
        <f t="shared" si="1201"/>
        <v>#REF!</v>
      </c>
      <c r="S251" s="60"/>
      <c r="T251" s="12">
        <v>0.38</v>
      </c>
      <c r="U251" s="12">
        <v>0.38090988938047371</v>
      </c>
      <c r="V251" s="12">
        <v>0.38182195744169661</v>
      </c>
      <c r="W251" s="12">
        <v>0.38273620940040159</v>
      </c>
      <c r="X251" s="12">
        <v>0.38365265048581265</v>
      </c>
      <c r="Y251" s="12">
        <v>0.38457128593967477</v>
      </c>
      <c r="Z251" s="12">
        <v>0.38549212101628438</v>
      </c>
      <c r="AA251" s="12">
        <v>0.38641516098251855</v>
      </c>
      <c r="AB251" s="12">
        <v>0.38734041111786593</v>
      </c>
      <c r="AC251" s="12">
        <v>0.38826787671445667</v>
      </c>
      <c r="AD251" s="12">
        <v>0.38919756307709236</v>
      </c>
      <c r="AE251" s="12">
        <v>0.39012947552327681</v>
      </c>
      <c r="AF251" s="12">
        <v>0.3910636193832463</v>
      </c>
      <c r="AG251" s="12">
        <v>0.39200000000000002</v>
      </c>
    </row>
    <row r="252" spans="1:33" ht="15" hidden="1" thickBot="1" x14ac:dyDescent="0.4">
      <c r="A252" s="155"/>
      <c r="B252" s="61" t="s">
        <v>23</v>
      </c>
      <c r="C252" s="41"/>
      <c r="D252" s="88" t="e">
        <f t="shared" ref="D252" si="1216">D251*T252</f>
        <v>#REF!</v>
      </c>
      <c r="E252" s="88" t="e">
        <f t="shared" ref="E252" si="1217">E251*U252</f>
        <v>#REF!</v>
      </c>
      <c r="F252" s="88" t="e">
        <f t="shared" ref="F252" si="1218">F251*V252</f>
        <v>#REF!</v>
      </c>
      <c r="G252" s="88" t="e">
        <f t="shared" ref="G252" si="1219">G251*W252</f>
        <v>#REF!</v>
      </c>
      <c r="H252" s="88" t="e">
        <f t="shared" ref="H252" si="1220">H251*X252</f>
        <v>#REF!</v>
      </c>
      <c r="I252" s="88" t="e">
        <f t="shared" ref="I252" si="1221">I251*Y252</f>
        <v>#REF!</v>
      </c>
      <c r="J252" s="88" t="e">
        <f t="shared" ref="J252" si="1222">J251*Z252</f>
        <v>#REF!</v>
      </c>
      <c r="K252" s="88" t="e">
        <f t="shared" ref="K252" si="1223">K251*AA252</f>
        <v>#REF!</v>
      </c>
      <c r="L252" s="88" t="e">
        <f t="shared" ref="L252" si="1224">L251*AB252</f>
        <v>#REF!</v>
      </c>
      <c r="M252" s="88" t="e">
        <f t="shared" ref="M252" si="1225">M251*AC252</f>
        <v>#REF!</v>
      </c>
      <c r="N252" s="88" t="e">
        <f t="shared" ref="N252" si="1226">N251*AD252</f>
        <v>#REF!</v>
      </c>
      <c r="O252" s="88" t="e">
        <f t="shared" ref="O252" si="1227">O251*AE252</f>
        <v>#REF!</v>
      </c>
      <c r="P252" s="88" t="e">
        <f t="shared" ref="P252" si="1228">P251*AF252</f>
        <v>#REF!</v>
      </c>
      <c r="Q252" s="88" t="e">
        <f t="shared" ref="Q252" si="1229">Q251*AG252</f>
        <v>#REF!</v>
      </c>
      <c r="R252" s="74" t="e">
        <f t="shared" si="1201"/>
        <v>#REF!</v>
      </c>
      <c r="S252" s="61"/>
      <c r="T252" s="67">
        <v>0.34999999999999987</v>
      </c>
      <c r="U252" s="67">
        <v>0.34938588387166564</v>
      </c>
      <c r="V252" s="67">
        <v>0.34877284528224306</v>
      </c>
      <c r="W252" s="67">
        <v>0.34816088234106346</v>
      </c>
      <c r="X252" s="67">
        <v>0.34754999316077562</v>
      </c>
      <c r="Y252" s="67">
        <v>0.34694017585733994</v>
      </c>
      <c r="Z252" s="67">
        <v>0.34633142855002247</v>
      </c>
      <c r="AA252" s="67">
        <v>0.34572374936138933</v>
      </c>
      <c r="AB252" s="67">
        <v>0.34511713641730069</v>
      </c>
      <c r="AC252" s="67">
        <v>0.34451158784690528</v>
      </c>
      <c r="AD252" s="67">
        <v>0.34390710178263434</v>
      </c>
      <c r="AE252" s="67">
        <v>0.34330367636019604</v>
      </c>
      <c r="AF252" s="67">
        <v>0.34270130971856966</v>
      </c>
      <c r="AG252" s="67">
        <v>0.34209999999999979</v>
      </c>
    </row>
    <row r="253" spans="1:33" ht="15" hidden="1" thickBot="1" x14ac:dyDescent="0.4">
      <c r="A253" s="155"/>
      <c r="B253" s="61" t="s">
        <v>24</v>
      </c>
      <c r="C253" s="41"/>
      <c r="D253" s="88" t="e">
        <f t="shared" ref="D253" si="1230">D251*T253</f>
        <v>#REF!</v>
      </c>
      <c r="E253" s="88" t="e">
        <f t="shared" ref="E253" si="1231">E251*U253</f>
        <v>#REF!</v>
      </c>
      <c r="F253" s="88" t="e">
        <f t="shared" ref="F253" si="1232">F251*V253</f>
        <v>#REF!</v>
      </c>
      <c r="G253" s="88" t="e">
        <f t="shared" ref="G253" si="1233">G251*W253</f>
        <v>#REF!</v>
      </c>
      <c r="H253" s="88" t="e">
        <f t="shared" ref="H253" si="1234">H251*X253</f>
        <v>#REF!</v>
      </c>
      <c r="I253" s="88" t="e">
        <f t="shared" ref="I253" si="1235">I251*Y253</f>
        <v>#REF!</v>
      </c>
      <c r="J253" s="88" t="e">
        <f t="shared" ref="J253" si="1236">J251*Z253</f>
        <v>#REF!</v>
      </c>
      <c r="K253" s="88" t="e">
        <f t="shared" ref="K253" si="1237">K251*AA253</f>
        <v>#REF!</v>
      </c>
      <c r="L253" s="88" t="e">
        <f t="shared" ref="L253" si="1238">L251*AB253</f>
        <v>#REF!</v>
      </c>
      <c r="M253" s="88" t="e">
        <f t="shared" ref="M253" si="1239">M251*AC253</f>
        <v>#REF!</v>
      </c>
      <c r="N253" s="88" t="e">
        <f t="shared" ref="N253" si="1240">N251*AD253</f>
        <v>#REF!</v>
      </c>
      <c r="O253" s="88" t="e">
        <f t="shared" ref="O253" si="1241">O251*AE253</f>
        <v>#REF!</v>
      </c>
      <c r="P253" s="88" t="e">
        <f t="shared" ref="P253" si="1242">P251*AF253</f>
        <v>#REF!</v>
      </c>
      <c r="Q253" s="88" t="e">
        <f t="shared" ref="Q253" si="1243">Q251*AG253</f>
        <v>#REF!</v>
      </c>
      <c r="R253" s="74" t="e">
        <f t="shared" si="1201"/>
        <v>#REF!</v>
      </c>
      <c r="S253" s="61"/>
      <c r="T253" s="67">
        <v>0.28000000000000003</v>
      </c>
      <c r="U253" s="67">
        <v>0.28097918830490543</v>
      </c>
      <c r="V253" s="67">
        <v>0.28196180093029821</v>
      </c>
      <c r="W253" s="67">
        <v>0.28294784985137333</v>
      </c>
      <c r="X253" s="67">
        <v>0.28393734708520407</v>
      </c>
      <c r="Y253" s="67">
        <v>0.28493030469088876</v>
      </c>
      <c r="Z253" s="67">
        <v>0.28592673476969749</v>
      </c>
      <c r="AA253" s="67">
        <v>0.28692664946521995</v>
      </c>
      <c r="AB253" s="67">
        <v>0.28793006096351298</v>
      </c>
      <c r="AC253" s="67">
        <v>0.28893698149324931</v>
      </c>
      <c r="AD253" s="67">
        <v>0.28994742332586665</v>
      </c>
      <c r="AE253" s="67">
        <v>0.29096139877571725</v>
      </c>
      <c r="AF253" s="67">
        <v>0.29197892020021765</v>
      </c>
      <c r="AG253" s="67">
        <v>0.29299999999999965</v>
      </c>
    </row>
    <row r="254" spans="1:33" ht="15" hidden="1" thickBot="1" x14ac:dyDescent="0.4">
      <c r="A254" s="155"/>
      <c r="B254" s="61" t="s">
        <v>25</v>
      </c>
      <c r="C254" s="41"/>
      <c r="D254" s="88" t="e">
        <f t="shared" ref="D254" si="1244">D251*T254</f>
        <v>#REF!</v>
      </c>
      <c r="E254" s="88" t="e">
        <f t="shared" ref="E254" si="1245">E251*U254</f>
        <v>#REF!</v>
      </c>
      <c r="F254" s="88" t="e">
        <f t="shared" ref="F254" si="1246">F251*V254</f>
        <v>#REF!</v>
      </c>
      <c r="G254" s="88" t="e">
        <f t="shared" ref="G254" si="1247">G251*W254</f>
        <v>#REF!</v>
      </c>
      <c r="H254" s="88" t="e">
        <f t="shared" ref="H254" si="1248">H251*X254</f>
        <v>#REF!</v>
      </c>
      <c r="I254" s="88" t="e">
        <f t="shared" ref="I254" si="1249">I251*Y254</f>
        <v>#REF!</v>
      </c>
      <c r="J254" s="88" t="e">
        <f t="shared" ref="J254" si="1250">J251*Z254</f>
        <v>#REF!</v>
      </c>
      <c r="K254" s="88" t="e">
        <f t="shared" ref="K254" si="1251">K251*AA254</f>
        <v>#REF!</v>
      </c>
      <c r="L254" s="88" t="e">
        <f t="shared" ref="L254" si="1252">L251*AB254</f>
        <v>#REF!</v>
      </c>
      <c r="M254" s="88" t="e">
        <f t="shared" ref="M254" si="1253">M251*AC254</f>
        <v>#REF!</v>
      </c>
      <c r="N254" s="88" t="e">
        <f t="shared" ref="N254" si="1254">N251*AD254</f>
        <v>#REF!</v>
      </c>
      <c r="O254" s="88" t="e">
        <f t="shared" ref="O254" si="1255">O251*AE254</f>
        <v>#REF!</v>
      </c>
      <c r="P254" s="88" t="e">
        <f t="shared" ref="P254" si="1256">P251*AF254</f>
        <v>#REF!</v>
      </c>
      <c r="Q254" s="88" t="e">
        <f t="shared" ref="Q254" si="1257">Q251*AG254</f>
        <v>#REF!</v>
      </c>
      <c r="R254" s="74" t="e">
        <f t="shared" si="1201"/>
        <v>#REF!</v>
      </c>
      <c r="S254" s="61"/>
      <c r="T254" s="67">
        <f>1-SUM(T252:T253)</f>
        <v>0.37000000000000011</v>
      </c>
      <c r="U254" s="67">
        <f t="shared" ref="U254:AG254" si="1258">1-SUM(U252:U253)</f>
        <v>0.36963492782342899</v>
      </c>
      <c r="V254" s="67">
        <f t="shared" si="1258"/>
        <v>0.36926535378745873</v>
      </c>
      <c r="W254" s="67">
        <f t="shared" si="1258"/>
        <v>0.36889126780756321</v>
      </c>
      <c r="X254" s="67">
        <f t="shared" si="1258"/>
        <v>0.36851265975402026</v>
      </c>
      <c r="Y254" s="67">
        <f t="shared" si="1258"/>
        <v>0.3681295194517713</v>
      </c>
      <c r="Z254" s="67">
        <f t="shared" si="1258"/>
        <v>0.36774183668028004</v>
      </c>
      <c r="AA254" s="67">
        <f t="shared" si="1258"/>
        <v>0.36734960117339077</v>
      </c>
      <c r="AB254" s="67">
        <f t="shared" si="1258"/>
        <v>0.36695280261918639</v>
      </c>
      <c r="AC254" s="67">
        <f t="shared" si="1258"/>
        <v>0.36655143065984541</v>
      </c>
      <c r="AD254" s="67">
        <f t="shared" si="1258"/>
        <v>0.36614547489149896</v>
      </c>
      <c r="AE254" s="67">
        <f t="shared" si="1258"/>
        <v>0.36573492486408665</v>
      </c>
      <c r="AF254" s="67">
        <f t="shared" si="1258"/>
        <v>0.36531977008121275</v>
      </c>
      <c r="AG254" s="67">
        <f t="shared" si="1258"/>
        <v>0.36490000000000056</v>
      </c>
    </row>
    <row r="255" spans="1:33" ht="15" hidden="1" thickBot="1" x14ac:dyDescent="0.4">
      <c r="A255" s="151"/>
      <c r="B255" s="62" t="s">
        <v>26</v>
      </c>
      <c r="C255" s="51"/>
      <c r="D255" s="89" t="e">
        <f t="shared" ref="D255" si="1259">D240*T255</f>
        <v>#REF!</v>
      </c>
      <c r="E255" s="89" t="e">
        <f t="shared" ref="E255" si="1260">E240*U255</f>
        <v>#REF!</v>
      </c>
      <c r="F255" s="89" t="e">
        <f t="shared" ref="F255" si="1261">F240*V255</f>
        <v>#REF!</v>
      </c>
      <c r="G255" s="89" t="e">
        <f t="shared" ref="G255" si="1262">G240*W255</f>
        <v>#REF!</v>
      </c>
      <c r="H255" s="89" t="e">
        <f t="shared" ref="H255" si="1263">H240*X255</f>
        <v>#REF!</v>
      </c>
      <c r="I255" s="89" t="e">
        <f t="shared" ref="I255" si="1264">I240*Y255</f>
        <v>#REF!</v>
      </c>
      <c r="J255" s="89" t="e">
        <f t="shared" ref="J255" si="1265">J240*Z255</f>
        <v>#REF!</v>
      </c>
      <c r="K255" s="89" t="e">
        <f t="shared" ref="K255" si="1266">K240*AA255</f>
        <v>#REF!</v>
      </c>
      <c r="L255" s="89" t="e">
        <f t="shared" ref="L255" si="1267">L240*AB255</f>
        <v>#REF!</v>
      </c>
      <c r="M255" s="89" t="e">
        <f t="shared" ref="M255" si="1268">M240*AC255</f>
        <v>#REF!</v>
      </c>
      <c r="N255" s="89" t="e">
        <f t="shared" ref="N255" si="1269">N240*AD255</f>
        <v>#REF!</v>
      </c>
      <c r="O255" s="89" t="e">
        <f t="shared" ref="O255" si="1270">O240*AE255</f>
        <v>#REF!</v>
      </c>
      <c r="P255" s="89" t="e">
        <f t="shared" ref="P255" si="1271">P240*AF255</f>
        <v>#REF!</v>
      </c>
      <c r="Q255" s="89" t="e">
        <f t="shared" ref="Q255" si="1272">Q240*AG255</f>
        <v>#REF!</v>
      </c>
      <c r="R255" s="75" t="e">
        <f t="shared" si="1201"/>
        <v>#REF!</v>
      </c>
      <c r="S255" s="62"/>
      <c r="T255" s="12">
        <f>1-SUM(T250+T251)</f>
        <v>0.37</v>
      </c>
      <c r="U255" s="12">
        <f t="shared" ref="U255:AG255" si="1273">1-SUM(U250+U251)</f>
        <v>0.36753417522645271</v>
      </c>
      <c r="V255" s="12">
        <f t="shared" si="1273"/>
        <v>0.36505648803236646</v>
      </c>
      <c r="W255" s="12">
        <f t="shared" si="1273"/>
        <v>0.36256687293191459</v>
      </c>
      <c r="X255" s="12">
        <f t="shared" si="1273"/>
        <v>0.36006526405167993</v>
      </c>
      <c r="Y255" s="12">
        <f t="shared" si="1273"/>
        <v>0.35755159512829038</v>
      </c>
      <c r="Z255" s="12">
        <f t="shared" si="1273"/>
        <v>0.35502579950603996</v>
      </c>
      <c r="AA255" s="12">
        <f t="shared" si="1273"/>
        <v>0.35248781013449515</v>
      </c>
      <c r="AB255" s="12">
        <f t="shared" si="1273"/>
        <v>0.34993755956608608</v>
      </c>
      <c r="AC255" s="12">
        <f t="shared" si="1273"/>
        <v>0.3473749799536836</v>
      </c>
      <c r="AD255" s="12">
        <f t="shared" si="1273"/>
        <v>0.34480000304816039</v>
      </c>
      <c r="AE255" s="12">
        <f t="shared" si="1273"/>
        <v>0.34221256019593804</v>
      </c>
      <c r="AF255" s="12">
        <f t="shared" si="1273"/>
        <v>0.33961258233651859</v>
      </c>
      <c r="AG255" s="12">
        <f t="shared" si="1273"/>
        <v>0.33699999999999986</v>
      </c>
    </row>
    <row r="256" spans="1:33" ht="15" hidden="1" thickBot="1" x14ac:dyDescent="0.4">
      <c r="A256" s="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21"/>
    </row>
    <row r="257" spans="1:33" ht="15" hidden="1" thickBot="1" x14ac:dyDescent="0.4">
      <c r="A257" s="152" t="s">
        <v>27</v>
      </c>
      <c r="B257" s="54" t="s">
        <v>28</v>
      </c>
      <c r="C257" s="49"/>
      <c r="D257" s="84" t="e">
        <f t="shared" ref="D257" si="1274">D240*T257</f>
        <v>#REF!</v>
      </c>
      <c r="E257" s="84" t="e">
        <f t="shared" ref="E257" si="1275">E240*U257</f>
        <v>#REF!</v>
      </c>
      <c r="F257" s="84" t="e">
        <f t="shared" ref="F257" si="1276">F240*V257</f>
        <v>#REF!</v>
      </c>
      <c r="G257" s="84" t="e">
        <f t="shared" ref="G257" si="1277">G240*W257</f>
        <v>#REF!</v>
      </c>
      <c r="H257" s="84" t="e">
        <f t="shared" ref="H257" si="1278">H240*X257</f>
        <v>#REF!</v>
      </c>
      <c r="I257" s="84" t="e">
        <f t="shared" ref="I257" si="1279">I240*Y257</f>
        <v>#REF!</v>
      </c>
      <c r="J257" s="84" t="e">
        <f t="shared" ref="J257" si="1280">J240*Z257</f>
        <v>#REF!</v>
      </c>
      <c r="K257" s="84" t="e">
        <f t="shared" ref="K257" si="1281">K240*AA257</f>
        <v>#REF!</v>
      </c>
      <c r="L257" s="84" t="e">
        <f t="shared" ref="L257" si="1282">L240*AB257</f>
        <v>#REF!</v>
      </c>
      <c r="M257" s="84" t="e">
        <f t="shared" ref="M257" si="1283">M240*AC257</f>
        <v>#REF!</v>
      </c>
      <c r="N257" s="84" t="e">
        <f t="shared" ref="N257" si="1284">N240*AD257</f>
        <v>#REF!</v>
      </c>
      <c r="O257" s="84" t="e">
        <f t="shared" ref="O257" si="1285">O240*AE257</f>
        <v>#REF!</v>
      </c>
      <c r="P257" s="84" t="e">
        <f t="shared" ref="P257" si="1286">P240*AF257</f>
        <v>#REF!</v>
      </c>
      <c r="Q257" s="84" t="e">
        <f t="shared" ref="Q257" si="1287">Q240*AG257</f>
        <v>#REF!</v>
      </c>
      <c r="R257" s="71" t="e">
        <f>RATE(12,,-E257,Q257)</f>
        <v>#REF!</v>
      </c>
      <c r="S257" s="54"/>
      <c r="T257" s="12">
        <v>0.40099999999999997</v>
      </c>
      <c r="U257" s="12">
        <v>0.40265090533119946</v>
      </c>
      <c r="V257" s="12">
        <v>0.40430860739160734</v>
      </c>
      <c r="W257" s="12">
        <v>0.40597313416316017</v>
      </c>
      <c r="X257" s="12">
        <v>0.40764451374299493</v>
      </c>
      <c r="Y257" s="12">
        <v>0.40932277434392395</v>
      </c>
      <c r="Z257" s="12">
        <v>0.41100794429491083</v>
      </c>
      <c r="AA257" s="12">
        <v>0.4127000520415488</v>
      </c>
      <c r="AB257" s="12">
        <v>0.41439912614654062</v>
      </c>
      <c r="AC257" s="12">
        <v>0.41610519529018092</v>
      </c>
      <c r="AD257" s="12">
        <v>0.41781828827084017</v>
      </c>
      <c r="AE257" s="12">
        <v>0.4195384340054511</v>
      </c>
      <c r="AF257" s="12">
        <v>0.4212656615299965</v>
      </c>
      <c r="AG257" s="12">
        <v>0.42299999999999938</v>
      </c>
    </row>
    <row r="258" spans="1:33" ht="15" hidden="1" thickBot="1" x14ac:dyDescent="0.4">
      <c r="A258" s="154"/>
      <c r="B258" s="55" t="s">
        <v>29</v>
      </c>
      <c r="C258" s="40"/>
      <c r="D258" s="90" t="e">
        <f t="shared" ref="D258" si="1288">D240*T258</f>
        <v>#REF!</v>
      </c>
      <c r="E258" s="90" t="e">
        <f t="shared" ref="E258" si="1289">E240*U258</f>
        <v>#REF!</v>
      </c>
      <c r="F258" s="90" t="e">
        <f t="shared" ref="F258" si="1290">F240*V258</f>
        <v>#REF!</v>
      </c>
      <c r="G258" s="90" t="e">
        <f t="shared" ref="G258" si="1291">G240*W258</f>
        <v>#REF!</v>
      </c>
      <c r="H258" s="90" t="e">
        <f t="shared" ref="H258" si="1292">H240*X258</f>
        <v>#REF!</v>
      </c>
      <c r="I258" s="90" t="e">
        <f t="shared" ref="I258" si="1293">I240*Y258</f>
        <v>#REF!</v>
      </c>
      <c r="J258" s="90" t="e">
        <f t="shared" ref="J258" si="1294">J240*Z258</f>
        <v>#REF!</v>
      </c>
      <c r="K258" s="90" t="e">
        <f t="shared" ref="K258" si="1295">K240*AA258</f>
        <v>#REF!</v>
      </c>
      <c r="L258" s="90" t="e">
        <f t="shared" ref="L258" si="1296">L240*AB258</f>
        <v>#REF!</v>
      </c>
      <c r="M258" s="90" t="e">
        <f t="shared" ref="M258" si="1297">M240*AC258</f>
        <v>#REF!</v>
      </c>
      <c r="N258" s="90" t="e">
        <f t="shared" ref="N258" si="1298">N240*AD258</f>
        <v>#REF!</v>
      </c>
      <c r="O258" s="90" t="e">
        <f t="shared" ref="O258" si="1299">O240*AE258</f>
        <v>#REF!</v>
      </c>
      <c r="P258" s="90" t="e">
        <f t="shared" ref="P258" si="1300">P240*AF258</f>
        <v>#REF!</v>
      </c>
      <c r="Q258" s="90" t="e">
        <f t="shared" ref="Q258" si="1301">Q240*AG258</f>
        <v>#REF!</v>
      </c>
      <c r="R258" s="76" t="e">
        <f>RATE(12,,-E258,Q258)</f>
        <v>#REF!</v>
      </c>
      <c r="S258" s="55"/>
      <c r="T258" s="12">
        <v>0.43099999999999999</v>
      </c>
      <c r="U258" s="12">
        <v>0.43183634674261745</v>
      </c>
      <c r="V258" s="12">
        <v>0.43267431639909548</v>
      </c>
      <c r="W258" s="12">
        <v>0.43351391211866536</v>
      </c>
      <c r="X258" s="12">
        <v>0.43435513705666956</v>
      </c>
      <c r="Y258" s="12">
        <v>0.43519799437457324</v>
      </c>
      <c r="Z258" s="12">
        <v>0.43604248723997657</v>
      </c>
      <c r="AA258" s="12">
        <v>0.43688861882662616</v>
      </c>
      <c r="AB258" s="12">
        <v>0.43773639231442729</v>
      </c>
      <c r="AC258" s="12">
        <v>0.43858581088945586</v>
      </c>
      <c r="AD258" s="12">
        <v>0.43943687774397006</v>
      </c>
      <c r="AE258" s="12">
        <v>0.44028959607642287</v>
      </c>
      <c r="AF258" s="12">
        <v>0.44114396909147369</v>
      </c>
      <c r="AG258" s="12">
        <v>0.44200000000000028</v>
      </c>
    </row>
    <row r="259" spans="1:33" ht="15" hidden="1" thickBot="1" x14ac:dyDescent="0.4">
      <c r="A259" s="153"/>
      <c r="B259" s="56" t="s">
        <v>30</v>
      </c>
      <c r="C259" s="44"/>
      <c r="D259" s="85" t="e">
        <f t="shared" ref="D259" si="1302">D240*T259</f>
        <v>#REF!</v>
      </c>
      <c r="E259" s="85" t="e">
        <f t="shared" ref="E259" si="1303">E240*U259</f>
        <v>#REF!</v>
      </c>
      <c r="F259" s="85" t="e">
        <f t="shared" ref="F259" si="1304">F240*V259</f>
        <v>#REF!</v>
      </c>
      <c r="G259" s="85" t="e">
        <f t="shared" ref="G259" si="1305">G240*W259</f>
        <v>#REF!</v>
      </c>
      <c r="H259" s="85" t="e">
        <f t="shared" ref="H259" si="1306">H240*X259</f>
        <v>#REF!</v>
      </c>
      <c r="I259" s="85" t="e">
        <f t="shared" ref="I259" si="1307">I240*Y259</f>
        <v>#REF!</v>
      </c>
      <c r="J259" s="85" t="e">
        <f t="shared" ref="J259" si="1308">J240*Z259</f>
        <v>#REF!</v>
      </c>
      <c r="K259" s="85" t="e">
        <f t="shared" ref="K259" si="1309">K240*AA259</f>
        <v>#REF!</v>
      </c>
      <c r="L259" s="85" t="e">
        <f t="shared" ref="L259" si="1310">L240*AB259</f>
        <v>#REF!</v>
      </c>
      <c r="M259" s="85" t="e">
        <f t="shared" ref="M259" si="1311">M240*AC259</f>
        <v>#REF!</v>
      </c>
      <c r="N259" s="85" t="e">
        <f t="shared" ref="N259" si="1312">N240*AD259</f>
        <v>#REF!</v>
      </c>
      <c r="O259" s="85" t="e">
        <f t="shared" ref="O259" si="1313">O240*AE259</f>
        <v>#REF!</v>
      </c>
      <c r="P259" s="85" t="e">
        <f t="shared" ref="P259" si="1314">P240*AF259</f>
        <v>#REF!</v>
      </c>
      <c r="Q259" s="85" t="e">
        <f t="shared" ref="Q259" si="1315">Q240*AG259</f>
        <v>#REF!</v>
      </c>
      <c r="R259" s="72" t="e">
        <f>RATE(12,,-E259,Q259)</f>
        <v>#REF!</v>
      </c>
      <c r="S259" s="56"/>
      <c r="T259" s="12">
        <f>1-SUM(T257:T258)</f>
        <v>0.16800000000000004</v>
      </c>
      <c r="U259" s="12">
        <f t="shared" ref="U259:AG259" si="1316">1-SUM(U257:U258)</f>
        <v>0.16551274792618309</v>
      </c>
      <c r="V259" s="12">
        <f t="shared" si="1316"/>
        <v>0.16301707620929717</v>
      </c>
      <c r="W259" s="12">
        <f t="shared" si="1316"/>
        <v>0.16051295371817442</v>
      </c>
      <c r="X259" s="12">
        <f t="shared" si="1316"/>
        <v>0.15800034920033545</v>
      </c>
      <c r="Y259" s="12">
        <f t="shared" si="1316"/>
        <v>0.15547923128150276</v>
      </c>
      <c r="Z259" s="12">
        <f t="shared" si="1316"/>
        <v>0.15294956846511254</v>
      </c>
      <c r="AA259" s="12">
        <f t="shared" si="1316"/>
        <v>0.15041132913182498</v>
      </c>
      <c r="AB259" s="12">
        <f t="shared" si="1316"/>
        <v>0.14786448153903209</v>
      </c>
      <c r="AC259" s="12">
        <f t="shared" si="1316"/>
        <v>0.14530899382036322</v>
      </c>
      <c r="AD259" s="12">
        <f t="shared" si="1316"/>
        <v>0.14274483398518978</v>
      </c>
      <c r="AE259" s="12">
        <f t="shared" si="1316"/>
        <v>0.14017196991812608</v>
      </c>
      <c r="AF259" s="12">
        <f t="shared" si="1316"/>
        <v>0.13759036937852986</v>
      </c>
      <c r="AG259" s="12">
        <f t="shared" si="1316"/>
        <v>0.13500000000000034</v>
      </c>
    </row>
    <row r="260" spans="1:33" ht="15.5" x14ac:dyDescent="0.35">
      <c r="A260" s="42"/>
      <c r="B260" s="43"/>
      <c r="C260" s="93"/>
      <c r="D260" s="91">
        <v>2023</v>
      </c>
      <c r="E260" s="65">
        <v>2024</v>
      </c>
      <c r="F260" s="65">
        <v>2025</v>
      </c>
      <c r="G260" s="65">
        <v>2026</v>
      </c>
      <c r="H260" s="65">
        <v>2027</v>
      </c>
      <c r="I260" s="65">
        <v>2028</v>
      </c>
      <c r="J260" s="65">
        <v>2029</v>
      </c>
      <c r="K260" s="65">
        <v>2030</v>
      </c>
      <c r="L260" s="65">
        <v>2031</v>
      </c>
      <c r="M260" s="65">
        <v>2032</v>
      </c>
      <c r="N260" s="65">
        <v>2033</v>
      </c>
      <c r="O260" s="65">
        <v>2034</v>
      </c>
      <c r="P260" s="65">
        <v>2035</v>
      </c>
      <c r="Q260" s="65">
        <v>2036</v>
      </c>
      <c r="R260" s="66" t="s">
        <v>84</v>
      </c>
    </row>
    <row r="261" spans="1:33" ht="16" thickBot="1" x14ac:dyDescent="0.4">
      <c r="A261" s="1"/>
      <c r="C261" s="21"/>
      <c r="D261" s="92">
        <f>'Market Analysis '!C55</f>
        <v>289.10699999999991</v>
      </c>
      <c r="E261" s="92">
        <f>'Market Analysis '!D55</f>
        <v>319.75234199999994</v>
      </c>
      <c r="F261" s="92">
        <f>'Market Analysis '!E55</f>
        <v>353.8019627601592</v>
      </c>
      <c r="G261" s="92">
        <f>'Market Analysis '!F55</f>
        <v>391.65070593929204</v>
      </c>
      <c r="H261" s="92">
        <f>'Market Analysis '!G55</f>
        <v>433.74108319069478</v>
      </c>
      <c r="I261" s="92">
        <f>'Market Analysis '!H55</f>
        <v>480.56924864076598</v>
      </c>
      <c r="J261" s="92">
        <f>'Market Analysis '!I55</f>
        <v>532.69174903289843</v>
      </c>
      <c r="K261" s="92">
        <f>'Market Analysis '!J55</f>
        <v>590.73315364993289</v>
      </c>
      <c r="L261" s="92">
        <f>'Market Analysis '!K55</f>
        <v>655.39468255140514</v>
      </c>
      <c r="M261" s="92">
        <f>'Market Analysis '!L55</f>
        <v>727.46396814377056</v>
      </c>
      <c r="N261" s="92">
        <f>'Market Analysis '!M55</f>
        <v>807.82610394526262</v>
      </c>
      <c r="O261" s="92">
        <f>'Market Analysis '!N55</f>
        <v>897.47615596022433</v>
      </c>
      <c r="P261" s="92">
        <f>'Market Analysis '!O55</f>
        <v>997.5333367415933</v>
      </c>
      <c r="Q261" s="92">
        <f>'Market Analysis '!P55</f>
        <v>1109.2570704566517</v>
      </c>
      <c r="R261" s="68">
        <f>RATE(12,,-E261,Q261)</f>
        <v>0.10922131370362276</v>
      </c>
      <c r="T261" s="65">
        <v>2023</v>
      </c>
      <c r="U261" s="65">
        <v>2024</v>
      </c>
      <c r="V261" s="65">
        <v>2025</v>
      </c>
      <c r="W261" s="65">
        <v>2026</v>
      </c>
      <c r="X261" s="65">
        <v>2027</v>
      </c>
      <c r="Y261" s="65">
        <v>2028</v>
      </c>
      <c r="Z261" s="65">
        <v>2029</v>
      </c>
      <c r="AA261" s="65">
        <v>2030</v>
      </c>
      <c r="AB261" s="65">
        <v>2031</v>
      </c>
      <c r="AC261" s="65">
        <v>2032</v>
      </c>
      <c r="AD261" s="65">
        <v>2033</v>
      </c>
      <c r="AE261" s="65">
        <v>2034</v>
      </c>
      <c r="AF261" s="65">
        <v>2035</v>
      </c>
      <c r="AG261" s="65">
        <v>2036</v>
      </c>
    </row>
    <row r="262" spans="1:33" s="121" customFormat="1" x14ac:dyDescent="0.35">
      <c r="A262" s="147" t="s">
        <v>59</v>
      </c>
      <c r="B262" s="118" t="s">
        <v>60</v>
      </c>
      <c r="C262" s="119"/>
      <c r="D262" s="120">
        <f>D261*T262</f>
        <v>101.18744999999994</v>
      </c>
      <c r="E262" s="120">
        <f t="shared" ref="E262" si="1317">E261*U262</f>
        <v>113.06877772499931</v>
      </c>
      <c r="F262" s="120">
        <f>F261*V262</f>
        <v>126.40088661396103</v>
      </c>
      <c r="G262" s="120">
        <f t="shared" ref="G262" si="1318">G261*W262</f>
        <v>141.36754466028475</v>
      </c>
      <c r="H262" s="120">
        <f t="shared" ref="H262" si="1319">H261*X262</f>
        <v>158.17661598395753</v>
      </c>
      <c r="I262" s="120">
        <f t="shared" ref="I262" si="1320">I261*Y262</f>
        <v>177.06332542272602</v>
      </c>
      <c r="J262" s="120">
        <f t="shared" ref="J262" si="1321">J261*Z262</f>
        <v>198.29397937444455</v>
      </c>
      <c r="K262" s="120">
        <f t="shared" ref="K262" si="1322">K261*AA262</f>
        <v>222.17020857168819</v>
      </c>
      <c r="L262" s="120">
        <f t="shared" ref="L262" si="1323">L261*AB262</f>
        <v>249.03380819653324</v>
      </c>
      <c r="M262" s="120">
        <f t="shared" ref="M262" si="1324">M261*AC262</f>
        <v>279.2722619502963</v>
      </c>
      <c r="N262" s="120">
        <f t="shared" ref="N262" si="1325">N261*AD262</f>
        <v>313.32504961114165</v>
      </c>
      <c r="O262" s="120">
        <f t="shared" ref="O262" si="1326">O261*AE262</f>
        <v>351.69085251000018</v>
      </c>
      <c r="P262" s="120">
        <f t="shared" ref="P262" si="1327">P261*AF262</f>
        <v>394.9357885434606</v>
      </c>
      <c r="Q262" s="120">
        <f t="shared" ref="Q262" si="1328">Q261*AG262</f>
        <v>443.70282818266082</v>
      </c>
      <c r="R262" s="68">
        <f>RATE(9,,-H262,Q262)</f>
        <v>0.12143011107497727</v>
      </c>
      <c r="S262" s="118" t="s">
        <v>60</v>
      </c>
      <c r="T262" s="116">
        <v>0.34999999999999992</v>
      </c>
      <c r="U262" s="116">
        <v>0.35361360300841621</v>
      </c>
      <c r="V262" s="116">
        <v>0.35726451495026795</v>
      </c>
      <c r="W262" s="116">
        <v>0.36095312102462412</v>
      </c>
      <c r="X262" s="116">
        <v>0.36467981040757214</v>
      </c>
      <c r="Y262" s="116">
        <v>0.36844497629327921</v>
      </c>
      <c r="Z262" s="116">
        <v>0.37224901593547705</v>
      </c>
      <c r="AA262" s="116">
        <v>0.37609233068937542</v>
      </c>
      <c r="AB262" s="116">
        <v>0.37997532605400802</v>
      </c>
      <c r="AC262" s="116">
        <v>0.38389841171501571</v>
      </c>
      <c r="AD262" s="116">
        <v>0.38786200158787171</v>
      </c>
      <c r="AE262" s="116">
        <v>0.39186651386155258</v>
      </c>
      <c r="AF262" s="116">
        <v>0.39591237104266019</v>
      </c>
      <c r="AG262" s="116">
        <v>0.40000000000000013</v>
      </c>
    </row>
    <row r="263" spans="1:33" s="117" customFormat="1" x14ac:dyDescent="0.35">
      <c r="A263" s="148"/>
      <c r="B263" s="113" t="s">
        <v>61</v>
      </c>
      <c r="C263" s="114"/>
      <c r="D263" s="115">
        <f>D261*T263</f>
        <v>86.732099999999988</v>
      </c>
      <c r="E263" s="115">
        <f t="shared" ref="E263" si="1329">E261*U263</f>
        <v>95.974744549656108</v>
      </c>
      <c r="F263" s="115">
        <f t="shared" ref="F263" si="1330">F261*V263</f>
        <v>106.2491451771026</v>
      </c>
      <c r="G263" s="115">
        <f t="shared" ref="G263" si="1331">G261*W263</f>
        <v>117.67551196801526</v>
      </c>
      <c r="H263" s="115">
        <f t="shared" ref="H263" si="1332">H261*X263</f>
        <v>130.38862888929702</v>
      </c>
      <c r="I263" s="115">
        <f t="shared" ref="I263" si="1333">I261*Y263</f>
        <v>144.53968766063289</v>
      </c>
      <c r="J263" s="115">
        <f t="shared" ref="J263" si="1334">J261*Z263</f>
        <v>160.2983606089187</v>
      </c>
      <c r="K263" s="115">
        <f t="shared" ref="K263" si="1335">K261*AA263</f>
        <v>177.85514469676204</v>
      </c>
      <c r="L263" s="115">
        <f t="shared" ref="L263" si="1336">L261*AB263</f>
        <v>197.42401339079112</v>
      </c>
      <c r="M263" s="115">
        <f t="shared" ref="M263" si="1337">M261*AC263</f>
        <v>219.24541815088253</v>
      </c>
      <c r="N263" s="115">
        <f t="shared" ref="N263" si="1338">N261*AD263</f>
        <v>243.58968717208131</v>
      </c>
      <c r="O263" s="115">
        <f t="shared" ref="O263" si="1339">O261*AE263</f>
        <v>270.76087570566693</v>
      </c>
      <c r="P263" s="115">
        <f t="shared" ref="P263" si="1340">P261*AF263</f>
        <v>301.1011299498083</v>
      </c>
      <c r="Q263" s="115">
        <f t="shared" ref="Q263" si="1341">Q261*AG263</f>
        <v>334.99563527790917</v>
      </c>
      <c r="R263" s="68">
        <f>RATE(9,,-H263,Q263)</f>
        <v>0.11053760705842891</v>
      </c>
      <c r="S263" s="113" t="s">
        <v>61</v>
      </c>
      <c r="T263" s="116">
        <v>0.30000000000000004</v>
      </c>
      <c r="U263" s="116">
        <v>0.30015337479422161</v>
      </c>
      <c r="V263" s="116">
        <v>0.30030682800120145</v>
      </c>
      <c r="W263" s="116">
        <v>0.30046035966102813</v>
      </c>
      <c r="X263" s="116">
        <v>0.30061396981381056</v>
      </c>
      <c r="Y263" s="116">
        <v>0.30076765849967829</v>
      </c>
      <c r="Z263" s="116">
        <v>0.30092142575878128</v>
      </c>
      <c r="AA263" s="116">
        <v>0.30107527163128989</v>
      </c>
      <c r="AB263" s="116">
        <v>0.30122919615739541</v>
      </c>
      <c r="AC263" s="116">
        <v>0.30138319937730923</v>
      </c>
      <c r="AD263" s="116">
        <v>0.30153728133126367</v>
      </c>
      <c r="AE263" s="116">
        <v>0.30169144205951126</v>
      </c>
      <c r="AF263" s="116">
        <v>0.3018456816023255</v>
      </c>
      <c r="AG263" s="116">
        <v>0.30200000000000032</v>
      </c>
    </row>
    <row r="264" spans="1:33" s="117" customFormat="1" x14ac:dyDescent="0.35">
      <c r="A264" s="148"/>
      <c r="B264" s="113" t="s">
        <v>62</v>
      </c>
      <c r="C264" s="114"/>
      <c r="D264" s="115">
        <f>D261*T264</f>
        <v>43.366049999999987</v>
      </c>
      <c r="E264" s="115">
        <f t="shared" ref="E264" si="1342">E261*U264</f>
        <v>48.035967779519709</v>
      </c>
      <c r="F264" s="115">
        <f t="shared" ref="F264" si="1343">F261*V264</f>
        <v>53.232222683142048</v>
      </c>
      <c r="G264" s="115">
        <f t="shared" ref="G264" si="1344">G261*W264</f>
        <v>59.016687238651578</v>
      </c>
      <c r="H264" s="115">
        <f t="shared" ref="H264" si="1345">H261*X264</f>
        <v>65.458797883734022</v>
      </c>
      <c r="I264" s="115">
        <f t="shared" ref="I264" si="1346">I261*Y264</f>
        <v>72.63651422370819</v>
      </c>
      <c r="J264" s="115">
        <f t="shared" ref="J264" si="1347">J261*Z264</f>
        <v>80.637404221979509</v>
      </c>
      <c r="K264" s="115">
        <f t="shared" ref="K264" si="1348">K261*AA264</f>
        <v>89.559872405572705</v>
      </c>
      <c r="L264" s="115">
        <f t="shared" ref="L264" si="1349">L261*AB264</f>
        <v>99.514550558390127</v>
      </c>
      <c r="M264" s="115">
        <f t="shared" ref="M264" si="1350">M261*AC264</f>
        <v>110.62587310964699</v>
      </c>
      <c r="N264" s="115">
        <f t="shared" ref="N264" si="1351">N261*AD264</f>
        <v>123.03386255533958</v>
      </c>
      <c r="O264" s="115">
        <f t="shared" ref="O264" si="1352">O261*AE264</f>
        <v>136.89615383547064</v>
      </c>
      <c r="P264" s="115">
        <f t="shared" ref="P264" si="1353">P261*AF264</f>
        <v>152.39029069694843</v>
      </c>
      <c r="Q264" s="115">
        <f t="shared" ref="Q264" si="1354">Q261*AG264</f>
        <v>169.71633177986746</v>
      </c>
      <c r="R264" s="68">
        <f>RATE(9,,-H264,Q264)</f>
        <v>0.11166221824375684</v>
      </c>
      <c r="S264" s="113" t="s">
        <v>62</v>
      </c>
      <c r="T264" s="116">
        <v>0.15</v>
      </c>
      <c r="U264" s="116">
        <v>0.15022866597023929</v>
      </c>
      <c r="V264" s="116">
        <v>0.15045768052798492</v>
      </c>
      <c r="W264" s="116">
        <v>0.15068704420463749</v>
      </c>
      <c r="X264" s="116">
        <v>0.15091675753240782</v>
      </c>
      <c r="Y264" s="116">
        <v>0.15114682104431795</v>
      </c>
      <c r="Z264" s="116">
        <v>0.15137723527420252</v>
      </c>
      <c r="AA264" s="116">
        <v>0.15160800075670999</v>
      </c>
      <c r="AB264" s="116">
        <v>0.15183911802730382</v>
      </c>
      <c r="AC264" s="116">
        <v>0.1520705876222638</v>
      </c>
      <c r="AD264" s="116">
        <v>0.15230241007868719</v>
      </c>
      <c r="AE264" s="116">
        <v>0.15253458593449007</v>
      </c>
      <c r="AF264" s="116">
        <v>0.15276711572840845</v>
      </c>
      <c r="AG264" s="116">
        <v>0.15299999999999978</v>
      </c>
    </row>
    <row r="265" spans="1:33" s="117" customFormat="1" x14ac:dyDescent="0.35">
      <c r="A265" s="148"/>
      <c r="B265" s="113" t="s">
        <v>63</v>
      </c>
      <c r="C265" s="114"/>
      <c r="D265" s="115">
        <f>D261*T265</f>
        <v>34.692839999999997</v>
      </c>
      <c r="E265" s="115">
        <f t="shared" ref="E265" si="1355">E261*U265</f>
        <v>38.41909929704758</v>
      </c>
      <c r="F265" s="115">
        <f t="shared" ref="F265" si="1356">F261*V265</f>
        <v>42.564337836753289</v>
      </c>
      <c r="G265" s="115">
        <f t="shared" ref="G265" si="1357">G261*W265</f>
        <v>47.177699106536366</v>
      </c>
      <c r="H265" s="115">
        <f t="shared" ref="H265" si="1358">H261*X265</f>
        <v>52.314321980708826</v>
      </c>
      <c r="I265" s="115">
        <f t="shared" ref="I265" si="1359">I261*Y265</f>
        <v>58.036099582840656</v>
      </c>
      <c r="J265" s="115">
        <f t="shared" ref="J265" si="1360">J261*Z265</f>
        <v>64.412537590178445</v>
      </c>
      <c r="K265" s="115">
        <f t="shared" ref="K265" si="1361">K261*AA265</f>
        <v>71.521725445674235</v>
      </c>
      <c r="L265" s="115">
        <f t="shared" ref="L265" si="1362">L261*AB265</f>
        <v>79.451435824265559</v>
      </c>
      <c r="M265" s="115">
        <f t="shared" ref="M265" si="1363">M261*AC265</f>
        <v>88.300369851828677</v>
      </c>
      <c r="N265" s="115">
        <f t="shared" ref="N265" si="1364">N261*AD265</f>
        <v>98.179568037781252</v>
      </c>
      <c r="O265" s="115">
        <f t="shared" ref="O265" si="1365">O261*AE265</f>
        <v>109.21400970180889</v>
      </c>
      <c r="P265" s="115">
        <f t="shared" ref="P265" si="1366">P261*AF265</f>
        <v>121.54442690485456</v>
      </c>
      <c r="Q265" s="115">
        <f t="shared" ref="Q265" si="1367">Q261*AG265</f>
        <v>135.32936259571133</v>
      </c>
      <c r="R265" s="68">
        <f>RATE(9,,-H265,Q265)</f>
        <v>0.11138234331727673</v>
      </c>
      <c r="S265" s="113" t="s">
        <v>63</v>
      </c>
      <c r="T265" s="116">
        <v>0.12000000000000002</v>
      </c>
      <c r="U265" s="116">
        <v>0.12015267521339246</v>
      </c>
      <c r="V265" s="116">
        <v>0.12030554467445809</v>
      </c>
      <c r="W265" s="116">
        <v>0.12045860863033696</v>
      </c>
      <c r="X265" s="116">
        <v>0.12061186732848356</v>
      </c>
      <c r="Y265" s="116">
        <v>0.12076532101666719</v>
      </c>
      <c r="Z265" s="116">
        <v>0.1209189699429724</v>
      </c>
      <c r="AA265" s="116">
        <v>0.12107281435579939</v>
      </c>
      <c r="AB265" s="116">
        <v>0.12122685450386435</v>
      </c>
      <c r="AC265" s="116">
        <v>0.12138109063619994</v>
      </c>
      <c r="AD265" s="116">
        <v>0.12153552300215566</v>
      </c>
      <c r="AE265" s="116">
        <v>0.12169015185139827</v>
      </c>
      <c r="AF265" s="116">
        <v>0.12184497743391219</v>
      </c>
      <c r="AG265" s="116">
        <v>0.12199999999999984</v>
      </c>
    </row>
    <row r="266" spans="1:33" s="117" customFormat="1" x14ac:dyDescent="0.35">
      <c r="A266" s="148"/>
      <c r="B266" s="113" t="s">
        <v>64</v>
      </c>
      <c r="C266" s="114"/>
      <c r="D266" s="115">
        <f>D261*T266</f>
        <v>23.128560000000014</v>
      </c>
      <c r="E266" s="115">
        <f t="shared" ref="E266" si="1368">E261*U266</f>
        <v>24.25375264877723</v>
      </c>
      <c r="F266" s="115">
        <f t="shared" ref="F266" si="1369">F261*V266</f>
        <v>25.35537044920023</v>
      </c>
      <c r="G266" s="115">
        <f t="shared" ref="G266" si="1370">G261*W266</f>
        <v>26.413262965804094</v>
      </c>
      <c r="H266" s="115">
        <f>H261*X266</f>
        <v>27.402718452997316</v>
      </c>
      <c r="I266" s="115">
        <f t="shared" ref="I266" si="1371">I261*Y266</f>
        <v>28.29362175085825</v>
      </c>
      <c r="J266" s="115">
        <f t="shared" ref="J266" si="1372">J261*Z266</f>
        <v>29.049467237377247</v>
      </c>
      <c r="K266" s="115">
        <f t="shared" ref="K266" si="1373">K261*AA266</f>
        <v>29.626202530235695</v>
      </c>
      <c r="L266" s="115">
        <f t="shared" ref="L266" si="1374">L261*AB266</f>
        <v>29.970874581425146</v>
      </c>
      <c r="M266" s="115">
        <f t="shared" ref="M266" si="1375">M261*AC266</f>
        <v>30.020045081116031</v>
      </c>
      <c r="N266" s="115">
        <f t="shared" ref="N266" si="1376">N261*AD266</f>
        <v>29.697936568918898</v>
      </c>
      <c r="O266" s="115">
        <f t="shared" ref="O266" si="1377">O261*AE266</f>
        <v>28.914264207277643</v>
      </c>
      <c r="P266" s="115">
        <f t="shared" ref="P266" si="1378">P261*AF266</f>
        <v>27.561700646521452</v>
      </c>
      <c r="Q266" s="115">
        <f t="shared" ref="Q266" si="1379">Q261*AG266</f>
        <v>25.512912620502888</v>
      </c>
      <c r="R266" s="68">
        <f>RATE(9,,-H266,Q266)</f>
        <v>-7.9082881755659744E-3</v>
      </c>
      <c r="S266" s="113" t="s">
        <v>64</v>
      </c>
      <c r="T266" s="116">
        <f>1-SUM(T262:T265)</f>
        <v>8.0000000000000071E-2</v>
      </c>
      <c r="U266" s="116">
        <f t="shared" ref="U266:AG266" si="1380">1-SUM(U262:U265)</f>
        <v>7.585168101373041E-2</v>
      </c>
      <c r="V266" s="116">
        <f t="shared" si="1380"/>
        <v>7.1665431846087646E-2</v>
      </c>
      <c r="W266" s="116">
        <f t="shared" si="1380"/>
        <v>6.7440866479373307E-2</v>
      </c>
      <c r="X266" s="116">
        <f t="shared" si="1380"/>
        <v>6.3177594917725788E-2</v>
      </c>
      <c r="Y266" s="116">
        <f t="shared" si="1380"/>
        <v>5.887522314605742E-2</v>
      </c>
      <c r="Z266" s="116">
        <f t="shared" si="1380"/>
        <v>5.4533353088566772E-2</v>
      </c>
      <c r="AA266" s="116">
        <f t="shared" si="1380"/>
        <v>5.0151582566825281E-2</v>
      </c>
      <c r="AB266" s="116">
        <f t="shared" si="1380"/>
        <v>4.5729505257428471E-2</v>
      </c>
      <c r="AC266" s="116">
        <f t="shared" si="1380"/>
        <v>4.126671064921128E-2</v>
      </c>
      <c r="AD266" s="116">
        <f t="shared" si="1380"/>
        <v>3.6762784000021864E-2</v>
      </c>
      <c r="AE266" s="116">
        <f t="shared" si="1380"/>
        <v>3.2217306293047754E-2</v>
      </c>
      <c r="AF266" s="116">
        <f t="shared" si="1380"/>
        <v>2.7629854192693704E-2</v>
      </c>
      <c r="AG266" s="116">
        <f t="shared" si="1380"/>
        <v>2.2999999999999909E-2</v>
      </c>
    </row>
    <row r="267" spans="1:33" x14ac:dyDescent="0.35">
      <c r="A267" s="1"/>
      <c r="D267" s="81" t="b">
        <f>D261=SUM(D262:D266)</f>
        <v>1</v>
      </c>
      <c r="E267" s="81" t="b">
        <f t="shared" ref="E267:Q267" si="1381">E261=SUM(E262:E266)</f>
        <v>1</v>
      </c>
      <c r="F267" s="81" t="b">
        <f t="shared" si="1381"/>
        <v>1</v>
      </c>
      <c r="G267" s="81" t="b">
        <f t="shared" si="1381"/>
        <v>1</v>
      </c>
      <c r="H267" s="81" t="b">
        <f t="shared" si="1381"/>
        <v>1</v>
      </c>
      <c r="I267" s="81" t="b">
        <f t="shared" si="1381"/>
        <v>1</v>
      </c>
      <c r="J267" s="81" t="b">
        <f t="shared" si="1381"/>
        <v>1</v>
      </c>
      <c r="K267" s="81" t="b">
        <f t="shared" si="1381"/>
        <v>1</v>
      </c>
      <c r="L267" s="81" t="b">
        <f t="shared" si="1381"/>
        <v>1</v>
      </c>
      <c r="M267" s="81" t="b">
        <f t="shared" si="1381"/>
        <v>0</v>
      </c>
      <c r="N267" s="81" t="b">
        <f t="shared" si="1381"/>
        <v>1</v>
      </c>
      <c r="O267" s="81" t="b">
        <f t="shared" si="1381"/>
        <v>1</v>
      </c>
      <c r="P267" s="81" t="b">
        <f t="shared" si="1381"/>
        <v>1</v>
      </c>
      <c r="Q267" s="81" t="b">
        <f t="shared" si="1381"/>
        <v>1</v>
      </c>
      <c r="R267" s="21"/>
    </row>
    <row r="268" spans="1:33" s="117" customFormat="1" x14ac:dyDescent="0.35">
      <c r="A268" s="149" t="s">
        <v>65</v>
      </c>
      <c r="B268" s="122" t="s">
        <v>66</v>
      </c>
      <c r="C268" s="123"/>
      <c r="D268" s="124">
        <f>D261*T268</f>
        <v>202.37489999999997</v>
      </c>
      <c r="E268" s="124">
        <f t="shared" ref="E268" si="1382">E261*U268</f>
        <v>223.94921748267032</v>
      </c>
      <c r="F268" s="124">
        <f t="shared" ref="F268" si="1383">F261*V268</f>
        <v>247.93271043745708</v>
      </c>
      <c r="G268" s="124">
        <f t="shared" ref="G268" si="1384">G261*W268</f>
        <v>274.60616252590665</v>
      </c>
      <c r="H268" s="124">
        <f t="shared" ref="H268" si="1385">H261*X268</f>
        <v>304.28440892110854</v>
      </c>
      <c r="I268" s="124">
        <f t="shared" ref="I268" si="1386">I261*Y268</f>
        <v>337.320622309898</v>
      </c>
      <c r="J268" s="124">
        <f t="shared" ref="J268" si="1387">J261*Z268</f>
        <v>374.11115757835199</v>
      </c>
      <c r="K268" s="124">
        <f t="shared" ref="K268" si="1388">K261*AA268</f>
        <v>415.1010304546607</v>
      </c>
      <c r="L268" s="124">
        <f t="shared" ref="L268" si="1389">L261*AB268</f>
        <v>460.79011584896142</v>
      </c>
      <c r="M268" s="124">
        <f t="shared" ref="M268" si="1390">M261*AC268</f>
        <v>511.74016359445005</v>
      </c>
      <c r="N268" s="124">
        <f t="shared" ref="N268" si="1391">N261*AD268</f>
        <v>568.58274297898879</v>
      </c>
      <c r="O268" s="124">
        <f t="shared" ref="O268" si="1392">O261*AE268</f>
        <v>632.02824311600727</v>
      </c>
      <c r="P268" s="124">
        <f t="shared" ref="P268" si="1393">P261*AF268</f>
        <v>702.87607413086937</v>
      </c>
      <c r="Q268" s="124">
        <f t="shared" ref="Q268" si="1394">Q261*AG268</f>
        <v>782.02623467194087</v>
      </c>
      <c r="R268" s="68">
        <f>RATE(9,,-H268,Q268)</f>
        <v>0.11057800787439903</v>
      </c>
      <c r="S268" s="122" t="s">
        <v>66</v>
      </c>
      <c r="T268" s="116">
        <v>0.70000000000000007</v>
      </c>
      <c r="U268" s="116">
        <v>0.70038335319736411</v>
      </c>
      <c r="V268" s="116">
        <v>0.70076691633711929</v>
      </c>
      <c r="W268" s="116">
        <v>0.70115068953424042</v>
      </c>
      <c r="X268" s="116">
        <v>0.70153467290376448</v>
      </c>
      <c r="Y268" s="116">
        <v>0.70191886656079228</v>
      </c>
      <c r="Z268" s="116">
        <v>0.70230327062048659</v>
      </c>
      <c r="AA268" s="116">
        <v>0.70268788519807479</v>
      </c>
      <c r="AB268" s="116">
        <v>0.70307271040884567</v>
      </c>
      <c r="AC268" s="116">
        <v>0.70345774636815217</v>
      </c>
      <c r="AD268" s="116">
        <v>0.70384299319141008</v>
      </c>
      <c r="AE268" s="116">
        <v>0.70422845099409903</v>
      </c>
      <c r="AF268" s="116">
        <v>0.70461411989176093</v>
      </c>
      <c r="AG268" s="116">
        <v>0.70500000000000129</v>
      </c>
    </row>
    <row r="269" spans="1:33" s="117" customFormat="1" x14ac:dyDescent="0.35">
      <c r="A269" s="149"/>
      <c r="B269" s="122" t="s">
        <v>67</v>
      </c>
      <c r="C269" s="123"/>
      <c r="D269" s="124">
        <f>D261*T269</f>
        <v>57.821399999999997</v>
      </c>
      <c r="E269" s="124">
        <f t="shared" ref="E269" si="1395">E261*U269</f>
        <v>63.999435469768436</v>
      </c>
      <c r="F269" s="124">
        <f t="shared" ref="F269" si="1396">F261*V269</f>
        <v>70.868796938084728</v>
      </c>
      <c r="G269" s="124">
        <f t="shared" ref="G269" si="1397">G261*W269</f>
        <v>78.510211886146607</v>
      </c>
      <c r="H269" s="124">
        <f t="shared" ref="H269" si="1398">H261*X269</f>
        <v>87.01421545946873</v>
      </c>
      <c r="I269" s="124">
        <f t="shared" ref="I269" si="1399">I261*Y269</f>
        <v>96.482387023874281</v>
      </c>
      <c r="J269" s="124">
        <f t="shared" ref="J269" si="1400">J261*Z269</f>
        <v>107.028748164098</v>
      </c>
      <c r="K269" s="124">
        <f t="shared" ref="K269" si="1401">K261*AA269</f>
        <v>118.78134390977037</v>
      </c>
      <c r="L269" s="124">
        <f t="shared" ref="L269" si="1402">L261*AB269</f>
        <v>131.88403200668557</v>
      </c>
      <c r="M269" s="124">
        <f t="shared" ref="M269" si="1403">M261*AC269</f>
        <v>146.49850851948383</v>
      </c>
      <c r="N269" s="124">
        <f t="shared" ref="N269" si="1404">N261*AD269</f>
        <v>162.80660201942453</v>
      </c>
      <c r="O269" s="124">
        <f t="shared" ref="O269" si="1405">O261*AE269</f>
        <v>181.01287315174773</v>
      </c>
      <c r="P269" s="124">
        <f t="shared" ref="P269" si="1406">P261*AF269</f>
        <v>201.34756157643793</v>
      </c>
      <c r="Q269" s="124">
        <f t="shared" ref="Q269" si="1407">Q261*AG269</f>
        <v>224.069928232244</v>
      </c>
      <c r="R269" s="68">
        <f>RATE(9,,-H269,Q269)</f>
        <v>0.11082004312517375</v>
      </c>
      <c r="S269" s="122" t="s">
        <v>67</v>
      </c>
      <c r="T269" s="116">
        <v>0.20000000000000004</v>
      </c>
      <c r="U269" s="116">
        <v>0.2001531406133327</v>
      </c>
      <c r="V269" s="116">
        <v>0.2003063984869026</v>
      </c>
      <c r="W269" s="116">
        <v>0.20045977371049628</v>
      </c>
      <c r="X269" s="116">
        <v>0.20061326637396906</v>
      </c>
      <c r="Y269" s="116">
        <v>0.2007668765672449</v>
      </c>
      <c r="Z269" s="116">
        <v>0.20092060438031684</v>
      </c>
      <c r="AA269" s="116">
        <v>0.20107444990324672</v>
      </c>
      <c r="AB269" s="116">
        <v>0.20122841322616528</v>
      </c>
      <c r="AC269" s="116">
        <v>0.20138249443927231</v>
      </c>
      <c r="AD269" s="116">
        <v>0.20153669363283677</v>
      </c>
      <c r="AE269" s="116">
        <v>0.2016910108971966</v>
      </c>
      <c r="AF269" s="116">
        <v>0.20184544632275897</v>
      </c>
      <c r="AG269" s="116">
        <v>0.20200000000000032</v>
      </c>
    </row>
    <row r="270" spans="1:33" s="117" customFormat="1" x14ac:dyDescent="0.35">
      <c r="A270" s="149"/>
      <c r="B270" s="122" t="s">
        <v>68</v>
      </c>
      <c r="C270" s="123"/>
      <c r="D270" s="124">
        <f>D261*T270</f>
        <v>28.910699999999952</v>
      </c>
      <c r="E270" s="124">
        <f t="shared" ref="E270" si="1408">E261*U270</f>
        <v>31.803689047561193</v>
      </c>
      <c r="F270" s="124">
        <f t="shared" ref="F270" si="1409">F261*V270</f>
        <v>35.00045538461741</v>
      </c>
      <c r="G270" s="124">
        <f t="shared" ref="G270" si="1410">G261*W270</f>
        <v>38.534331527238791</v>
      </c>
      <c r="H270" s="124">
        <f t="shared" ref="H270" si="1411">H261*X270</f>
        <v>42.442458810117508</v>
      </c>
      <c r="I270" s="124">
        <f t="shared" ref="I270" si="1412">I261*Y270</f>
        <v>46.766239306993668</v>
      </c>
      <c r="J270" s="124">
        <f t="shared" ref="J270" si="1413">J261*Z270</f>
        <v>51.551843290448403</v>
      </c>
      <c r="K270" s="124">
        <f t="shared" ref="K270" si="1414">K261*AA270</f>
        <v>56.85077928550178</v>
      </c>
      <c r="L270" s="124">
        <f t="shared" ref="L270" si="1415">L261*AB270</f>
        <v>62.72053469575819</v>
      </c>
      <c r="M270" s="124">
        <f>M261*AC270</f>
        <v>69.225296029836599</v>
      </c>
      <c r="N270" s="124">
        <f t="shared" ref="N270" si="1416">N261*AD270</f>
        <v>76.436758946849267</v>
      </c>
      <c r="O270" s="124">
        <f t="shared" ref="O270" si="1417">O261*AE270</f>
        <v>84.435039692469445</v>
      </c>
      <c r="P270" s="124">
        <f t="shared" ref="P270" si="1418">P261*AF270</f>
        <v>93.309701034286093</v>
      </c>
      <c r="Q270" s="124">
        <f t="shared" ref="Q270" si="1419">Q261*AG270</f>
        <v>103.16090755246685</v>
      </c>
      <c r="R270" s="68">
        <f>RATE(9,,-H270,Q270)</f>
        <v>0.10371559712176097</v>
      </c>
      <c r="S270" s="122" t="s">
        <v>68</v>
      </c>
      <c r="T270" s="116">
        <f>1-SUM(T268:T269)</f>
        <v>9.9999999999999867E-2</v>
      </c>
      <c r="U270" s="116">
        <f t="shared" ref="U270:AG270" si="1420">1-SUM(U268:U269)</f>
        <v>9.9463506189303219E-2</v>
      </c>
      <c r="V270" s="116">
        <f t="shared" si="1420"/>
        <v>9.8926685175978135E-2</v>
      </c>
      <c r="W270" s="116">
        <f t="shared" si="1420"/>
        <v>9.8389536755263296E-2</v>
      </c>
      <c r="X270" s="116">
        <f t="shared" si="1420"/>
        <v>9.7852060722266487E-2</v>
      </c>
      <c r="Y270" s="116">
        <f t="shared" si="1420"/>
        <v>9.7314256871962823E-2</v>
      </c>
      <c r="Z270" s="116">
        <f t="shared" si="1420"/>
        <v>9.6776124999196522E-2</v>
      </c>
      <c r="AA270" s="116">
        <f t="shared" si="1420"/>
        <v>9.6237664898678466E-2</v>
      </c>
      <c r="AB270" s="116">
        <f t="shared" si="1420"/>
        <v>9.5698876364989083E-2</v>
      </c>
      <c r="AC270" s="116">
        <f t="shared" si="1420"/>
        <v>9.5159759192575466E-2</v>
      </c>
      <c r="AD270" s="116">
        <f t="shared" si="1420"/>
        <v>9.4620313175753146E-2</v>
      </c>
      <c r="AE270" s="116">
        <f t="shared" si="1420"/>
        <v>9.4080538108704426E-2</v>
      </c>
      <c r="AF270" s="116">
        <f t="shared" si="1420"/>
        <v>9.3540433785480159E-2</v>
      </c>
      <c r="AG270" s="116">
        <f t="shared" si="1420"/>
        <v>9.2999999999998417E-2</v>
      </c>
    </row>
    <row r="271" spans="1:33" x14ac:dyDescent="0.35">
      <c r="A271" s="1"/>
      <c r="D271" s="81" t="b">
        <f>D261=SUM(D268:D270)</f>
        <v>1</v>
      </c>
      <c r="E271" s="81" t="b">
        <f t="shared" ref="E271:Q271" si="1421">E261=SUM(E268:E270)</f>
        <v>1</v>
      </c>
      <c r="F271" s="81" t="b">
        <f t="shared" si="1421"/>
        <v>1</v>
      </c>
      <c r="G271" s="81" t="b">
        <f t="shared" si="1421"/>
        <v>1</v>
      </c>
      <c r="H271" s="81" t="b">
        <f t="shared" si="1421"/>
        <v>1</v>
      </c>
      <c r="I271" s="81" t="b">
        <f t="shared" si="1421"/>
        <v>1</v>
      </c>
      <c r="J271" s="81" t="b">
        <f t="shared" si="1421"/>
        <v>1</v>
      </c>
      <c r="K271" s="81" t="b">
        <f t="shared" si="1421"/>
        <v>1</v>
      </c>
      <c r="L271" s="81" t="b">
        <f t="shared" si="1421"/>
        <v>1</v>
      </c>
      <c r="M271" s="81" t="b">
        <f t="shared" si="1421"/>
        <v>1</v>
      </c>
      <c r="N271" s="81" t="b">
        <f t="shared" si="1421"/>
        <v>1</v>
      </c>
      <c r="O271" s="81" t="b">
        <f t="shared" si="1421"/>
        <v>1</v>
      </c>
      <c r="P271" s="81" t="b">
        <f t="shared" si="1421"/>
        <v>1</v>
      </c>
      <c r="Q271" s="81" t="b">
        <f t="shared" si="1421"/>
        <v>1</v>
      </c>
      <c r="R271" s="21"/>
    </row>
    <row r="272" spans="1:33" s="117" customFormat="1" x14ac:dyDescent="0.35">
      <c r="A272" s="149" t="s">
        <v>69</v>
      </c>
      <c r="B272" s="125" t="s">
        <v>70</v>
      </c>
      <c r="C272" s="126"/>
      <c r="D272" s="127">
        <f>D261*T272</f>
        <v>121.42493999999996</v>
      </c>
      <c r="E272" s="127">
        <f t="shared" ref="E272" si="1422">E261*U272</f>
        <v>134.32055298624283</v>
      </c>
      <c r="F272" s="127">
        <f t="shared" ref="F272" si="1423">F261*V272</f>
        <v>148.65120068082803</v>
      </c>
      <c r="G272" s="127">
        <f t="shared" ref="G272" si="1424">G261*W272</f>
        <v>164.58359477624649</v>
      </c>
      <c r="H272" s="127">
        <f t="shared" ref="H272" si="1425">H261*X272</f>
        <v>182.30460388890356</v>
      </c>
      <c r="I272" s="127">
        <f t="shared" ref="I272" si="1426">I261*Y272</f>
        <v>202.02378351909152</v>
      </c>
      <c r="J272" s="127">
        <f t="shared" ref="J272" si="1427">J261*Z272</f>
        <v>223.97623491517191</v>
      </c>
      <c r="K272" s="127">
        <f t="shared" ref="K272" si="1428">K261*AA272</f>
        <v>248.42583704501573</v>
      </c>
      <c r="L272" s="127">
        <f t="shared" ref="L272" si="1429">L261*AB272</f>
        <v>275.66890200864367</v>
      </c>
      <c r="M272" s="127">
        <f t="shared" ref="M272" si="1430">M261*AC272</f>
        <v>306.03831123315484</v>
      </c>
      <c r="N272" s="127">
        <f t="shared" ref="N272" si="1431">N261*AD272</f>
        <v>339.90819780331117</v>
      </c>
      <c r="O272" s="127">
        <f t="shared" ref="O272" si="1432">O261*AE272</f>
        <v>377.69924944691473</v>
      </c>
      <c r="P272" s="127">
        <f t="shared" ref="P272" si="1433">P261*AF272</f>
        <v>419.88471718425194</v>
      </c>
      <c r="Q272" s="127">
        <f t="shared" ref="Q272" si="1434">Q261*AG272</f>
        <v>466.99722666225017</v>
      </c>
      <c r="R272" s="68">
        <f>RATE(9,,-H272,Q272)</f>
        <v>0.11017320376449692</v>
      </c>
      <c r="S272" s="125" t="s">
        <v>70</v>
      </c>
      <c r="T272" s="116">
        <v>0.42</v>
      </c>
      <c r="U272" s="116">
        <v>0.42007683867486062</v>
      </c>
      <c r="V272" s="116">
        <v>0.4201536914072973</v>
      </c>
      <c r="W272" s="116">
        <v>0.42023055819988187</v>
      </c>
      <c r="X272" s="116">
        <v>0.42030743905518658</v>
      </c>
      <c r="Y272" s="116">
        <v>0.42038433397578434</v>
      </c>
      <c r="Z272" s="116">
        <v>0.42046124296424836</v>
      </c>
      <c r="AA272" s="116">
        <v>0.42053816602315214</v>
      </c>
      <c r="AB272" s="116">
        <v>0.42061510315507006</v>
      </c>
      <c r="AC272" s="116">
        <v>0.42069205436257667</v>
      </c>
      <c r="AD272" s="116">
        <v>0.4207690196482472</v>
      </c>
      <c r="AE272" s="116">
        <v>0.42084599901465702</v>
      </c>
      <c r="AF272" s="116">
        <v>0.42092299246438242</v>
      </c>
      <c r="AG272" s="137">
        <v>0.42099999999999982</v>
      </c>
    </row>
    <row r="273" spans="1:33" s="117" customFormat="1" x14ac:dyDescent="0.35">
      <c r="A273" s="149"/>
      <c r="B273" s="125" t="s">
        <v>71</v>
      </c>
      <c r="C273" s="126"/>
      <c r="D273" s="127">
        <f>D261*T273</f>
        <v>66.494609999999994</v>
      </c>
      <c r="E273" s="127">
        <f t="shared" ref="E273" si="1435">E261*U273</f>
        <v>73.592034992781194</v>
      </c>
      <c r="F273" s="127">
        <f t="shared" ref="F273" si="1436">F261*V273</f>
        <v>81.482915210999678</v>
      </c>
      <c r="G273" s="127">
        <f t="shared" ref="G273" si="1437">G261*W273</f>
        <v>90.259822757325125</v>
      </c>
      <c r="H273" s="127">
        <f t="shared" ref="H273" si="1438">H261*X273</f>
        <v>100.02656721074572</v>
      </c>
      <c r="I273" s="127">
        <f t="shared" ref="I273" si="1439">I261*Y273</f>
        <v>110.89961136514671</v>
      </c>
      <c r="J273" s="127">
        <f t="shared" ref="J273" si="1440">J261*Z273</f>
        <v>123.00967167017539</v>
      </c>
      <c r="K273" s="127">
        <f t="shared" ref="K273" si="1441">K261*AA273</f>
        <v>136.50352828064206</v>
      </c>
      <c r="L273" s="127">
        <f t="shared" ref="L273" si="1442">L261*AB273</f>
        <v>151.54607308617787</v>
      </c>
      <c r="M273" s="127">
        <f t="shared" ref="M273" si="1443">M261*AC273</f>
        <v>168.3226280551481</v>
      </c>
      <c r="N273" s="127">
        <f t="shared" ref="N273" si="1444">N261*AD273</f>
        <v>187.04157075918425</v>
      </c>
      <c r="O273" s="127">
        <f t="shared" ref="O273" si="1445">O261*AE273</f>
        <v>207.93730913154778</v>
      </c>
      <c r="P273" s="127">
        <f t="shared" ref="P273" si="1446">P261*AF273</f>
        <v>231.27365345109322</v>
      </c>
      <c r="Q273" s="127">
        <f t="shared" ref="Q273" si="1447">Q261*AG273</f>
        <v>257.34764034594338</v>
      </c>
      <c r="R273" s="68">
        <f>RATE(9,,-H273,Q273)</f>
        <v>0.11070962728088975</v>
      </c>
      <c r="S273" s="125" t="s">
        <v>71</v>
      </c>
      <c r="T273" s="116">
        <v>0.23000000000000007</v>
      </c>
      <c r="U273" s="116">
        <v>0.230153232131076</v>
      </c>
      <c r="V273" s="116">
        <v>0.23030656634948232</v>
      </c>
      <c r="W273" s="116">
        <v>0.23046000272323239</v>
      </c>
      <c r="X273" s="116">
        <v>0.23061354132038475</v>
      </c>
      <c r="Y273" s="116">
        <v>0.23076718220904338</v>
      </c>
      <c r="Z273" s="116">
        <v>0.23092092545735762</v>
      </c>
      <c r="AA273" s="116">
        <v>0.23107477113352223</v>
      </c>
      <c r="AB273" s="116">
        <v>0.23122871930577729</v>
      </c>
      <c r="AC273" s="116">
        <v>0.23138277004240856</v>
      </c>
      <c r="AD273" s="116">
        <v>0.23153692341174703</v>
      </c>
      <c r="AE273" s="116">
        <v>0.23169117948216938</v>
      </c>
      <c r="AF273" s="116">
        <v>0.23184553832209787</v>
      </c>
      <c r="AG273" s="137">
        <v>0.23200000000000018</v>
      </c>
    </row>
    <row r="274" spans="1:33" s="117" customFormat="1" x14ac:dyDescent="0.35">
      <c r="A274" s="149"/>
      <c r="B274" s="125" t="s">
        <v>72</v>
      </c>
      <c r="C274" s="126"/>
      <c r="D274" s="127">
        <f>D261*T274</f>
        <v>57.821399999999976</v>
      </c>
      <c r="E274" s="127">
        <f t="shared" ref="E274" si="1448">E261*U274</f>
        <v>63.97500815449262</v>
      </c>
      <c r="F274" s="127">
        <f t="shared" ref="F274" si="1449">F261*V274</f>
        <v>70.81470883360457</v>
      </c>
      <c r="G274" s="127">
        <f t="shared" ref="G274" si="1450">G261*W274</f>
        <v>78.420348821261058</v>
      </c>
      <c r="H274" s="127">
        <f t="shared" ref="H274" si="1451">H261*X274</f>
        <v>86.881445095906727</v>
      </c>
      <c r="I274" s="127">
        <f t="shared" ref="I274" si="1452">I261*Y274</f>
        <v>96.298400457143387</v>
      </c>
      <c r="J274" s="127">
        <f t="shared" ref="J274" si="1453">J261*Z274</f>
        <v>106.78387742051133</v>
      </c>
      <c r="K274" s="127">
        <f t="shared" ref="K274" si="1454">K261*AA274</f>
        <v>118.46435168045446</v>
      </c>
      <c r="L274" s="127">
        <f t="shared" ref="L274" si="1455">L261*AB274</f>
        <v>131.48186939970526</v>
      </c>
      <c r="M274" s="127">
        <f t="shared" ref="M274" si="1456">M261*AC274</f>
        <v>145.99603596485034</v>
      </c>
      <c r="N274" s="127">
        <f t="shared" ref="N274" si="1457">N261*AD274</f>
        <v>162.18626771503222</v>
      </c>
      <c r="O274" s="127">
        <f t="shared" ref="O274" si="1458">O261*AE274</f>
        <v>180.25434257538393</v>
      </c>
      <c r="P274" s="127">
        <f t="shared" ref="P274" si="1459">P261*AF274</f>
        <v>200.42729059154865</v>
      </c>
      <c r="Q274" s="127">
        <f t="shared" ref="Q274" si="1460">Q261*AG274</f>
        <v>222.96067116178671</v>
      </c>
      <c r="R274" s="68">
        <f>RATE(9,,-H274,Q274)</f>
        <v>0.11039606514391388</v>
      </c>
      <c r="S274" s="125" t="s">
        <v>72</v>
      </c>
      <c r="T274" s="116">
        <v>0.19999999999999998</v>
      </c>
      <c r="U274" s="116">
        <v>0.20007674612901705</v>
      </c>
      <c r="V274" s="116">
        <v>0.20015352170787573</v>
      </c>
      <c r="W274" s="116">
        <v>0.2002303267478768</v>
      </c>
      <c r="X274" s="116">
        <v>0.20030716126032544</v>
      </c>
      <c r="Y274" s="116">
        <v>0.20038402525653101</v>
      </c>
      <c r="Z274" s="116">
        <v>0.20046091874780753</v>
      </c>
      <c r="AA274" s="116">
        <v>0.20053784174547304</v>
      </c>
      <c r="AB274" s="116">
        <v>0.20061479426085005</v>
      </c>
      <c r="AC274" s="116">
        <v>0.20069177630526541</v>
      </c>
      <c r="AD274" s="116">
        <v>0.20076878789005037</v>
      </c>
      <c r="AE274" s="116">
        <v>0.20084582902654041</v>
      </c>
      <c r="AF274" s="116">
        <v>0.20092289972607549</v>
      </c>
      <c r="AG274" s="137">
        <v>0.20099999999999973</v>
      </c>
    </row>
    <row r="275" spans="1:33" s="117" customFormat="1" x14ac:dyDescent="0.35">
      <c r="A275" s="149"/>
      <c r="B275" s="125" t="s">
        <v>73</v>
      </c>
      <c r="C275" s="126"/>
      <c r="D275" s="127">
        <f>D261*T275</f>
        <v>28.910699999999988</v>
      </c>
      <c r="E275" s="127">
        <f t="shared" ref="E275" si="1461">E261*U275</f>
        <v>32.023978519679808</v>
      </c>
      <c r="F275" s="127">
        <f t="shared" ref="F275" si="1462">F261*V275</f>
        <v>35.488148455428032</v>
      </c>
      <c r="G275" s="127">
        <f t="shared" ref="G275" si="1463">G261*W275</f>
        <v>39.344458159101052</v>
      </c>
      <c r="H275" s="127">
        <f t="shared" ref="H275" si="1464">H261*X275</f>
        <v>43.63919858915601</v>
      </c>
      <c r="I275" s="127">
        <f t="shared" ref="I275" si="1465">I261*Y275</f>
        <v>48.424342815805467</v>
      </c>
      <c r="J275" s="127">
        <f t="shared" ref="J275" si="1466">J261*Z275</f>
        <v>53.758269481319665</v>
      </c>
      <c r="K275" s="127">
        <f t="shared" ref="K275" si="1467">K261*AA275</f>
        <v>59.706581603715136</v>
      </c>
      <c r="L275" s="127">
        <f t="shared" ref="L275" si="1468">L261*AB275</f>
        <v>66.343033705593427</v>
      </c>
      <c r="M275" s="127">
        <f t="shared" ref="M275" si="1469">M261*AC275</f>
        <v>73.750582073097988</v>
      </c>
      <c r="N275" s="127">
        <f t="shared" ref="N275" si="1470">N261*AD275</f>
        <v>82.022575036893045</v>
      </c>
      <c r="O275" s="127">
        <f t="shared" ref="O275" si="1471">O261*AE275</f>
        <v>91.264102556980433</v>
      </c>
      <c r="P275" s="127">
        <f t="shared" ref="P275" si="1472">P261*AF275</f>
        <v>101.59352713129896</v>
      </c>
      <c r="Q275" s="127">
        <f t="shared" ref="Q275" si="1473">Q261*AG275</f>
        <v>113.14422118657832</v>
      </c>
      <c r="R275" s="68">
        <f>RATE(9,,-H275,Q275)</f>
        <v>0.1116622182437569</v>
      </c>
      <c r="S275" s="125" t="s">
        <v>73</v>
      </c>
      <c r="T275" s="116">
        <v>9.9999999999999992E-2</v>
      </c>
      <c r="U275" s="116">
        <v>0.10015244398015953</v>
      </c>
      <c r="V275" s="116">
        <v>0.10030512035198993</v>
      </c>
      <c r="W275" s="116">
        <v>0.10045802946975833</v>
      </c>
      <c r="X275" s="116">
        <v>0.10061117168827188</v>
      </c>
      <c r="Y275" s="116">
        <v>0.10076454736287864</v>
      </c>
      <c r="Z275" s="116">
        <v>0.10091815684946834</v>
      </c>
      <c r="AA275" s="116">
        <v>0.10107200050447333</v>
      </c>
      <c r="AB275" s="116">
        <v>0.10122607868486923</v>
      </c>
      <c r="AC275" s="116">
        <v>0.10138039174817587</v>
      </c>
      <c r="AD275" s="116">
        <v>0.10153494005245813</v>
      </c>
      <c r="AE275" s="116">
        <v>0.10168972395632671</v>
      </c>
      <c r="AF275" s="116">
        <v>0.10184474381893897</v>
      </c>
      <c r="AG275" s="137">
        <v>0.10199999999999985</v>
      </c>
    </row>
    <row r="276" spans="1:33" s="117" customFormat="1" x14ac:dyDescent="0.35">
      <c r="A276" s="149"/>
      <c r="B276" s="125" t="s">
        <v>74</v>
      </c>
      <c r="C276" s="126"/>
      <c r="D276" s="127">
        <f>D261*T276</f>
        <v>14.455350000000008</v>
      </c>
      <c r="E276" s="127">
        <f t="shared" ref="E276" si="1474">E261*U276</f>
        <v>15.840767346803476</v>
      </c>
      <c r="F276" s="127">
        <f t="shared" ref="F276" si="1475">F261*V276</f>
        <v>17.364989579298925</v>
      </c>
      <c r="G276" s="127">
        <f t="shared" ref="G276" si="1476">G261*W276</f>
        <v>19.042481425358307</v>
      </c>
      <c r="H276" s="127">
        <f t="shared" ref="H276" si="1477">H261*X276</f>
        <v>20.889268405982726</v>
      </c>
      <c r="I276" s="127">
        <f t="shared" ref="I276" si="1478">I261*Y276</f>
        <v>22.923110483578927</v>
      </c>
      <c r="J276" s="127">
        <f t="shared" ref="J276" si="1479">J261*Z276</f>
        <v>25.16369554572006</v>
      </c>
      <c r="K276" s="127">
        <f t="shared" ref="K276" si="1480">K261*AA276</f>
        <v>27.63285504010554</v>
      </c>
      <c r="L276" s="127">
        <f t="shared" ref="L276" si="1481">L261*AB276</f>
        <v>30.354804351284894</v>
      </c>
      <c r="M276" s="127">
        <f t="shared" ref="M276" si="1482">M261*AC276</f>
        <v>33.356410817519304</v>
      </c>
      <c r="N276" s="127">
        <f t="shared" ref="N276" si="1483">N261*AD276</f>
        <v>36.667492630841913</v>
      </c>
      <c r="O276" s="127">
        <f t="shared" ref="O276" si="1484">O261*AE276</f>
        <v>40.321152249397457</v>
      </c>
      <c r="P276" s="127">
        <f t="shared" ref="P276" si="1485">P261*AF276</f>
        <v>44.354148383400563</v>
      </c>
      <c r="Q276" s="127">
        <f t="shared" ref="Q276" si="1486">Q261*AG276</f>
        <v>48.807311100093088</v>
      </c>
      <c r="R276" s="68">
        <f>RATE(9,,-H276,Q276)</f>
        <v>9.88825948246429E-2</v>
      </c>
      <c r="S276" s="125" t="s">
        <v>74</v>
      </c>
      <c r="T276" s="116">
        <f>1-SUM(T272:T275)</f>
        <v>5.0000000000000044E-2</v>
      </c>
      <c r="U276" s="116">
        <f t="shared" ref="U276:AG276" si="1487">1-SUM(U272:U275)</f>
        <v>4.9540739084886765E-2</v>
      </c>
      <c r="V276" s="116">
        <f t="shared" si="1487"/>
        <v>4.9081100183354764E-2</v>
      </c>
      <c r="W276" s="116">
        <f t="shared" si="1487"/>
        <v>4.8621082859250597E-2</v>
      </c>
      <c r="X276" s="116">
        <f t="shared" si="1487"/>
        <v>4.8160686675831288E-2</v>
      </c>
      <c r="Y276" s="116">
        <f t="shared" si="1487"/>
        <v>4.7699911195762668E-2</v>
      </c>
      <c r="Z276" s="116">
        <f t="shared" si="1487"/>
        <v>4.7238755981118041E-2</v>
      </c>
      <c r="AA276" s="116">
        <f t="shared" si="1487"/>
        <v>4.6777220593379298E-2</v>
      </c>
      <c r="AB276" s="116">
        <f t="shared" si="1487"/>
        <v>4.631530459343336E-2</v>
      </c>
      <c r="AC276" s="116">
        <f t="shared" si="1487"/>
        <v>4.5853007541573509E-2</v>
      </c>
      <c r="AD276" s="116">
        <f t="shared" si="1487"/>
        <v>4.5390328997497287E-2</v>
      </c>
      <c r="AE276" s="116">
        <f t="shared" si="1487"/>
        <v>4.4927268520306485E-2</v>
      </c>
      <c r="AF276" s="116">
        <f t="shared" si="1487"/>
        <v>4.4463825668505264E-2</v>
      </c>
      <c r="AG276" s="116">
        <f t="shared" si="1487"/>
        <v>4.4000000000000372E-2</v>
      </c>
    </row>
    <row r="277" spans="1:33" x14ac:dyDescent="0.35">
      <c r="A277" s="2"/>
      <c r="D277" s="81" t="b">
        <f>D261=SUM(D272:D276)</f>
        <v>1</v>
      </c>
      <c r="E277" s="81" t="b">
        <f t="shared" ref="E277:Q277" si="1488">E261=SUM(E272:E276)</f>
        <v>1</v>
      </c>
      <c r="F277" s="81" t="b">
        <f t="shared" si="1488"/>
        <v>1</v>
      </c>
      <c r="G277" s="81" t="b">
        <f t="shared" si="1488"/>
        <v>1</v>
      </c>
      <c r="H277" s="81" t="b">
        <f t="shared" si="1488"/>
        <v>1</v>
      </c>
      <c r="I277" s="81" t="b">
        <f t="shared" si="1488"/>
        <v>1</v>
      </c>
      <c r="J277" s="81" t="b">
        <f t="shared" si="1488"/>
        <v>1</v>
      </c>
      <c r="K277" s="81" t="b">
        <f t="shared" si="1488"/>
        <v>1</v>
      </c>
      <c r="L277" s="81" t="b">
        <f t="shared" si="1488"/>
        <v>1</v>
      </c>
      <c r="M277" s="81" t="b">
        <f t="shared" si="1488"/>
        <v>1</v>
      </c>
      <c r="N277" s="81" t="b">
        <f t="shared" si="1488"/>
        <v>1</v>
      </c>
      <c r="O277" s="81" t="b">
        <f t="shared" si="1488"/>
        <v>1</v>
      </c>
      <c r="P277" s="81" t="b">
        <f t="shared" si="1488"/>
        <v>1</v>
      </c>
      <c r="Q277" s="81" t="b">
        <f t="shared" si="1488"/>
        <v>1</v>
      </c>
      <c r="R277" s="21"/>
    </row>
    <row r="278" spans="1:33" s="117" customFormat="1" x14ac:dyDescent="0.35">
      <c r="A278" s="149" t="s">
        <v>75</v>
      </c>
      <c r="B278" s="128" t="s">
        <v>76</v>
      </c>
      <c r="C278" s="129"/>
      <c r="D278" s="130">
        <f>D261*T278</f>
        <v>63.603539999999988</v>
      </c>
      <c r="E278" s="130">
        <f t="shared" ref="E278" si="1489">E261*U278</f>
        <v>70.467225379770795</v>
      </c>
      <c r="F278" s="130">
        <f t="shared" ref="F278" si="1490">F261*V278</f>
        <v>78.106006302774972</v>
      </c>
      <c r="G278" s="130">
        <f t="shared" ref="G278" si="1491">G261*W278</f>
        <v>86.611161878514309</v>
      </c>
      <c r="H278" s="130">
        <f t="shared" ref="H278" si="1492">H261*X278</f>
        <v>96.085148876878009</v>
      </c>
      <c r="I278" s="130">
        <f t="shared" ref="I278" si="1493">I261*Y278</f>
        <v>106.64302152744614</v>
      </c>
      <c r="J278" s="130">
        <f t="shared" ref="J278" si="1494">J261*Z278</f>
        <v>118.41403799078621</v>
      </c>
      <c r="K278" s="130">
        <f t="shared" ref="K278" si="1495">K261*AA278</f>
        <v>131.54347885908939</v>
      </c>
      <c r="L278" s="130">
        <f t="shared" ref="L278" si="1496">L261*AB278</f>
        <v>146.19470659646677</v>
      </c>
      <c r="M278" s="130">
        <f t="shared" ref="M278" si="1497">M261*AC278</f>
        <v>162.55149889495664</v>
      </c>
      <c r="N278" s="130">
        <f t="shared" ref="N278" si="1498">N261*AD278</f>
        <v>180.82069357690253</v>
      </c>
      <c r="O278" s="130">
        <f t="shared" ref="O278" si="1499">O261*AE278</f>
        <v>201.23518800557997</v>
      </c>
      <c r="P278" s="130">
        <f t="shared" ref="P278" si="1500">P261*AF278</f>
        <v>224.05734207493532</v>
      </c>
      <c r="Q278" s="130">
        <f>Q261*AG278</f>
        <v>249.58284085274684</v>
      </c>
      <c r="R278" s="68">
        <f t="shared" ref="R278:R283" si="1501">RATE(9,,-H278,Q278)</f>
        <v>0.11189057955817069</v>
      </c>
      <c r="S278" s="134" t="s">
        <v>76</v>
      </c>
      <c r="T278" s="116">
        <v>0.22000000000000003</v>
      </c>
      <c r="U278" s="116">
        <v>0.22038063877502673</v>
      </c>
      <c r="V278" s="116">
        <v>0.22076193612222184</v>
      </c>
      <c r="W278" s="116">
        <v>0.22114389318103134</v>
      </c>
      <c r="X278" s="116">
        <v>0.22152651109287255</v>
      </c>
      <c r="Y278" s="116">
        <v>0.22190979100113767</v>
      </c>
      <c r="Z278" s="116">
        <v>0.22229373405119721</v>
      </c>
      <c r="AA278" s="116">
        <v>0.22267834139040343</v>
      </c>
      <c r="AB278" s="116">
        <v>0.2230636141680935</v>
      </c>
      <c r="AC278" s="116">
        <v>0.22344955353559337</v>
      </c>
      <c r="AD278" s="116">
        <v>0.22383616064622086</v>
      </c>
      <c r="AE278" s="116">
        <v>0.22422343665528938</v>
      </c>
      <c r="AF278" s="116">
        <v>0.22461138272011094</v>
      </c>
      <c r="AG278" s="116">
        <v>0.22500000000000017</v>
      </c>
    </row>
    <row r="279" spans="1:33" s="117" customFormat="1" x14ac:dyDescent="0.35">
      <c r="A279" s="149"/>
      <c r="B279" s="128" t="s">
        <v>77</v>
      </c>
      <c r="C279" s="129"/>
      <c r="D279" s="130">
        <f>D261*T279</f>
        <v>109.86065999999997</v>
      </c>
      <c r="E279" s="130">
        <f t="shared" ref="E279" si="1502">E261*U279</f>
        <v>121.50588995999998</v>
      </c>
      <c r="F279" s="130">
        <f t="shared" ref="F279" si="1503">F261*V279</f>
        <v>134.44474584886049</v>
      </c>
      <c r="G279" s="130">
        <f t="shared" ref="G279" si="1504">G261*W279</f>
        <v>148.82726825693098</v>
      </c>
      <c r="H279" s="130">
        <f t="shared" ref="H279" si="1505">H261*X279</f>
        <v>164.82161161246401</v>
      </c>
      <c r="I279" s="130">
        <f t="shared" ref="I279" si="1506">I261*Y279</f>
        <v>182.61631448349107</v>
      </c>
      <c r="J279" s="130">
        <f t="shared" ref="J279" si="1507">J261*Z279</f>
        <v>202.42286463250142</v>
      </c>
      <c r="K279" s="130">
        <f t="shared" ref="K279" si="1508">K261*AA279</f>
        <v>224.47859838697451</v>
      </c>
      <c r="L279" s="130">
        <f t="shared" ref="L279" si="1509">L261*AB279</f>
        <v>249.04997936953396</v>
      </c>
      <c r="M279" s="130">
        <f t="shared" ref="M279" si="1510">M261*AC279</f>
        <v>276.43630789463282</v>
      </c>
      <c r="N279" s="130">
        <f t="shared" ref="N279" si="1511">N261*AD279</f>
        <v>306.97391949919978</v>
      </c>
      <c r="O279" s="130">
        <f t="shared" ref="O279" si="1512">O261*AE279</f>
        <v>341.04093926488525</v>
      </c>
      <c r="P279" s="130">
        <f t="shared" ref="P279" si="1513">P261*AF279</f>
        <v>379.06266796180546</v>
      </c>
      <c r="Q279" s="130">
        <f t="shared" ref="Q279" si="1514">Q261*AG279</f>
        <v>421.51768677352766</v>
      </c>
      <c r="R279" s="68">
        <f t="shared" si="1501"/>
        <v>0.1099701355872318</v>
      </c>
      <c r="S279" s="134" t="s">
        <v>77</v>
      </c>
      <c r="T279" s="116">
        <v>0.38</v>
      </c>
      <c r="U279" s="116">
        <v>0.38</v>
      </c>
      <c r="V279" s="116">
        <v>0.38</v>
      </c>
      <c r="W279" s="116">
        <v>0.38</v>
      </c>
      <c r="X279" s="116">
        <v>0.38</v>
      </c>
      <c r="Y279" s="116">
        <v>0.38</v>
      </c>
      <c r="Z279" s="116">
        <v>0.38</v>
      </c>
      <c r="AA279" s="116">
        <v>0.38</v>
      </c>
      <c r="AB279" s="116">
        <v>0.38</v>
      </c>
      <c r="AC279" s="116">
        <v>0.38</v>
      </c>
      <c r="AD279" s="116">
        <v>0.38</v>
      </c>
      <c r="AE279" s="116">
        <v>0.38</v>
      </c>
      <c r="AF279" s="116">
        <v>0.38</v>
      </c>
      <c r="AG279" s="116">
        <v>0.38</v>
      </c>
    </row>
    <row r="280" spans="1:33" s="117" customFormat="1" x14ac:dyDescent="0.35">
      <c r="A280" s="149"/>
      <c r="B280" s="128" t="s">
        <v>78</v>
      </c>
      <c r="C280" s="129"/>
      <c r="D280" s="132">
        <f>D261*T280</f>
        <v>49.148189999999978</v>
      </c>
      <c r="E280" s="132">
        <f t="shared" ref="E280" si="1515">E261*U280</f>
        <v>54.620697813887944</v>
      </c>
      <c r="F280" s="132">
        <f t="shared" ref="F280" si="1516">F261*V280</f>
        <v>60.729308598658427</v>
      </c>
      <c r="G280" s="132">
        <f t="shared" ref="G280" si="1517">G261*W280</f>
        <v>67.550971801951874</v>
      </c>
      <c r="H280" s="132">
        <f t="shared" ref="H280" si="1518">H261*X280</f>
        <v>75.17229960471839</v>
      </c>
      <c r="I280" s="132">
        <f t="shared" ref="I280" si="1519">I261*Y280</f>
        <v>83.690823669113513</v>
      </c>
      <c r="J280" s="132">
        <f t="shared" ref="J280" si="1520">J261*Z280</f>
        <v>93.216420857442799</v>
      </c>
      <c r="K280" s="132">
        <f t="shared" ref="K280" si="1521">K261*AA280</f>
        <v>103.87293136744238</v>
      </c>
      <c r="L280" s="132">
        <f t="shared" ref="L280" si="1522">L261*AB280</f>
        <v>115.79999608133743</v>
      </c>
      <c r="M280" s="132">
        <f t="shared" ref="M280" si="1523">M261*AC280</f>
        <v>129.15514377148494</v>
      </c>
      <c r="N280" s="132">
        <f t="shared" ref="N280" si="1524">N261*AD280</f>
        <v>144.11616321856786</v>
      </c>
      <c r="O280" s="132">
        <f t="shared" ref="O280" si="1525">O261*AE280</f>
        <v>160.88380036542989</v>
      </c>
      <c r="P280" s="132">
        <f t="shared" ref="P280" si="1526">P261*AF280</f>
        <v>179.68482645031449</v>
      </c>
      <c r="Q280" s="132">
        <f t="shared" ref="Q280" si="1527">Q261*AG280</f>
        <v>200.77552975265363</v>
      </c>
      <c r="R280" s="68">
        <f t="shared" si="1501"/>
        <v>0.11533641720521108</v>
      </c>
      <c r="S280" s="134" t="s">
        <v>78</v>
      </c>
      <c r="T280" s="116">
        <v>0.16999999999999998</v>
      </c>
      <c r="U280" s="116">
        <v>0.17082188506343435</v>
      </c>
      <c r="V280" s="116">
        <v>0.17164774362720694</v>
      </c>
      <c r="W280" s="116">
        <v>0.17247759490167405</v>
      </c>
      <c r="X280" s="116">
        <v>0.17331145819006682</v>
      </c>
      <c r="Y280" s="116">
        <v>0.17414935288894001</v>
      </c>
      <c r="Z280" s="116">
        <v>0.17499129848862341</v>
      </c>
      <c r="AA280" s="116">
        <v>0.17583731457367507</v>
      </c>
      <c r="AB280" s="116">
        <v>0.17668742082333691</v>
      </c>
      <c r="AC280" s="116">
        <v>0.17754163701199244</v>
      </c>
      <c r="AD280" s="116">
        <v>0.17839998300962681</v>
      </c>
      <c r="AE280" s="116">
        <v>0.17926247878228888</v>
      </c>
      <c r="AF280" s="116">
        <v>0.18012914439255584</v>
      </c>
      <c r="AG280" s="116">
        <v>0.18099999999999969</v>
      </c>
    </row>
    <row r="281" spans="1:33" s="117" customFormat="1" x14ac:dyDescent="0.35">
      <c r="A281" s="149"/>
      <c r="B281" s="128" t="s">
        <v>79</v>
      </c>
      <c r="C281" s="129"/>
      <c r="D281" s="132">
        <f>D261*T281</f>
        <v>40.474979999999995</v>
      </c>
      <c r="E281" s="132">
        <f t="shared" ref="E281" si="1528">E261*U281</f>
        <v>44.789843496534061</v>
      </c>
      <c r="F281" s="132">
        <f t="shared" ref="F281" si="1529">F261*V281</f>
        <v>49.586542087491416</v>
      </c>
      <c r="G281" s="132">
        <f t="shared" ref="G281" si="1530">G261*W281</f>
        <v>54.921232505181337</v>
      </c>
      <c r="H281" s="132">
        <f t="shared" ref="H281" si="1531">H261*X281</f>
        <v>60.85688178422172</v>
      </c>
      <c r="I281" s="132">
        <f t="shared" ref="I281" si="1532">I261*Y281</f>
        <v>67.464124461979608</v>
      </c>
      <c r="J281" s="132">
        <f t="shared" ref="J281" si="1533">J261*Z281</f>
        <v>74.822231515670396</v>
      </c>
      <c r="K281" s="132">
        <f t="shared" ref="K281" si="1534">K261*AA281</f>
        <v>83.020206090932135</v>
      </c>
      <c r="L281" s="132">
        <f t="shared" ref="L281" si="1535">L261*AB281</f>
        <v>92.158023169792273</v>
      </c>
      <c r="M281" s="132">
        <f t="shared" ref="M281" si="1536">M261*AC281</f>
        <v>102.34803271889001</v>
      </c>
      <c r="N281" s="132">
        <f t="shared" ref="N281" si="1537">N261*AD281</f>
        <v>113.71654859579778</v>
      </c>
      <c r="O281" s="132">
        <f t="shared" ref="O281" si="1538">O261*AE281</f>
        <v>126.40564862320146</v>
      </c>
      <c r="P281" s="132">
        <f t="shared" ref="P281" si="1539">P261*AF281</f>
        <v>140.57521482617386</v>
      </c>
      <c r="Q281" s="132">
        <f t="shared" ref="Q281" si="1540">Q261*AG281</f>
        <v>156.40524693438817</v>
      </c>
      <c r="R281" s="68">
        <f t="shared" si="1501"/>
        <v>0.11057800787439899</v>
      </c>
      <c r="S281" s="134" t="s">
        <v>79</v>
      </c>
      <c r="T281" s="116">
        <v>0.14000000000000001</v>
      </c>
      <c r="U281" s="116">
        <v>0.14007667063947282</v>
      </c>
      <c r="V281" s="116">
        <v>0.14015338326742385</v>
      </c>
      <c r="W281" s="116">
        <v>0.1402301379068481</v>
      </c>
      <c r="X281" s="116">
        <v>0.14030693458075291</v>
      </c>
      <c r="Y281" s="116">
        <v>0.14038377331215846</v>
      </c>
      <c r="Z281" s="116">
        <v>0.14046065412409731</v>
      </c>
      <c r="AA281" s="116">
        <v>0.14053757703961495</v>
      </c>
      <c r="AB281" s="116">
        <v>0.14061454208176913</v>
      </c>
      <c r="AC281" s="116">
        <v>0.14069154927363042</v>
      </c>
      <c r="AD281" s="116">
        <v>0.14076859863828203</v>
      </c>
      <c r="AE281" s="116">
        <v>0.14084569019881982</v>
      </c>
      <c r="AF281" s="116">
        <v>0.14092282397835218</v>
      </c>
      <c r="AG281" s="116">
        <v>0.14100000000000026</v>
      </c>
    </row>
    <row r="282" spans="1:33" s="117" customFormat="1" x14ac:dyDescent="0.35">
      <c r="A282" s="149"/>
      <c r="B282" s="128" t="s">
        <v>80</v>
      </c>
      <c r="C282" s="129"/>
      <c r="D282" s="132">
        <f>D261*T282</f>
        <v>11.564280000000005</v>
      </c>
      <c r="E282" s="132">
        <f t="shared" ref="E282" si="1541">E261*U282</f>
        <v>11.860606564241222</v>
      </c>
      <c r="F282" s="132">
        <f t="shared" ref="F282" si="1542">F261*V282</f>
        <v>12.169887906802312</v>
      </c>
      <c r="G282" s="132">
        <f t="shared" ref="G282" si="1543">G261*W282</f>
        <v>12.492760907945126</v>
      </c>
      <c r="H282" s="132">
        <f t="shared" ref="H282" si="1544">H261*X282</f>
        <v>12.829899333100903</v>
      </c>
      <c r="I282" s="132">
        <f t="shared" ref="I282" si="1545">I261*Y282</f>
        <v>13.182016187734185</v>
      </c>
      <c r="J282" s="132">
        <f t="shared" ref="J282" si="1546">J261*Z282</f>
        <v>13.549866237576291</v>
      </c>
      <c r="K282" s="132">
        <f t="shared" ref="K282" si="1547">K261*AA282</f>
        <v>13.934248706758774</v>
      </c>
      <c r="L282" s="132">
        <f t="shared" ref="L282" si="1548">L261*AB282</f>
        <v>14.336010167395509</v>
      </c>
      <c r="M282" s="132">
        <f t="shared" ref="M282" si="1549">M261*AC282</f>
        <v>14.756047635267862</v>
      </c>
      <c r="N282" s="132">
        <f t="shared" ref="N282" si="1550">N261*AD282</f>
        <v>15.195311887469288</v>
      </c>
      <c r="O282" s="132">
        <f t="shared" ref="O282" si="1551">O261*AE282</f>
        <v>15.654811019172442</v>
      </c>
      <c r="P282" s="132">
        <f t="shared" ref="P282" si="1552">P261*AF282</f>
        <v>16.135614258102912</v>
      </c>
      <c r="Q282" s="132">
        <f t="shared" ref="Q282" si="1553">Q261*AG282</f>
        <v>16.638856056849782</v>
      </c>
      <c r="R282" s="68">
        <f t="shared" si="1501"/>
        <v>2.9305914844669958E-2</v>
      </c>
      <c r="S282" s="134" t="s">
        <v>80</v>
      </c>
      <c r="T282" s="116">
        <v>4.0000000000000029E-2</v>
      </c>
      <c r="U282" s="116">
        <v>3.7093103024844219E-2</v>
      </c>
      <c r="V282" s="116">
        <v>3.4397457300292665E-2</v>
      </c>
      <c r="W282" s="116">
        <v>3.1897710685810869E-2</v>
      </c>
      <c r="X282" s="116">
        <v>2.9579626718136409E-2</v>
      </c>
      <c r="Y282" s="116">
        <v>2.7430003532306693E-2</v>
      </c>
      <c r="Z282" s="116">
        <v>2.543659867489231E-2</v>
      </c>
      <c r="AA282" s="116">
        <v>2.3588059381234896E-2</v>
      </c>
      <c r="AB282" s="116">
        <v>2.1873857919607213E-2</v>
      </c>
      <c r="AC282" s="116">
        <v>2.0284231634069862E-2</v>
      </c>
      <c r="AD282" s="116">
        <v>1.8810127344558929E-2</v>
      </c>
      <c r="AE282" s="116">
        <v>1.7443149787554083E-2</v>
      </c>
      <c r="AF282" s="116">
        <v>1.617551380368832E-2</v>
      </c>
      <c r="AG282" s="116">
        <v>1.5000000000000005E-2</v>
      </c>
    </row>
    <row r="283" spans="1:33" s="117" customFormat="1" x14ac:dyDescent="0.35">
      <c r="A283" s="149"/>
      <c r="B283" s="128" t="s">
        <v>81</v>
      </c>
      <c r="C283" s="129"/>
      <c r="D283" s="132">
        <f>D261*T283</f>
        <v>5.7821399999999992</v>
      </c>
      <c r="E283" s="132">
        <f t="shared" ref="E283" si="1554">E261*U283</f>
        <v>6.4421047533109013</v>
      </c>
      <c r="F283" s="132">
        <f t="shared" ref="F283" si="1555">F261*V283</f>
        <v>7.1805603882832543</v>
      </c>
      <c r="G283" s="132">
        <f t="shared" ref="G283" si="1556">G261*W283</f>
        <v>8.0072072129980647</v>
      </c>
      <c r="H283" s="132">
        <f t="shared" ref="H283" si="1557">H261*X283</f>
        <v>8.9329883208877039</v>
      </c>
      <c r="I283" s="132">
        <f t="shared" ref="I283" si="1558">I261*Y283</f>
        <v>9.9702543176693332</v>
      </c>
      <c r="J283" s="132">
        <f t="shared" ref="J283" si="1559">J261*Z283</f>
        <v>11.132950596616903</v>
      </c>
      <c r="K283" s="132">
        <f t="shared" ref="K283" si="1560">K261*AA283</f>
        <v>12.436830344603905</v>
      </c>
      <c r="L283" s="132">
        <f t="shared" ref="L283" si="1561">L261*AB283</f>
        <v>13.899696923821672</v>
      </c>
      <c r="M283" s="132">
        <f t="shared" ref="M283" si="1562">M261*AC283</f>
        <v>15.541679805661143</v>
      </c>
      <c r="N283" s="132">
        <f t="shared" ref="N283" si="1563">N261*AD283</f>
        <v>17.385548844547895</v>
      </c>
      <c r="O283" s="132">
        <f t="shared" ref="O283" si="1564">O261*AE283</f>
        <v>19.457072382819661</v>
      </c>
      <c r="P283" s="132">
        <f t="shared" ref="P283" si="1565">P261*AF283</f>
        <v>21.785425487252162</v>
      </c>
      <c r="Q283" s="132">
        <f t="shared" ref="Q283" si="1566">Q261*AG283</f>
        <v>24.403655550046345</v>
      </c>
      <c r="R283" s="68">
        <f t="shared" si="1501"/>
        <v>0.11813784408349483</v>
      </c>
      <c r="S283" s="134" t="s">
        <v>81</v>
      </c>
      <c r="T283" s="116">
        <v>2.0000000000000004E-2</v>
      </c>
      <c r="U283" s="116">
        <v>2.0147169878464571E-2</v>
      </c>
      <c r="V283" s="116">
        <v>2.0295422705585511E-2</v>
      </c>
      <c r="W283" s="116">
        <v>2.0444766450233912E-2</v>
      </c>
      <c r="X283" s="116">
        <v>2.0595209139919784E-2</v>
      </c>
      <c r="Y283" s="116">
        <v>2.0746758861223506E-2</v>
      </c>
      <c r="Z283" s="116">
        <v>2.0899423760230504E-2</v>
      </c>
      <c r="AA283" s="116">
        <v>2.1053212042969137E-2</v>
      </c>
      <c r="AB283" s="116">
        <v>2.1208131975851766E-2</v>
      </c>
      <c r="AC283" s="116">
        <v>2.1364191886119096E-2</v>
      </c>
      <c r="AD283" s="116">
        <v>2.1521400162287797E-2</v>
      </c>
      <c r="AE283" s="116">
        <v>2.1679765254601358E-2</v>
      </c>
      <c r="AF283" s="116">
        <v>2.1839295675484361E-2</v>
      </c>
      <c r="AG283" s="116">
        <v>2.2000000000000006E-2</v>
      </c>
    </row>
    <row r="284" spans="1:33" s="117" customFormat="1" x14ac:dyDescent="0.35">
      <c r="A284" s="149"/>
      <c r="B284" s="128" t="s">
        <v>82</v>
      </c>
      <c r="C284" s="129"/>
      <c r="D284" s="132">
        <f>D261*T284</f>
        <v>8.6732099999999726</v>
      </c>
      <c r="E284" s="132">
        <f t="shared" ref="E284" si="1567">E261*U284</f>
        <v>10.06597403225503</v>
      </c>
      <c r="F284" s="132">
        <f t="shared" ref="F284" si="1568">F261*V284</f>
        <v>11.58491162728834</v>
      </c>
      <c r="G284" s="132">
        <f t="shared" ref="G284" si="1569">G261*W284</f>
        <v>13.240103375770341</v>
      </c>
      <c r="H284" s="132">
        <f t="shared" ref="H284" si="1570">H261*X284</f>
        <v>15.042253658424006</v>
      </c>
      <c r="I284" s="132">
        <f t="shared" ref="I284" si="1571">I261*Y284</f>
        <v>17.002693993332134</v>
      </c>
      <c r="J284" s="132">
        <f t="shared" ref="J284" si="1572">J261*Z284</f>
        <v>19.133377202304406</v>
      </c>
      <c r="K284" s="132">
        <f t="shared" ref="K284" si="1573">K261*AA284</f>
        <v>21.446859894131848</v>
      </c>
      <c r="L284" s="132">
        <f t="shared" ref="L284" si="1574">L261*AB284</f>
        <v>23.956270243057546</v>
      </c>
      <c r="M284" s="132">
        <f t="shared" ref="M284" si="1575">M261*AC284</f>
        <v>26.675257422877195</v>
      </c>
      <c r="N284" s="132">
        <f t="shared" ref="N284" si="1576">N261*AD284</f>
        <v>29.617918322777577</v>
      </c>
      <c r="O284" s="132">
        <f t="shared" ref="O284" si="1577">O261*AE284</f>
        <v>32.79869629913555</v>
      </c>
      <c r="P284" s="132">
        <f t="shared" ref="P284" si="1578">P261*AF284</f>
        <v>36.232245683009012</v>
      </c>
      <c r="Q284" s="132">
        <f t="shared" ref="Q284" si="1579">Q261*AG284</f>
        <v>39.93325453643925</v>
      </c>
      <c r="R284" s="68">
        <f>RATE(9,,-H284,Q284)</f>
        <v>0.11458587028236387</v>
      </c>
      <c r="S284" s="134" t="s">
        <v>82</v>
      </c>
      <c r="T284" s="116">
        <f>1-SUM(T278:T283)</f>
        <v>2.9999999999999916E-2</v>
      </c>
      <c r="U284" s="116">
        <f t="shared" ref="U284:AG284" si="1580">1-SUM(U278:U283)</f>
        <v>3.1480532618757273E-2</v>
      </c>
      <c r="V284" s="116">
        <f t="shared" si="1580"/>
        <v>3.2744056977269231E-2</v>
      </c>
      <c r="W284" s="116">
        <f t="shared" si="1580"/>
        <v>3.380589687440172E-2</v>
      </c>
      <c r="X284" s="116">
        <f t="shared" si="1580"/>
        <v>3.468026027825144E-2</v>
      </c>
      <c r="Y284" s="116">
        <f t="shared" si="1580"/>
        <v>3.5380320404233667E-2</v>
      </c>
      <c r="Z284" s="116">
        <f t="shared" si="1580"/>
        <v>3.5918290900959216E-2</v>
      </c>
      <c r="AA284" s="116">
        <f t="shared" si="1580"/>
        <v>3.6305495572102608E-2</v>
      </c>
      <c r="AB284" s="116">
        <f t="shared" si="1580"/>
        <v>3.655243303134148E-2</v>
      </c>
      <c r="AC284" s="116">
        <f t="shared" si="1580"/>
        <v>3.6668836658594883E-2</v>
      </c>
      <c r="AD284" s="116">
        <f t="shared" si="1580"/>
        <v>3.6663730199023692E-2</v>
      </c>
      <c r="AE284" s="116">
        <f t="shared" si="1580"/>
        <v>3.6545479321446361E-2</v>
      </c>
      <c r="AF284" s="116">
        <f t="shared" si="1580"/>
        <v>3.6321839429808267E-2</v>
      </c>
      <c r="AG284" s="116">
        <f t="shared" si="1580"/>
        <v>3.599999999999981E-2</v>
      </c>
    </row>
  </sheetData>
  <mergeCells count="55">
    <mergeCell ref="A278:A284"/>
    <mergeCell ref="A247:A248"/>
    <mergeCell ref="A250:A255"/>
    <mergeCell ref="A257:A259"/>
    <mergeCell ref="A262:A266"/>
    <mergeCell ref="A268:A270"/>
    <mergeCell ref="A272:A276"/>
    <mergeCell ref="A244:A245"/>
    <mergeCell ref="A192:A193"/>
    <mergeCell ref="A195:A196"/>
    <mergeCell ref="A198:A199"/>
    <mergeCell ref="A201:A206"/>
    <mergeCell ref="A208:A210"/>
    <mergeCell ref="A213:A217"/>
    <mergeCell ref="A219:A221"/>
    <mergeCell ref="A223:A227"/>
    <mergeCell ref="A229:A235"/>
    <mergeCell ref="A237:R237"/>
    <mergeCell ref="A241:A242"/>
    <mergeCell ref="A188:R188"/>
    <mergeCell ref="A130:A136"/>
    <mergeCell ref="A139:R139"/>
    <mergeCell ref="A143:A144"/>
    <mergeCell ref="A146:A147"/>
    <mergeCell ref="A149:A150"/>
    <mergeCell ref="A152:A157"/>
    <mergeCell ref="A159:A161"/>
    <mergeCell ref="A164:A168"/>
    <mergeCell ref="A170:A172"/>
    <mergeCell ref="A174:A178"/>
    <mergeCell ref="A180:A186"/>
    <mergeCell ref="A124:A128"/>
    <mergeCell ref="A70:A72"/>
    <mergeCell ref="A74:A78"/>
    <mergeCell ref="A80:A86"/>
    <mergeCell ref="A89:R89"/>
    <mergeCell ref="A93:A94"/>
    <mergeCell ref="A96:A97"/>
    <mergeCell ref="A99:A100"/>
    <mergeCell ref="A102:A107"/>
    <mergeCell ref="A109:A111"/>
    <mergeCell ref="A114:A118"/>
    <mergeCell ref="A120:A122"/>
    <mergeCell ref="A64:A68"/>
    <mergeCell ref="A2:R2"/>
    <mergeCell ref="A15:A19"/>
    <mergeCell ref="A21:A23"/>
    <mergeCell ref="A25:A29"/>
    <mergeCell ref="A31:A37"/>
    <mergeCell ref="A39:R39"/>
    <mergeCell ref="A43:A44"/>
    <mergeCell ref="A46:A47"/>
    <mergeCell ref="A49:A50"/>
    <mergeCell ref="A52:A57"/>
    <mergeCell ref="A59:A61"/>
  </mergeCells>
  <pageMargins left="0.7" right="0.7" top="0.75" bottom="0.75" header="0.3" footer="0.3"/>
  <ignoredErrors>
    <ignoredError sqref="T217:AG217" formulaRange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9A0E-EA09-40F2-BB3A-2DE2510FDF60}">
  <dimension ref="A2:AG137"/>
  <sheetViews>
    <sheetView showGridLines="0" topLeftCell="A13" zoomScale="71" zoomScaleNormal="71" workbookViewId="0">
      <selection activeCell="D15" sqref="D15"/>
    </sheetView>
  </sheetViews>
  <sheetFormatPr defaultRowHeight="14.5" x14ac:dyDescent="0.35"/>
  <cols>
    <col min="1" max="1" width="17.1796875" customWidth="1"/>
    <col min="2" max="2" width="27.81640625" customWidth="1"/>
    <col min="17" max="17" width="11.7265625" customWidth="1"/>
    <col min="18" max="18" width="26.453125" customWidth="1"/>
    <col min="19" max="19" width="28.90625" customWidth="1"/>
  </cols>
  <sheetData>
    <row r="2" spans="1:33" ht="25" x14ac:dyDescent="0.5">
      <c r="A2" s="146" t="s">
        <v>83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63"/>
    </row>
    <row r="3" spans="1:33" ht="25" x14ac:dyDescent="0.5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63"/>
    </row>
    <row r="4" spans="1:33" ht="25" x14ac:dyDescent="0.5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63"/>
    </row>
    <row r="5" spans="1:33" ht="25" x14ac:dyDescent="0.5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63"/>
    </row>
    <row r="6" spans="1:33" ht="25" x14ac:dyDescent="0.5">
      <c r="A6" s="96"/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63"/>
    </row>
    <row r="7" spans="1:33" ht="25" x14ac:dyDescent="0.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63"/>
    </row>
    <row r="8" spans="1:33" ht="25" x14ac:dyDescent="0.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63"/>
    </row>
    <row r="9" spans="1:33" ht="25" x14ac:dyDescent="0.5">
      <c r="A9" s="96"/>
      <c r="B9" s="96"/>
      <c r="C9" s="97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63"/>
    </row>
    <row r="10" spans="1:33" ht="25" x14ac:dyDescent="0.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63"/>
    </row>
    <row r="11" spans="1:33" ht="25" x14ac:dyDescent="0.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63"/>
    </row>
    <row r="12" spans="1:33" ht="25.5" thickBot="1" x14ac:dyDescent="0.55000000000000004">
      <c r="A12" s="96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63"/>
    </row>
    <row r="13" spans="1:33" ht="15.5" x14ac:dyDescent="0.35">
      <c r="A13" s="42"/>
      <c r="B13" s="43"/>
      <c r="C13" s="93"/>
      <c r="D13" s="91">
        <v>2023</v>
      </c>
      <c r="E13" s="65">
        <v>2024</v>
      </c>
      <c r="F13" s="65">
        <v>2025</v>
      </c>
      <c r="G13" s="65">
        <v>2026</v>
      </c>
      <c r="H13" s="65">
        <v>2027</v>
      </c>
      <c r="I13" s="65">
        <v>2028</v>
      </c>
      <c r="J13" s="65">
        <v>2029</v>
      </c>
      <c r="K13" s="65">
        <v>2030</v>
      </c>
      <c r="L13" s="65">
        <v>2031</v>
      </c>
      <c r="M13" s="65">
        <v>2032</v>
      </c>
      <c r="N13" s="65">
        <v>2033</v>
      </c>
      <c r="O13" s="65">
        <v>2034</v>
      </c>
      <c r="P13" s="65">
        <v>2035</v>
      </c>
      <c r="Q13" s="65">
        <v>2036</v>
      </c>
      <c r="R13" s="66" t="s">
        <v>84</v>
      </c>
    </row>
    <row r="14" spans="1:33" ht="16" thickBot="1" x14ac:dyDescent="0.4">
      <c r="A14" s="1"/>
      <c r="C14" s="21"/>
      <c r="D14" s="92">
        <f>SUM(D63,D113)</f>
        <v>1376.7</v>
      </c>
      <c r="E14" s="92">
        <f t="shared" ref="E14:Q14" si="0">SUM(E63,E113)</f>
        <v>1561.4531400000001</v>
      </c>
      <c r="F14" s="92">
        <f>SUM(F63,F113)</f>
        <v>1773.9429624027116</v>
      </c>
      <c r="G14" s="92">
        <f t="shared" si="0"/>
        <v>2018.7415169302828</v>
      </c>
      <c r="H14" s="92">
        <f t="shared" si="0"/>
        <v>2301.2382373344344</v>
      </c>
      <c r="I14" s="92">
        <f t="shared" si="0"/>
        <v>2627.7970241941775</v>
      </c>
      <c r="J14" s="92">
        <f t="shared" si="0"/>
        <v>3005.9455564465266</v>
      </c>
      <c r="K14" s="92">
        <f t="shared" si="0"/>
        <v>3444.6038525501926</v>
      </c>
      <c r="L14" s="92">
        <f t="shared" si="0"/>
        <v>3954.3607188593869</v>
      </c>
      <c r="M14" s="92">
        <f t="shared" si="0"/>
        <v>4547.8087314689938</v>
      </c>
      <c r="N14" s="92">
        <f t="shared" si="0"/>
        <v>5239.9508982540374</v>
      </c>
      <c r="O14" s="92">
        <f t="shared" si="0"/>
        <v>6048.6952664151722</v>
      </c>
      <c r="P14" s="92">
        <f t="shared" si="0"/>
        <v>6995.4576378794545</v>
      </c>
      <c r="Q14" s="92">
        <f t="shared" si="0"/>
        <v>8105.8974342216989</v>
      </c>
      <c r="R14" s="131">
        <f t="shared" ref="R14:R19" si="1">RATE(9,,-H14,Q14)</f>
        <v>0.15016446834699257</v>
      </c>
      <c r="T14" s="65">
        <v>2023</v>
      </c>
      <c r="U14" s="65">
        <v>2024</v>
      </c>
      <c r="V14" s="65">
        <v>2025</v>
      </c>
      <c r="W14" s="65">
        <v>2026</v>
      </c>
      <c r="X14" s="65">
        <v>2027</v>
      </c>
      <c r="Y14" s="65">
        <v>2028</v>
      </c>
      <c r="Z14" s="65">
        <v>2029</v>
      </c>
      <c r="AA14" s="65">
        <v>2030</v>
      </c>
      <c r="AB14" s="65">
        <v>2031</v>
      </c>
      <c r="AC14" s="65">
        <v>2032</v>
      </c>
      <c r="AD14" s="65">
        <v>2033</v>
      </c>
      <c r="AE14" s="65">
        <v>2034</v>
      </c>
      <c r="AF14" s="65">
        <v>2035</v>
      </c>
      <c r="AG14" s="65">
        <v>2036</v>
      </c>
    </row>
    <row r="15" spans="1:33" s="121" customFormat="1" x14ac:dyDescent="0.35">
      <c r="A15" s="147" t="s">
        <v>59</v>
      </c>
      <c r="B15" s="118" t="s">
        <v>60</v>
      </c>
      <c r="C15" s="119"/>
      <c r="D15" s="120">
        <f>D14*T15</f>
        <v>413.01000000000005</v>
      </c>
      <c r="E15" s="120">
        <f>E14*U15</f>
        <v>474.02359879487523</v>
      </c>
      <c r="F15" s="120">
        <f>F14*V15</f>
        <v>544.95471270664962</v>
      </c>
      <c r="G15" s="120">
        <f t="shared" ref="G15" si="2">G14*W15</f>
        <v>627.55418275783904</v>
      </c>
      <c r="H15" s="120">
        <f t="shared" ref="H15" si="3">H14*X15</f>
        <v>723.90545380576486</v>
      </c>
      <c r="I15" s="120">
        <f t="shared" ref="I15" si="4">I14*Y15</f>
        <v>836.49208593800995</v>
      </c>
      <c r="J15" s="120">
        <f t="shared" ref="J15" si="5">J14*Z15</f>
        <v>968.27982586379426</v>
      </c>
      <c r="K15" s="120">
        <f t="shared" ref="K15" si="6">K14*AA15</f>
        <v>1122.8165594390648</v>
      </c>
      <c r="L15" s="120">
        <f t="shared" ref="L15" si="7">L14*AB15</f>
        <v>1304.3542646138148</v>
      </c>
      <c r="M15" s="120">
        <f t="shared" ref="M15" si="8">M14*AC15</f>
        <v>1517.9980836745192</v>
      </c>
      <c r="N15" s="120">
        <f t="shared" ref="N15" si="9">N14*AD15</f>
        <v>1769.8888879076444</v>
      </c>
      <c r="O15" s="120">
        <f t="shared" ref="O15" si="10">O14*AE15</f>
        <v>2067.4272846630793</v>
      </c>
      <c r="P15" s="120">
        <f t="shared" ref="P15" si="11">P14*AF15</f>
        <v>2419.5490031050408</v>
      </c>
      <c r="Q15" s="120">
        <f t="shared" ref="Q15" si="12">Q14*AG15</f>
        <v>2837.0641019775921</v>
      </c>
      <c r="R15" s="131">
        <f t="shared" si="1"/>
        <v>0.16388400549294355</v>
      </c>
      <c r="S15" s="118" t="s">
        <v>60</v>
      </c>
      <c r="T15" s="136">
        <v>0.30000000000000004</v>
      </c>
      <c r="U15" s="136">
        <v>0.30357849790796487</v>
      </c>
      <c r="V15" s="136">
        <v>0.3071996813068541</v>
      </c>
      <c r="W15" s="136">
        <v>0.31086405936313422</v>
      </c>
      <c r="X15" s="136">
        <v>0.31457214731677569</v>
      </c>
      <c r="Y15" s="136">
        <v>0.31832446655369928</v>
      </c>
      <c r="Z15" s="136">
        <v>0.32212154467908749</v>
      </c>
      <c r="AA15" s="136">
        <v>0.32596391559156912</v>
      </c>
      <c r="AB15" s="136">
        <v>0.32985211955829069</v>
      </c>
      <c r="AC15" s="136">
        <v>0.33378670329088106</v>
      </c>
      <c r="AD15" s="136">
        <v>0.33776822002232409</v>
      </c>
      <c r="AE15" s="136">
        <v>0.34179722958474706</v>
      </c>
      <c r="AF15" s="136">
        <v>0.34587429848813767</v>
      </c>
      <c r="AG15" s="136">
        <v>0.3499999999999997</v>
      </c>
    </row>
    <row r="16" spans="1:33" s="117" customFormat="1" x14ac:dyDescent="0.35">
      <c r="A16" s="148"/>
      <c r="B16" s="113" t="s">
        <v>61</v>
      </c>
      <c r="C16" s="114"/>
      <c r="D16" s="115">
        <f>D14*T16</f>
        <v>275.34000000000003</v>
      </c>
      <c r="E16" s="115">
        <f t="shared" ref="E16:Q16" si="13">E14*U16</f>
        <v>313.46488486020269</v>
      </c>
      <c r="F16" s="115">
        <f t="shared" si="13"/>
        <v>357.46171913218012</v>
      </c>
      <c r="G16" s="115">
        <f t="shared" si="13"/>
        <v>408.31990213646833</v>
      </c>
      <c r="H16" s="115">
        <f t="shared" si="13"/>
        <v>467.20917373381383</v>
      </c>
      <c r="I16" s="115">
        <f t="shared" si="13"/>
        <v>535.51487972232167</v>
      </c>
      <c r="J16" s="115">
        <f t="shared" si="13"/>
        <v>614.88058818178274</v>
      </c>
      <c r="K16" s="115">
        <f t="shared" si="13"/>
        <v>707.25968166633641</v>
      </c>
      <c r="L16" s="115">
        <f t="shared" si="13"/>
        <v>814.97792940857551</v>
      </c>
      <c r="M16" s="115">
        <f t="shared" si="13"/>
        <v>940.80951609461488</v>
      </c>
      <c r="N16" s="115">
        <f t="shared" si="13"/>
        <v>1088.0695932884955</v>
      </c>
      <c r="O16" s="115">
        <f t="shared" si="13"/>
        <v>1260.7271566764334</v>
      </c>
      <c r="P16" s="115">
        <f t="shared" si="13"/>
        <v>1463.5429756974586</v>
      </c>
      <c r="Q16" s="115">
        <f t="shared" si="13"/>
        <v>1702.2384611865575</v>
      </c>
      <c r="R16" s="131">
        <f t="shared" si="1"/>
        <v>0.15448924916403783</v>
      </c>
      <c r="S16" s="113" t="s">
        <v>61</v>
      </c>
      <c r="T16" s="135">
        <v>0.2</v>
      </c>
      <c r="U16" s="135">
        <v>0.20075202824223254</v>
      </c>
      <c r="V16" s="135">
        <v>0.20150688421685059</v>
      </c>
      <c r="W16" s="135">
        <v>0.20226457855652732</v>
      </c>
      <c r="X16" s="135">
        <v>0.20302512193391614</v>
      </c>
      <c r="Y16" s="135">
        <v>0.20378852506180117</v>
      </c>
      <c r="Z16" s="135">
        <v>0.20455479869324805</v>
      </c>
      <c r="AA16" s="135">
        <v>0.20532395362175559</v>
      </c>
      <c r="AB16" s="135">
        <v>0.20609600068140757</v>
      </c>
      <c r="AC16" s="135">
        <v>0.20687095074702552</v>
      </c>
      <c r="AD16" s="135">
        <v>0.20764881473432178</v>
      </c>
      <c r="AE16" s="135">
        <v>0.20842960360005336</v>
      </c>
      <c r="AF16" s="135">
        <v>0.20921332834217618</v>
      </c>
      <c r="AG16" s="135">
        <v>0.2100000000000001</v>
      </c>
    </row>
    <row r="17" spans="1:33" s="117" customFormat="1" x14ac:dyDescent="0.35">
      <c r="A17" s="148"/>
      <c r="B17" s="113" t="s">
        <v>62</v>
      </c>
      <c r="C17" s="114"/>
      <c r="D17" s="115">
        <f>D14*T17</f>
        <v>137.6700000000001</v>
      </c>
      <c r="E17" s="115">
        <f t="shared" ref="E17:Q17" si="14">E14*U17</f>
        <v>158.35063907433528</v>
      </c>
      <c r="F17" s="115">
        <f t="shared" si="14"/>
        <v>182.44055385578193</v>
      </c>
      <c r="G17" s="115">
        <f t="shared" si="14"/>
        <v>210.54906150375345</v>
      </c>
      <c r="H17" s="115">
        <f t="shared" si="14"/>
        <v>243.40250413989395</v>
      </c>
      <c r="I17" s="115">
        <f t="shared" si="14"/>
        <v>281.86823880569887</v>
      </c>
      <c r="J17" s="115">
        <f t="shared" si="14"/>
        <v>326.98384838356577</v>
      </c>
      <c r="K17" s="115">
        <f t="shared" si="14"/>
        <v>379.99277440074036</v>
      </c>
      <c r="L17" s="115">
        <f t="shared" si="14"/>
        <v>442.38786350549123</v>
      </c>
      <c r="M17" s="115">
        <f t="shared" si="14"/>
        <v>515.96468422156454</v>
      </c>
      <c r="N17" s="115">
        <f t="shared" si="14"/>
        <v>602.88692902825346</v>
      </c>
      <c r="O17" s="115">
        <f t="shared" si="14"/>
        <v>705.76679402483035</v>
      </c>
      <c r="P17" s="115">
        <f t="shared" si="14"/>
        <v>827.763956616016</v>
      </c>
      <c r="Q17" s="115">
        <f t="shared" si="14"/>
        <v>972.70769210660444</v>
      </c>
      <c r="R17" s="131">
        <f t="shared" si="1"/>
        <v>0.1664088658038585</v>
      </c>
      <c r="S17" s="113" t="s">
        <v>62</v>
      </c>
      <c r="T17" s="135">
        <v>0.10000000000000007</v>
      </c>
      <c r="U17" s="135">
        <v>0.10141235431140461</v>
      </c>
      <c r="V17" s="135">
        <v>0.10284465606981855</v>
      </c>
      <c r="W17" s="135">
        <v>0.10429718700386978</v>
      </c>
      <c r="X17" s="135">
        <v>0.10577023282119258</v>
      </c>
      <c r="Y17" s="135">
        <v>0.1072640832646253</v>
      </c>
      <c r="Z17" s="135">
        <v>0.10877903216920175</v>
      </c>
      <c r="AA17" s="135">
        <v>0.11031537751994758</v>
      </c>
      <c r="AB17" s="135">
        <v>0.11187342151049273</v>
      </c>
      <c r="AC17" s="135">
        <v>0.11345347060251193</v>
      </c>
      <c r="AD17" s="135">
        <v>0.11505583558600457</v>
      </c>
      <c r="AE17" s="135">
        <v>0.11668083164042599</v>
      </c>
      <c r="AF17" s="135">
        <v>0.11832877839668221</v>
      </c>
      <c r="AG17" s="135">
        <v>0.12000000000000006</v>
      </c>
    </row>
    <row r="18" spans="1:33" s="117" customFormat="1" x14ac:dyDescent="0.35">
      <c r="A18" s="148"/>
      <c r="B18" s="113" t="s">
        <v>63</v>
      </c>
      <c r="C18" s="114"/>
      <c r="D18" s="115">
        <f>D14*T18</f>
        <v>96.369000000000014</v>
      </c>
      <c r="E18" s="115">
        <f>E14*U18</f>
        <v>109.8833417727303</v>
      </c>
      <c r="F18" s="115">
        <f t="shared" ref="F18:Q18" si="15">F14*V18</f>
        <v>125.50106710564522</v>
      </c>
      <c r="G18" s="115">
        <f t="shared" si="15"/>
        <v>143.5798002262047</v>
      </c>
      <c r="H18" s="115">
        <f t="shared" si="15"/>
        <v>164.54287261019155</v>
      </c>
      <c r="I18" s="115">
        <f t="shared" si="15"/>
        <v>188.8922645403911</v>
      </c>
      <c r="J18" s="115">
        <f t="shared" si="15"/>
        <v>217.22426200672123</v>
      </c>
      <c r="K18" s="115">
        <f t="shared" si="15"/>
        <v>250.24843279637923</v>
      </c>
      <c r="L18" s="115">
        <f t="shared" si="15"/>
        <v>288.81066735679917</v>
      </c>
      <c r="M18" s="115">
        <f t="shared" si="15"/>
        <v>333.92120673679665</v>
      </c>
      <c r="N18" s="115">
        <f t="shared" si="15"/>
        <v>386.78880067850508</v>
      </c>
      <c r="O18" s="115">
        <f t="shared" si="15"/>
        <v>448.86241525223545</v>
      </c>
      <c r="P18" s="115">
        <f t="shared" si="15"/>
        <v>521.88225594947949</v>
      </c>
      <c r="Q18" s="115">
        <f t="shared" si="15"/>
        <v>607.94230756662648</v>
      </c>
      <c r="R18" s="131">
        <f t="shared" si="1"/>
        <v>0.15628478308923188</v>
      </c>
      <c r="S18" s="113" t="s">
        <v>63</v>
      </c>
      <c r="T18" s="135">
        <v>7.0000000000000007E-2</v>
      </c>
      <c r="U18" s="135">
        <v>7.0372487625680713E-2</v>
      </c>
      <c r="V18" s="135">
        <v>7.0746957351808359E-2</v>
      </c>
      <c r="W18" s="135">
        <v>7.1123419725638515E-2</v>
      </c>
      <c r="X18" s="135">
        <v>7.1501885350551325E-2</v>
      </c>
      <c r="Y18" s="135">
        <v>7.1882364886350206E-2</v>
      </c>
      <c r="Z18" s="135">
        <v>7.2264869049562072E-2</v>
      </c>
      <c r="AA18" s="135">
        <v>7.2649408613739211E-2</v>
      </c>
      <c r="AB18" s="135">
        <v>7.3035994409762647E-2</v>
      </c>
      <c r="AC18" s="135">
        <v>7.3424637326147249E-2</v>
      </c>
      <c r="AD18" s="135">
        <v>7.3815348309348452E-2</v>
      </c>
      <c r="AE18" s="135">
        <v>7.4208138364070517E-2</v>
      </c>
      <c r="AF18" s="135">
        <v>7.4603018553576511E-2</v>
      </c>
      <c r="AG18" s="135">
        <v>7.4999999999999886E-2</v>
      </c>
    </row>
    <row r="19" spans="1:33" s="117" customFormat="1" x14ac:dyDescent="0.35">
      <c r="A19" s="148"/>
      <c r="B19" s="113" t="s">
        <v>64</v>
      </c>
      <c r="C19" s="114"/>
      <c r="D19" s="115">
        <f>D14*T19</f>
        <v>454.31099999999981</v>
      </c>
      <c r="E19" s="115">
        <f>E14*U19</f>
        <v>505.73067549785668</v>
      </c>
      <c r="F19" s="115">
        <f t="shared" ref="F19:Q19" si="16">F14*V19</f>
        <v>563.58490960245479</v>
      </c>
      <c r="G19" s="115">
        <f t="shared" si="16"/>
        <v>628.73857030601721</v>
      </c>
      <c r="H19" s="115">
        <f t="shared" si="16"/>
        <v>702.1782330447702</v>
      </c>
      <c r="I19" s="115">
        <f t="shared" si="16"/>
        <v>785.02955518775559</v>
      </c>
      <c r="J19" s="115">
        <f t="shared" si="16"/>
        <v>878.57703201066238</v>
      </c>
      <c r="K19" s="115">
        <f t="shared" si="16"/>
        <v>984.28640424767173</v>
      </c>
      <c r="L19" s="115">
        <f t="shared" si="16"/>
        <v>1103.8299939747062</v>
      </c>
      <c r="M19" s="115">
        <f t="shared" si="16"/>
        <v>1239.1152407414984</v>
      </c>
      <c r="N19" s="115">
        <f t="shared" si="16"/>
        <v>1392.3166873511393</v>
      </c>
      <c r="O19" s="115">
        <f t="shared" si="16"/>
        <v>1565.9116157985941</v>
      </c>
      <c r="P19" s="115">
        <f t="shared" si="16"/>
        <v>1762.7194465114592</v>
      </c>
      <c r="Q19" s="115">
        <f t="shared" si="16"/>
        <v>1985.944871384318</v>
      </c>
      <c r="R19" s="131">
        <f t="shared" si="1"/>
        <v>0.12245482089120235</v>
      </c>
      <c r="S19" s="113" t="s">
        <v>64</v>
      </c>
      <c r="T19" s="135">
        <f>1-SUM(T15:T18)</f>
        <v>0.32999999999999985</v>
      </c>
      <c r="U19" s="135">
        <f t="shared" ref="U19:AG19" si="17">1-SUM(U15:U18)</f>
        <v>0.32388463191271732</v>
      </c>
      <c r="V19" s="135">
        <f t="shared" si="17"/>
        <v>0.31770182105466849</v>
      </c>
      <c r="W19" s="135">
        <f t="shared" si="17"/>
        <v>0.31145075535083011</v>
      </c>
      <c r="X19" s="135">
        <f t="shared" si="17"/>
        <v>0.30513061257756424</v>
      </c>
      <c r="Y19" s="135">
        <f t="shared" si="17"/>
        <v>0.29874056023352391</v>
      </c>
      <c r="Z19" s="135">
        <f t="shared" si="17"/>
        <v>0.29227975540890061</v>
      </c>
      <c r="AA19" s="135">
        <f t="shared" si="17"/>
        <v>0.28574734465298846</v>
      </c>
      <c r="AB19" s="135">
        <f t="shared" si="17"/>
        <v>0.27914246384004637</v>
      </c>
      <c r="AC19" s="135">
        <f t="shared" si="17"/>
        <v>0.27246423803343423</v>
      </c>
      <c r="AD19" s="135">
        <f t="shared" si="17"/>
        <v>0.26571178134800122</v>
      </c>
      <c r="AE19" s="135">
        <f t="shared" si="17"/>
        <v>0.25888419681070318</v>
      </c>
      <c r="AF19" s="135">
        <f t="shared" si="17"/>
        <v>0.25198057621942738</v>
      </c>
      <c r="AG19" s="135">
        <f t="shared" si="17"/>
        <v>0.24500000000000022</v>
      </c>
    </row>
    <row r="20" spans="1:33" x14ac:dyDescent="0.35">
      <c r="A20" s="1"/>
      <c r="D20" s="81" t="b">
        <f>D14=SUM(D15:D19)</f>
        <v>1</v>
      </c>
      <c r="E20" s="81" t="b">
        <f>E14=SUM(E15:E19)</f>
        <v>1</v>
      </c>
      <c r="F20" s="81" t="b">
        <f t="shared" ref="F20:Q20" si="18">F14=SUM(F15:F19)</f>
        <v>1</v>
      </c>
      <c r="G20" s="81" t="b">
        <f t="shared" si="18"/>
        <v>1</v>
      </c>
      <c r="H20" s="81" t="b">
        <f t="shared" si="18"/>
        <v>1</v>
      </c>
      <c r="I20" s="81" t="b">
        <f t="shared" si="18"/>
        <v>1</v>
      </c>
      <c r="J20" s="81" t="b">
        <f t="shared" si="18"/>
        <v>1</v>
      </c>
      <c r="K20" s="81" t="b">
        <f t="shared" si="18"/>
        <v>1</v>
      </c>
      <c r="L20" s="81" t="b">
        <f t="shared" si="18"/>
        <v>1</v>
      </c>
      <c r="M20" s="81" t="b">
        <f t="shared" si="18"/>
        <v>1</v>
      </c>
      <c r="N20" s="81" t="b">
        <f t="shared" si="18"/>
        <v>1</v>
      </c>
      <c r="O20" s="81" t="b">
        <f t="shared" si="18"/>
        <v>1</v>
      </c>
      <c r="P20" s="81" t="b">
        <f t="shared" si="18"/>
        <v>1</v>
      </c>
      <c r="Q20" s="81" t="b">
        <f t="shared" si="18"/>
        <v>1</v>
      </c>
      <c r="R20" s="21"/>
      <c r="T20" s="12"/>
    </row>
    <row r="21" spans="1:33" s="117" customFormat="1" x14ac:dyDescent="0.35">
      <c r="A21" s="149" t="s">
        <v>65</v>
      </c>
      <c r="B21" s="122" t="s">
        <v>66</v>
      </c>
      <c r="C21" s="123"/>
      <c r="D21" s="124">
        <f>D14*T21</f>
        <v>963.68999999999994</v>
      </c>
      <c r="E21" s="124">
        <f t="shared" ref="E21" si="19">E14*U21</f>
        <v>1093.1373097799999</v>
      </c>
      <c r="F21" s="124">
        <f t="shared" ref="F21" si="20">F14*V21</f>
        <v>1242.0329879838062</v>
      </c>
      <c r="G21" s="124">
        <f t="shared" ref="G21" si="21">G14*W21</f>
        <v>1413.5849252781818</v>
      </c>
      <c r="H21" s="124">
        <f t="shared" ref="H21" si="22">H14*X21</f>
        <v>1611.5748394378993</v>
      </c>
      <c r="I21" s="124">
        <f t="shared" ref="I21" si="23">I14*Y21</f>
        <v>1840.4686080990759</v>
      </c>
      <c r="J21" s="124">
        <f t="shared" ref="J21" si="24">J14*Z21</f>
        <v>2105.5492490001589</v>
      </c>
      <c r="K21" s="124">
        <f t="shared" ref="K21" si="25">K14*AA21</f>
        <v>2413.0774834749691</v>
      </c>
      <c r="L21" s="124">
        <f t="shared" ref="L21" si="26">L14*AB21</f>
        <v>2770.4859559516376</v>
      </c>
      <c r="M21" s="124">
        <f t="shared" ref="M21" si="27">M14*AC21</f>
        <v>3186.6145949962352</v>
      </c>
      <c r="N21" s="124">
        <f t="shared" ref="N21" si="28">N14*AD21</f>
        <v>3671.9963602380212</v>
      </c>
      <c r="O21" s="124">
        <f t="shared" ref="O21" si="29">O14*AE21</f>
        <v>4239.2048132545096</v>
      </c>
      <c r="P21" s="124">
        <f t="shared" ref="P21" si="30">P14*AF21</f>
        <v>4903.2776920275064</v>
      </c>
      <c r="Q21" s="124">
        <f t="shared" ref="Q21" si="31">Q14*AG21</f>
        <v>5682.2341013894102</v>
      </c>
      <c r="R21" s="131">
        <f>RATE(9,,-H21,Q21)</f>
        <v>0.15029074904097287</v>
      </c>
      <c r="S21" s="122" t="s">
        <v>66</v>
      </c>
      <c r="T21" s="135">
        <v>0.7</v>
      </c>
      <c r="U21" s="135">
        <v>0.70007692307692304</v>
      </c>
      <c r="V21" s="135">
        <v>0.70015384615384613</v>
      </c>
      <c r="W21" s="135">
        <v>0.70023076923076921</v>
      </c>
      <c r="X21" s="135">
        <v>0.7003076923076923</v>
      </c>
      <c r="Y21" s="135">
        <v>0.70038461538461538</v>
      </c>
      <c r="Z21" s="135">
        <v>0.70046153846153836</v>
      </c>
      <c r="AA21" s="135">
        <v>0.70053846153846144</v>
      </c>
      <c r="AB21" s="135">
        <v>0.70061538461538453</v>
      </c>
      <c r="AC21" s="135">
        <v>0.70069230769230761</v>
      </c>
      <c r="AD21" s="135">
        <v>0.7007692307692307</v>
      </c>
      <c r="AE21" s="135">
        <v>0.70084615384615379</v>
      </c>
      <c r="AF21" s="135">
        <v>0.70092307692307687</v>
      </c>
      <c r="AG21" s="135">
        <v>0.70099999999999996</v>
      </c>
    </row>
    <row r="22" spans="1:33" s="117" customFormat="1" x14ac:dyDescent="0.35">
      <c r="A22" s="149"/>
      <c r="B22" s="122" t="s">
        <v>67</v>
      </c>
      <c r="C22" s="123"/>
      <c r="D22" s="124">
        <f>D14*T22</f>
        <v>275.34000000000003</v>
      </c>
      <c r="E22" s="124">
        <f t="shared" ref="E22" si="32">E14*U22</f>
        <v>312.41073978000003</v>
      </c>
      <c r="F22" s="124">
        <f t="shared" ref="F22" si="33">F14*V22</f>
        <v>355.06150678245041</v>
      </c>
      <c r="G22" s="124">
        <f t="shared" ref="G22" si="34">G14*W22</f>
        <v>404.21416681304049</v>
      </c>
      <c r="H22" s="124">
        <f t="shared" ref="H22" si="35">H14*X22</f>
        <v>460.95572077068209</v>
      </c>
      <c r="I22" s="124">
        <f t="shared" ref="I22" si="36">I14*Y22</f>
        <v>526.57009600198717</v>
      </c>
      <c r="J22" s="124">
        <f t="shared" ref="J22" si="37">J14*Z22</f>
        <v>602.57647077689603</v>
      </c>
      <c r="K22" s="124">
        <f t="shared" ref="K22" si="38">K14*AA22</f>
        <v>690.77555719987333</v>
      </c>
      <c r="L22" s="124">
        <f t="shared" ref="L22" si="39">L14*AB22</f>
        <v>793.30559652194472</v>
      </c>
      <c r="M22" s="124">
        <f t="shared" ref="M22" si="40">M14*AC22</f>
        <v>912.71022926173885</v>
      </c>
      <c r="N22" s="124">
        <f t="shared" ref="N22" si="41">N14*AD22</f>
        <v>1052.020911111003</v>
      </c>
      <c r="O22" s="124">
        <f t="shared" ref="O22" si="42">O14*AE22</f>
        <v>1214.8571800469242</v>
      </c>
      <c r="P22" s="124">
        <f t="shared" ref="P22" si="43">P14*AF22</f>
        <v>1405.5488730877796</v>
      </c>
      <c r="Q22" s="124">
        <f t="shared" ref="Q22" si="44">Q14*AG22</f>
        <v>1629.2853842785617</v>
      </c>
      <c r="R22" s="131">
        <f>RATE(9,,-H22,Q22)</f>
        <v>0.15060548276243321</v>
      </c>
      <c r="S22" s="122" t="s">
        <v>67</v>
      </c>
      <c r="T22" s="135">
        <v>0.2</v>
      </c>
      <c r="U22" s="135">
        <v>0.20007692307692307</v>
      </c>
      <c r="V22" s="135">
        <v>0.20015384615384615</v>
      </c>
      <c r="W22" s="135">
        <v>0.20023076923076924</v>
      </c>
      <c r="X22" s="135">
        <v>0.2003076923076923</v>
      </c>
      <c r="Y22" s="135">
        <v>0.20038461538461538</v>
      </c>
      <c r="Z22" s="135">
        <v>0.20046153846153847</v>
      </c>
      <c r="AA22" s="135">
        <v>0.20053846153846155</v>
      </c>
      <c r="AB22" s="135">
        <v>0.20061538461538461</v>
      </c>
      <c r="AC22" s="135">
        <v>0.2006923076923077</v>
      </c>
      <c r="AD22" s="135">
        <v>0.20076923076923078</v>
      </c>
      <c r="AE22" s="135">
        <v>0.20084615384615384</v>
      </c>
      <c r="AF22" s="135">
        <v>0.20092307692307693</v>
      </c>
      <c r="AG22" s="135">
        <v>0.20100000000000001</v>
      </c>
    </row>
    <row r="23" spans="1:33" s="117" customFormat="1" x14ac:dyDescent="0.35">
      <c r="A23" s="149"/>
      <c r="B23" s="122" t="s">
        <v>68</v>
      </c>
      <c r="C23" s="123"/>
      <c r="D23" s="124">
        <f>D14*T23</f>
        <v>137.67000000000013</v>
      </c>
      <c r="E23" s="124">
        <f t="shared" ref="E23" si="45">E14*U23</f>
        <v>155.90509044000012</v>
      </c>
      <c r="F23" s="124">
        <f t="shared" ref="F23" si="46">F14*V23</f>
        <v>176.84846763645504</v>
      </c>
      <c r="G23" s="124">
        <f t="shared" ref="G23" si="47">G14*W23</f>
        <v>200.94242483906055</v>
      </c>
      <c r="H23" s="124">
        <f t="shared" ref="H23" si="48">H14*X23</f>
        <v>228.70767712585305</v>
      </c>
      <c r="I23" s="124">
        <f t="shared" ref="I23" si="49">I14*Y23</f>
        <v>260.75832009311455</v>
      </c>
      <c r="J23" s="124">
        <f t="shared" ref="J23" si="50">J14*Z23</f>
        <v>297.81983666947156</v>
      </c>
      <c r="K23" s="124">
        <f t="shared" ref="K23" si="51">K14*AA23</f>
        <v>340.75081187535011</v>
      </c>
      <c r="L23" s="124">
        <f t="shared" ref="L23" si="52">L14*AB23</f>
        <v>390.56916638580429</v>
      </c>
      <c r="M23" s="124">
        <f>M14*AC23</f>
        <v>448.48390721101941</v>
      </c>
      <c r="N23" s="124">
        <f t="shared" ref="N23" si="53">N14*AD23</f>
        <v>515.93362690501306</v>
      </c>
      <c r="O23" s="124">
        <f t="shared" ref="O23" si="54">O14*AE23</f>
        <v>594.63327311373848</v>
      </c>
      <c r="P23" s="124">
        <f t="shared" ref="P23" si="55">P14*AF23</f>
        <v>686.63107276416872</v>
      </c>
      <c r="Q23" s="124">
        <f t="shared" ref="Q23" si="56">Q14*AG23</f>
        <v>794.37794855372715</v>
      </c>
      <c r="R23" s="131">
        <f>RATE(9,,-H23,Q23)</f>
        <v>0.14837290590608557</v>
      </c>
      <c r="S23" s="122" t="s">
        <v>68</v>
      </c>
      <c r="T23" s="135">
        <f>1-SUM(T21:T22)</f>
        <v>0.10000000000000009</v>
      </c>
      <c r="U23" s="135">
        <f t="shared" ref="U23:AG23" si="57">1-SUM(U21:U22)</f>
        <v>9.9846153846153918E-2</v>
      </c>
      <c r="V23" s="135">
        <f t="shared" si="57"/>
        <v>9.9692307692307747E-2</v>
      </c>
      <c r="W23" s="135">
        <f t="shared" si="57"/>
        <v>9.9538461538461576E-2</v>
      </c>
      <c r="X23" s="135">
        <f t="shared" si="57"/>
        <v>9.9384615384615405E-2</v>
      </c>
      <c r="Y23" s="135">
        <f t="shared" si="57"/>
        <v>9.9230769230769234E-2</v>
      </c>
      <c r="Z23" s="135">
        <f t="shared" si="57"/>
        <v>9.9076923076923173E-2</v>
      </c>
      <c r="AA23" s="135">
        <f t="shared" si="57"/>
        <v>9.8923076923077002E-2</v>
      </c>
      <c r="AB23" s="135">
        <f t="shared" si="57"/>
        <v>9.8769230769230831E-2</v>
      </c>
      <c r="AC23" s="135">
        <f t="shared" si="57"/>
        <v>9.861538461538466E-2</v>
      </c>
      <c r="AD23" s="135">
        <f t="shared" si="57"/>
        <v>9.8461538461538489E-2</v>
      </c>
      <c r="AE23" s="135">
        <f t="shared" si="57"/>
        <v>9.8307692307692429E-2</v>
      </c>
      <c r="AF23" s="135">
        <f t="shared" si="57"/>
        <v>9.8153846153846258E-2</v>
      </c>
      <c r="AG23" s="135">
        <f t="shared" si="57"/>
        <v>9.8000000000000087E-2</v>
      </c>
    </row>
    <row r="24" spans="1:33" ht="15" thickBot="1" x14ac:dyDescent="0.4">
      <c r="A24" s="1"/>
      <c r="D24" s="81" t="b">
        <f>D14=SUM(D21:D23)</f>
        <v>1</v>
      </c>
      <c r="E24" s="81" t="b">
        <f t="shared" ref="E24:Q24" si="58">E14=SUM(E21:E23)</f>
        <v>1</v>
      </c>
      <c r="F24" s="81" t="b">
        <f t="shared" si="58"/>
        <v>1</v>
      </c>
      <c r="G24" s="81" t="b">
        <f t="shared" si="58"/>
        <v>1</v>
      </c>
      <c r="H24" s="81" t="b">
        <f t="shared" si="58"/>
        <v>1</v>
      </c>
      <c r="I24" s="81" t="b">
        <f t="shared" si="58"/>
        <v>1</v>
      </c>
      <c r="J24" s="81" t="b">
        <f t="shared" si="58"/>
        <v>1</v>
      </c>
      <c r="K24" s="81" t="b">
        <f t="shared" si="58"/>
        <v>1</v>
      </c>
      <c r="L24" s="81" t="b">
        <f t="shared" si="58"/>
        <v>1</v>
      </c>
      <c r="M24" s="81" t="b">
        <f t="shared" si="58"/>
        <v>1</v>
      </c>
      <c r="N24" s="81" t="b">
        <f t="shared" si="58"/>
        <v>1</v>
      </c>
      <c r="O24" s="81" t="b">
        <f t="shared" si="58"/>
        <v>1</v>
      </c>
      <c r="P24" s="81" t="b">
        <f t="shared" si="58"/>
        <v>1</v>
      </c>
      <c r="Q24" s="81" t="b">
        <f t="shared" si="58"/>
        <v>1</v>
      </c>
      <c r="R24" s="21"/>
    </row>
    <row r="25" spans="1:33" s="117" customFormat="1" x14ac:dyDescent="0.35">
      <c r="A25" s="149" t="s">
        <v>69</v>
      </c>
      <c r="B25" s="125" t="s">
        <v>70</v>
      </c>
      <c r="C25" s="126"/>
      <c r="D25" s="127">
        <f>D14*T25</f>
        <v>413.00999999999993</v>
      </c>
      <c r="E25" s="127">
        <f t="shared" ref="E25" si="59">E14*U25</f>
        <v>472.21153654214709</v>
      </c>
      <c r="F25" s="127">
        <f t="shared" ref="F25" si="60">F14*V25</f>
        <v>540.79625134935918</v>
      </c>
      <c r="G25" s="127">
        <f t="shared" ref="G25" si="61">G14*W25</f>
        <v>620.38475674427355</v>
      </c>
      <c r="H25" s="127">
        <f t="shared" ref="H25" si="62">H14*X25</f>
        <v>712.89959550504204</v>
      </c>
      <c r="I25" s="127">
        <f t="shared" ref="I25" si="63">I14*Y25</f>
        <v>820.62545858515455</v>
      </c>
      <c r="J25" s="127">
        <f t="shared" ref="J25" si="64">J14*Z25</f>
        <v>946.28218285258606</v>
      </c>
      <c r="K25" s="127">
        <f t="shared" ref="K25" si="65">K14*AA25</f>
        <v>1093.113401064526</v>
      </c>
      <c r="L25" s="127">
        <f t="shared" ref="L25" si="66">L14*AB25</f>
        <v>1264.9943971001271</v>
      </c>
      <c r="M25" s="127">
        <f t="shared" ref="M25" si="67">M14*AC25</f>
        <v>1466.5635698929168</v>
      </c>
      <c r="N25" s="127">
        <f t="shared" ref="N25" si="68">N14*AD25</f>
        <v>1703.3829738199977</v>
      </c>
      <c r="O25" s="127">
        <f t="shared" ref="O25" si="69">O14*AE25</f>
        <v>1982.134737885126</v>
      </c>
      <c r="P25" s="127">
        <f t="shared" ref="P25" si="70">P14*AF25</f>
        <v>2310.8618427698002</v>
      </c>
      <c r="Q25" s="127">
        <f t="shared" ref="Q25" si="71">Q14*AG25</f>
        <v>2699.2638455958245</v>
      </c>
      <c r="R25" s="131">
        <f>RATE(9,,-H25,Q25)</f>
        <v>0.15943479604797678</v>
      </c>
      <c r="S25" s="125" t="s">
        <v>70</v>
      </c>
      <c r="T25" s="136">
        <v>0.29999999999999993</v>
      </c>
      <c r="U25" s="136">
        <v>0.30241800054412588</v>
      </c>
      <c r="V25" s="136">
        <v>0.30485549017702313</v>
      </c>
      <c r="W25" s="136">
        <v>0.30731262598078252</v>
      </c>
      <c r="X25" s="136">
        <v>0.30978956630357685</v>
      </c>
      <c r="Y25" s="136">
        <v>0.31228647076986549</v>
      </c>
      <c r="Z25" s="136">
        <v>0.31480350029068122</v>
      </c>
      <c r="AA25" s="136">
        <v>0.31734081707399991</v>
      </c>
      <c r="AB25" s="136">
        <v>0.31989858463519422</v>
      </c>
      <c r="AC25" s="136">
        <v>0.32247696780757096</v>
      </c>
      <c r="AD25" s="136">
        <v>0.32507613275299363</v>
      </c>
      <c r="AE25" s="136">
        <v>0.32769624697259059</v>
      </c>
      <c r="AF25" s="136">
        <v>0.33033747931754981</v>
      </c>
      <c r="AG25" s="136">
        <v>0.33299999999999985</v>
      </c>
    </row>
    <row r="26" spans="1:33" s="117" customFormat="1" x14ac:dyDescent="0.35">
      <c r="A26" s="149"/>
      <c r="B26" s="125" t="s">
        <v>71</v>
      </c>
      <c r="C26" s="126"/>
      <c r="D26" s="127">
        <f>D14*T26</f>
        <v>275.34000000000009</v>
      </c>
      <c r="E26" s="127">
        <f t="shared" ref="E26" si="72">E14*U26</f>
        <v>314.58861668841928</v>
      </c>
      <c r="F26" s="127">
        <f t="shared" ref="F26" si="73">F14*V26</f>
        <v>360.02922277561612</v>
      </c>
      <c r="G26" s="127">
        <f t="shared" ref="G26" si="74">G14*W26</f>
        <v>412.72698837030561</v>
      </c>
      <c r="H26" s="127">
        <f t="shared" ref="H26" si="75">H14*X26</f>
        <v>473.94482778683039</v>
      </c>
      <c r="I26" s="127">
        <f t="shared" ref="I26" si="76">I14*Y26</f>
        <v>545.18271197197305</v>
      </c>
      <c r="J26" s="127">
        <f t="shared" ref="J26" si="77">J14*Z26</f>
        <v>628.22529984357845</v>
      </c>
      <c r="K26" s="127">
        <f t="shared" ref="K26" si="78">K14*AA26</f>
        <v>725.19975311767598</v>
      </c>
      <c r="L26" s="127">
        <f t="shared" ref="L26" si="79">L14*AB26</f>
        <v>838.64604005693946</v>
      </c>
      <c r="M26" s="127">
        <f t="shared" ref="M26" si="80">M14*AC26</f>
        <v>971.60258400471457</v>
      </c>
      <c r="N26" s="127">
        <f t="shared" ref="N26" si="81">N14*AD26</f>
        <v>1127.7108011206453</v>
      </c>
      <c r="O26" s="127">
        <f t="shared" ref="O26" si="82">O14*AE26</f>
        <v>1311.3429347249935</v>
      </c>
      <c r="P26" s="127">
        <f t="shared" ref="P26" si="83">P14*AF26</f>
        <v>1527.7586773897483</v>
      </c>
      <c r="Q26" s="127">
        <f t="shared" ref="Q26" si="84">Q14*AG26</f>
        <v>1783.2974355287743</v>
      </c>
      <c r="R26" s="131">
        <f>RATE(9,,-H26,Q26)</f>
        <v>0.15862794659803189</v>
      </c>
      <c r="S26" s="125" t="s">
        <v>71</v>
      </c>
      <c r="T26" s="135">
        <v>0.20000000000000004</v>
      </c>
      <c r="U26" s="135">
        <v>0.20147169878464574</v>
      </c>
      <c r="V26" s="135">
        <v>0.20295422705585509</v>
      </c>
      <c r="W26" s="135">
        <v>0.20444766450233912</v>
      </c>
      <c r="X26" s="135">
        <v>0.20595209139919785</v>
      </c>
      <c r="Y26" s="135">
        <v>0.20746758861223505</v>
      </c>
      <c r="Z26" s="135">
        <v>0.20899423760230507</v>
      </c>
      <c r="AA26" s="135">
        <v>0.21053212042969136</v>
      </c>
      <c r="AB26" s="135">
        <v>0.21208131975851768</v>
      </c>
      <c r="AC26" s="135">
        <v>0.21364191886119097</v>
      </c>
      <c r="AD26" s="135">
        <v>0.21521400162287799</v>
      </c>
      <c r="AE26" s="135">
        <v>0.21679765254601358</v>
      </c>
      <c r="AF26" s="135">
        <v>0.21839295675484363</v>
      </c>
      <c r="AG26" s="135">
        <v>0.22000000000000006</v>
      </c>
    </row>
    <row r="27" spans="1:33" s="117" customFormat="1" x14ac:dyDescent="0.35">
      <c r="A27" s="149"/>
      <c r="B27" s="125" t="s">
        <v>72</v>
      </c>
      <c r="C27" s="126"/>
      <c r="D27" s="127">
        <f>D14*T27</f>
        <v>206.505</v>
      </c>
      <c r="E27" s="127">
        <f t="shared" ref="E27" si="85">E14*U27</f>
        <v>235.9414625163144</v>
      </c>
      <c r="F27" s="127">
        <f t="shared" ref="F27" si="86">F14*V27</f>
        <v>270.02191708171205</v>
      </c>
      <c r="G27" s="127">
        <f t="shared" ref="G27" si="87">G14*W27</f>
        <v>309.54524127772919</v>
      </c>
      <c r="H27" s="127">
        <f t="shared" ref="H27" si="88">H14*X27</f>
        <v>355.45862084012276</v>
      </c>
      <c r="I27" s="127">
        <f t="shared" ref="I27" si="89">I14*Y27</f>
        <v>408.88703397897979</v>
      </c>
      <c r="J27" s="127">
        <f t="shared" ref="J27" si="90">J14*Z27</f>
        <v>471.16897488268376</v>
      </c>
      <c r="K27" s="127">
        <f t="shared" ref="K27" si="91">K14*AA27</f>
        <v>543.89981483825693</v>
      </c>
      <c r="L27" s="127">
        <f t="shared" ref="L27" si="92">L14*AB27</f>
        <v>628.98453004270448</v>
      </c>
      <c r="M27" s="127">
        <f t="shared" ref="M27" si="93">M14*AC27</f>
        <v>728.70193800353593</v>
      </c>
      <c r="N27" s="127">
        <f t="shared" ref="N27" si="94">N14*AD27</f>
        <v>845.78310084048383</v>
      </c>
      <c r="O27" s="127">
        <f t="shared" ref="O27" si="95">O14*AE27</f>
        <v>983.507201043745</v>
      </c>
      <c r="P27" s="127">
        <f t="shared" ref="P27" si="96">P14*AF27</f>
        <v>1145.819008042311</v>
      </c>
      <c r="Q27" s="127">
        <f t="shared" ref="Q27" si="97">Q14*AG27</f>
        <v>1337.4730766465805</v>
      </c>
      <c r="R27" s="131">
        <f>RATE(9,,-H27,Q27)</f>
        <v>0.15862794659803192</v>
      </c>
      <c r="S27" s="125" t="s">
        <v>72</v>
      </c>
      <c r="T27" s="135">
        <v>0.15</v>
      </c>
      <c r="U27" s="135">
        <v>0.15110377408848427</v>
      </c>
      <c r="V27" s="135">
        <v>0.15221567029189129</v>
      </c>
      <c r="W27" s="135">
        <v>0.15333574837675432</v>
      </c>
      <c r="X27" s="135">
        <v>0.15446406854939837</v>
      </c>
      <c r="Y27" s="135">
        <v>0.15560069145917627</v>
      </c>
      <c r="Z27" s="135">
        <v>0.15674567820172877</v>
      </c>
      <c r="AA27" s="135">
        <v>0.15789909032226851</v>
      </c>
      <c r="AB27" s="135">
        <v>0.15906098981888822</v>
      </c>
      <c r="AC27" s="135">
        <v>0.16023143914589322</v>
      </c>
      <c r="AD27" s="135">
        <v>0.16141050121715844</v>
      </c>
      <c r="AE27" s="135">
        <v>0.16259823940951015</v>
      </c>
      <c r="AF27" s="135">
        <v>0.1637947175661327</v>
      </c>
      <c r="AG27" s="135">
        <v>0.16500000000000001</v>
      </c>
    </row>
    <row r="28" spans="1:33" s="117" customFormat="1" x14ac:dyDescent="0.35">
      <c r="A28" s="149"/>
      <c r="B28" s="125" t="s">
        <v>73</v>
      </c>
      <c r="C28" s="126"/>
      <c r="D28" s="127">
        <f>D14*T28</f>
        <v>96.369000000000014</v>
      </c>
      <c r="E28" s="127">
        <f t="shared" ref="E28" si="98">E14*U28</f>
        <v>109.8833417727303</v>
      </c>
      <c r="F28" s="127">
        <f t="shared" ref="F28" si="99">F14*V28</f>
        <v>125.50106710564522</v>
      </c>
      <c r="G28" s="127">
        <f t="shared" ref="G28" si="100">G14*W28</f>
        <v>143.5798002262047</v>
      </c>
      <c r="H28" s="127">
        <f t="shared" ref="H28" si="101">H14*X28</f>
        <v>164.54287261019155</v>
      </c>
      <c r="I28" s="127">
        <f t="shared" ref="I28" si="102">I14*Y28</f>
        <v>188.8922645403911</v>
      </c>
      <c r="J28" s="127">
        <f t="shared" ref="J28" si="103">J14*Z28</f>
        <v>217.22426200672123</v>
      </c>
      <c r="K28" s="127">
        <f t="shared" ref="K28" si="104">K14*AA28</f>
        <v>250.24843279637923</v>
      </c>
      <c r="L28" s="127">
        <f t="shared" ref="L28" si="105">L14*AB28</f>
        <v>288.81066735679917</v>
      </c>
      <c r="M28" s="127">
        <f t="shared" ref="M28" si="106">M14*AC28</f>
        <v>333.92120673679665</v>
      </c>
      <c r="N28" s="127">
        <f t="shared" ref="N28" si="107">N14*AD28</f>
        <v>386.78880067850508</v>
      </c>
      <c r="O28" s="127">
        <f t="shared" ref="O28" si="108">O14*AE28</f>
        <v>448.86241525223545</v>
      </c>
      <c r="P28" s="127">
        <f t="shared" ref="P28" si="109">P14*AF28</f>
        <v>521.88225594947949</v>
      </c>
      <c r="Q28" s="127">
        <f t="shared" ref="Q28" si="110">Q14*AG28</f>
        <v>607.94230756662648</v>
      </c>
      <c r="R28" s="131">
        <f>RATE(9,,-H28,Q28)</f>
        <v>0.15628478308923188</v>
      </c>
      <c r="S28" s="125" t="s">
        <v>73</v>
      </c>
      <c r="T28" s="135">
        <v>7.0000000000000007E-2</v>
      </c>
      <c r="U28" s="135">
        <v>7.0372487625680713E-2</v>
      </c>
      <c r="V28" s="135">
        <v>7.0746957351808359E-2</v>
      </c>
      <c r="W28" s="135">
        <v>7.1123419725638515E-2</v>
      </c>
      <c r="X28" s="135">
        <v>7.1501885350551325E-2</v>
      </c>
      <c r="Y28" s="135">
        <v>7.1882364886350206E-2</v>
      </c>
      <c r="Z28" s="135">
        <v>7.2264869049562072E-2</v>
      </c>
      <c r="AA28" s="135">
        <v>7.2649408613739211E-2</v>
      </c>
      <c r="AB28" s="135">
        <v>7.3035994409762647E-2</v>
      </c>
      <c r="AC28" s="135">
        <v>7.3424637326147249E-2</v>
      </c>
      <c r="AD28" s="135">
        <v>7.3815348309348452E-2</v>
      </c>
      <c r="AE28" s="135">
        <v>7.4208138364070517E-2</v>
      </c>
      <c r="AF28" s="135">
        <v>7.4603018553576511E-2</v>
      </c>
      <c r="AG28" s="135">
        <v>7.4999999999999886E-2</v>
      </c>
    </row>
    <row r="29" spans="1:33" s="117" customFormat="1" x14ac:dyDescent="0.35">
      <c r="A29" s="149"/>
      <c r="B29" s="125" t="s">
        <v>74</v>
      </c>
      <c r="C29" s="126"/>
      <c r="D29" s="127">
        <f>D14*T29</f>
        <v>385.47600000000006</v>
      </c>
      <c r="E29" s="127">
        <f t="shared" ref="E29" si="111">E14*U29</f>
        <v>428.82818248038899</v>
      </c>
      <c r="F29" s="127">
        <f t="shared" ref="F29" si="112">F14*V29</f>
        <v>477.59450409037908</v>
      </c>
      <c r="G29" s="127">
        <f t="shared" ref="G29" si="113">G14*W29</f>
        <v>532.50473031176966</v>
      </c>
      <c r="H29" s="127">
        <f t="shared" ref="H29" si="114">H14*X29</f>
        <v>594.39232059224776</v>
      </c>
      <c r="I29" s="127">
        <f t="shared" ref="I29" si="115">I14*Y29</f>
        <v>664.20955511767909</v>
      </c>
      <c r="J29" s="127">
        <f t="shared" ref="J29" si="116">J14*Z29</f>
        <v>743.04483686095671</v>
      </c>
      <c r="K29" s="127">
        <f t="shared" ref="K29" si="117">K14*AA29</f>
        <v>832.14245073335417</v>
      </c>
      <c r="L29" s="127">
        <f t="shared" ref="L29" si="118">L14*AB29</f>
        <v>932.92508430281714</v>
      </c>
      <c r="M29" s="127">
        <f t="shared" ref="M29" si="119">M14*AC29</f>
        <v>1047.0194328310297</v>
      </c>
      <c r="N29" s="127">
        <f t="shared" ref="N29" si="120">N14*AD29</f>
        <v>1176.285221794406</v>
      </c>
      <c r="O29" s="127">
        <f t="shared" ref="O29" si="121">O14*AE29</f>
        <v>1322.8479775090727</v>
      </c>
      <c r="P29" s="127">
        <f t="shared" ref="P29" si="122">P14*AF29</f>
        <v>1489.1358537281149</v>
      </c>
      <c r="Q29" s="127">
        <f t="shared" ref="Q29" si="123">Q14*AG29</f>
        <v>1677.9207688838931</v>
      </c>
      <c r="R29" s="131">
        <f>RATE(9,,-H29,Q29)</f>
        <v>0.12221891491339885</v>
      </c>
      <c r="S29" s="125" t="s">
        <v>74</v>
      </c>
      <c r="T29" s="135">
        <f>1-SUM(T25:T28)</f>
        <v>0.28000000000000003</v>
      </c>
      <c r="U29" s="135">
        <f t="shared" ref="U29:AG29" si="124">1-SUM(U25:U28)</f>
        <v>0.2746340389570634</v>
      </c>
      <c r="V29" s="135">
        <f t="shared" si="124"/>
        <v>0.26922765512342217</v>
      </c>
      <c r="W29" s="135">
        <f t="shared" si="124"/>
        <v>0.26378054141448548</v>
      </c>
      <c r="X29" s="135">
        <f t="shared" si="124"/>
        <v>0.25829238839727564</v>
      </c>
      <c r="Y29" s="135">
        <f t="shared" si="124"/>
        <v>0.25276288427237303</v>
      </c>
      <c r="Z29" s="135">
        <f t="shared" si="124"/>
        <v>0.24719171485572278</v>
      </c>
      <c r="AA29" s="135">
        <f t="shared" si="124"/>
        <v>0.24157856356030094</v>
      </c>
      <c r="AB29" s="135">
        <f t="shared" si="124"/>
        <v>0.23592311137763733</v>
      </c>
      <c r="AC29" s="135">
        <f t="shared" si="124"/>
        <v>0.2302250368591976</v>
      </c>
      <c r="AD29" s="135">
        <f t="shared" si="124"/>
        <v>0.22448401609762159</v>
      </c>
      <c r="AE29" s="135">
        <f t="shared" si="124"/>
        <v>0.21869972270781524</v>
      </c>
      <c r="AF29" s="135">
        <f t="shared" si="124"/>
        <v>0.21287182780789726</v>
      </c>
      <c r="AG29" s="135">
        <f t="shared" si="124"/>
        <v>0.20700000000000018</v>
      </c>
    </row>
    <row r="30" spans="1:33" ht="15" thickBot="1" x14ac:dyDescent="0.4">
      <c r="A30" s="2"/>
      <c r="D30" s="81" t="b">
        <f>D14=SUM(D25:D29)</f>
        <v>1</v>
      </c>
      <c r="E30" s="81" t="b">
        <f t="shared" ref="E30:Q30" si="125">E14=SUM(E25:E29)</f>
        <v>1</v>
      </c>
      <c r="F30" s="81" t="b">
        <f t="shared" si="125"/>
        <v>1</v>
      </c>
      <c r="G30" s="81" t="b">
        <f t="shared" si="125"/>
        <v>1</v>
      </c>
      <c r="H30" s="81" t="b">
        <f t="shared" si="125"/>
        <v>1</v>
      </c>
      <c r="I30" s="81" t="b">
        <f t="shared" si="125"/>
        <v>1</v>
      </c>
      <c r="J30" s="81" t="b">
        <f t="shared" si="125"/>
        <v>1</v>
      </c>
      <c r="K30" s="81" t="b">
        <f t="shared" si="125"/>
        <v>1</v>
      </c>
      <c r="L30" s="81" t="b">
        <f t="shared" si="125"/>
        <v>1</v>
      </c>
      <c r="M30" s="81" t="b">
        <f t="shared" si="125"/>
        <v>1</v>
      </c>
      <c r="N30" s="81" t="b">
        <f t="shared" si="125"/>
        <v>1</v>
      </c>
      <c r="O30" s="81" t="b">
        <f t="shared" si="125"/>
        <v>1</v>
      </c>
      <c r="P30" s="81" t="b">
        <f t="shared" si="125"/>
        <v>1</v>
      </c>
      <c r="Q30" s="81" t="b">
        <f t="shared" si="125"/>
        <v>1</v>
      </c>
      <c r="R30" s="21"/>
    </row>
    <row r="31" spans="1:33" s="117" customFormat="1" x14ac:dyDescent="0.35">
      <c r="A31" s="149" t="s">
        <v>75</v>
      </c>
      <c r="B31" s="128" t="s">
        <v>76</v>
      </c>
      <c r="C31" s="129"/>
      <c r="D31" s="130">
        <f>D14*T31</f>
        <v>344.17500000000001</v>
      </c>
      <c r="E31" s="130">
        <f t="shared" ref="E31" si="126">E14*U31</f>
        <v>386.54352283318264</v>
      </c>
      <c r="F31" s="130">
        <f t="shared" ref="F31" si="127">F14*V31</f>
        <v>434.84905754434487</v>
      </c>
      <c r="G31" s="130">
        <f t="shared" ref="G31" si="128">G14*W31</f>
        <v>490.01461387394306</v>
      </c>
      <c r="H31" s="130">
        <f t="shared" ref="H31" si="129">H14*X31</f>
        <v>553.11996611397967</v>
      </c>
      <c r="I31" s="130">
        <f t="shared" ref="I31" si="130">I14*Y31</f>
        <v>625.43042850222196</v>
      </c>
      <c r="J31" s="130">
        <f t="shared" ref="J31" si="131">J14*Z31</f>
        <v>708.43129346243938</v>
      </c>
      <c r="K31" s="130">
        <f t="shared" ref="K31" si="132">K14*AA31</f>
        <v>803.86911997168102</v>
      </c>
      <c r="L31" s="130">
        <f t="shared" ref="L31" si="133">L14*AB31</f>
        <v>913.8013231898052</v>
      </c>
      <c r="M31" s="130">
        <f t="shared" ref="M31" si="134">M14*AC31</f>
        <v>1040.6558422320238</v>
      </c>
      <c r="N31" s="130">
        <f t="shared" ref="N31" si="135">N14*AD31</f>
        <v>1187.303065870711</v>
      </c>
      <c r="O31" s="130">
        <f t="shared" ref="O31" si="136">O14*AE31</f>
        <v>1357.1426952362335</v>
      </c>
      <c r="P31" s="130">
        <f t="shared" ref="P31" si="137">P14*AF31</f>
        <v>1554.2088424839058</v>
      </c>
      <c r="Q31" s="130">
        <f t="shared" ref="Q31" si="138">Q14*AG31</f>
        <v>1783.2974355287729</v>
      </c>
      <c r="R31" s="131">
        <f t="shared" ref="R31:R37" si="139">RATE(9,,-H31,Q31)</f>
        <v>0.13890993982891081</v>
      </c>
      <c r="S31" s="128" t="s">
        <v>76</v>
      </c>
      <c r="T31" s="136">
        <v>0.25</v>
      </c>
      <c r="U31" s="136">
        <v>0.2475537132245817</v>
      </c>
      <c r="V31" s="136">
        <v>0.24513136372511374</v>
      </c>
      <c r="W31" s="136">
        <v>0.24273271727182974</v>
      </c>
      <c r="X31" s="136">
        <v>0.24035754192693604</v>
      </c>
      <c r="Y31" s="136">
        <v>0.23800560802218437</v>
      </c>
      <c r="Z31" s="136">
        <v>0.23567668813666415</v>
      </c>
      <c r="AA31" s="136">
        <v>0.23337055707481172</v>
      </c>
      <c r="AB31" s="136">
        <v>0.23108699184463527</v>
      </c>
      <c r="AC31" s="136">
        <v>0.22882577163615236</v>
      </c>
      <c r="AD31" s="136">
        <v>0.22658667780003872</v>
      </c>
      <c r="AE31" s="136">
        <v>0.22436949382648591</v>
      </c>
      <c r="AF31" s="136">
        <v>0.22217400532426579</v>
      </c>
      <c r="AG31" s="136">
        <v>0.21999999999999989</v>
      </c>
    </row>
    <row r="32" spans="1:33" s="117" customFormat="1" x14ac:dyDescent="0.35">
      <c r="A32" s="149"/>
      <c r="B32" s="128" t="s">
        <v>77</v>
      </c>
      <c r="C32" s="129"/>
      <c r="D32" s="130">
        <f>D14*T32</f>
        <v>275.34000000000003</v>
      </c>
      <c r="E32" s="130">
        <f t="shared" ref="E32" si="140">E14*U32</f>
        <v>314.0327820985122</v>
      </c>
      <c r="F32" s="130">
        <f t="shared" ref="F32" si="141">F14*V32</f>
        <v>358.75810299871716</v>
      </c>
      <c r="G32" s="130">
        <f t="shared" ref="G32" si="142">G14*W32</f>
        <v>410.54315687615963</v>
      </c>
      <c r="H32" s="130">
        <f t="shared" ref="H32" si="143">H14*X32</f>
        <v>470.60411477387186</v>
      </c>
      <c r="I32" s="130">
        <f t="shared" ref="I32" si="144">I14*Y32</f>
        <v>540.38338907459445</v>
      </c>
      <c r="J32" s="130">
        <f t="shared" ref="J32" si="145">J14*Z32</f>
        <v>621.59472507279577</v>
      </c>
      <c r="K32" s="130">
        <f t="shared" ref="K32" si="146">K14*AA32</f>
        <v>716.27786199827835</v>
      </c>
      <c r="L32" s="130">
        <f t="shared" ref="L32" si="147">L14*AB32</f>
        <v>826.86491518248738</v>
      </c>
      <c r="M32" s="130">
        <f t="shared" ref="M32" si="148">M14*AC32</f>
        <v>956.26114153432809</v>
      </c>
      <c r="N32" s="130">
        <f t="shared" ref="N32" si="149">N14*AD32</f>
        <v>1107.9433883035488</v>
      </c>
      <c r="O32" s="130">
        <f t="shared" ref="O32" si="150">O14*AE32</f>
        <v>1286.0803235527467</v>
      </c>
      <c r="P32" s="130">
        <f t="shared" ref="P32" si="151">P14*AF32</f>
        <v>1495.6795482327193</v>
      </c>
      <c r="Q32" s="130">
        <f t="shared" ref="Q32" si="152">Q14*AG32</f>
        <v>1742.7679483576678</v>
      </c>
      <c r="R32" s="131">
        <f t="shared" si="139"/>
        <v>0.15658081121109216</v>
      </c>
      <c r="S32" s="128" t="s">
        <v>77</v>
      </c>
      <c r="T32" s="135">
        <v>0.2</v>
      </c>
      <c r="U32" s="135">
        <v>0.20111572614885656</v>
      </c>
      <c r="V32" s="135">
        <v>0.20223767652190933</v>
      </c>
      <c r="W32" s="135">
        <v>0.20336588584180673</v>
      </c>
      <c r="X32" s="135">
        <v>0.20450038902490211</v>
      </c>
      <c r="Y32" s="135">
        <v>0.20564122118233419</v>
      </c>
      <c r="Z32" s="135">
        <v>0.20678841762111386</v>
      </c>
      <c r="AA32" s="135">
        <v>0.20794201384521654</v>
      </c>
      <c r="AB32" s="135">
        <v>0.20910204555668152</v>
      </c>
      <c r="AC32" s="135">
        <v>0.21026854865671646</v>
      </c>
      <c r="AD32" s="135">
        <v>0.21144155924680855</v>
      </c>
      <c r="AE32" s="135">
        <v>0.21262111362984182</v>
      </c>
      <c r="AF32" s="135">
        <v>0.21380724831122089</v>
      </c>
      <c r="AG32" s="135">
        <v>0.21500000000000033</v>
      </c>
    </row>
    <row r="33" spans="1:33" s="117" customFormat="1" x14ac:dyDescent="0.35">
      <c r="A33" s="149"/>
      <c r="B33" s="128" t="s">
        <v>78</v>
      </c>
      <c r="C33" s="129"/>
      <c r="D33" s="132">
        <f>D14*T33</f>
        <v>247.80600000000004</v>
      </c>
      <c r="E33" s="132">
        <f t="shared" ref="E33" si="153">E14*U33</f>
        <v>281.30056554800694</v>
      </c>
      <c r="F33" s="132">
        <f t="shared" ref="F33" si="154">F14*V33</f>
        <v>319.85301338216431</v>
      </c>
      <c r="G33" s="132">
        <f t="shared" ref="G33" si="155">G14*W33</f>
        <v>364.3012440548568</v>
      </c>
      <c r="H33" s="132">
        <f t="shared" ref="H33" si="156">H14*X33</f>
        <v>415.63361649580241</v>
      </c>
      <c r="I33" s="132">
        <f t="shared" ref="I33" si="157">I14*Y33</f>
        <v>475.01797702058326</v>
      </c>
      <c r="J33" s="132">
        <f t="shared" ref="J33" si="158">J14*Z33</f>
        <v>543.83666565924295</v>
      </c>
      <c r="K33" s="132">
        <f t="shared" ref="K33" si="159">K14*AA33</f>
        <v>623.72880625069934</v>
      </c>
      <c r="L33" s="132">
        <f t="shared" ref="L33" si="160">L14*AB33</f>
        <v>716.6414885035839</v>
      </c>
      <c r="M33" s="132">
        <f t="shared" ref="M33" si="161">M14*AC33</f>
        <v>824.89182535775922</v>
      </c>
      <c r="N33" s="132">
        <f t="shared" ref="N33" si="162">N14*AD33</f>
        <v>951.24233621945359</v>
      </c>
      <c r="O33" s="132">
        <f t="shared" ref="O33" si="163">O14*AE33</f>
        <v>1098.9926897143432</v>
      </c>
      <c r="P33" s="132">
        <f t="shared" ref="P33" si="164">P14*AF33</f>
        <v>1272.0915686307096</v>
      </c>
      <c r="Q33" s="132">
        <f t="shared" ref="Q33" si="165">Q14*AG33</f>
        <v>1475.2733330283472</v>
      </c>
      <c r="R33" s="131">
        <f t="shared" si="139"/>
        <v>0.15114250925416692</v>
      </c>
      <c r="S33" s="128" t="s">
        <v>78</v>
      </c>
      <c r="T33" s="135">
        <v>0.18000000000000002</v>
      </c>
      <c r="U33" s="135">
        <v>0.18015306277331314</v>
      </c>
      <c r="V33" s="135">
        <v>0.18030625570336284</v>
      </c>
      <c r="W33" s="135">
        <v>0.18045957890082762</v>
      </c>
      <c r="X33" s="135">
        <v>0.18061303247648028</v>
      </c>
      <c r="Y33" s="135">
        <v>0.18076661654118778</v>
      </c>
      <c r="Z33" s="135">
        <v>0.18092033120591131</v>
      </c>
      <c r="AA33" s="135">
        <v>0.18107417658170627</v>
      </c>
      <c r="AB33" s="135">
        <v>0.1812281527797229</v>
      </c>
      <c r="AC33" s="135">
        <v>0.1813822599112056</v>
      </c>
      <c r="AD33" s="135">
        <v>0.18153649808749345</v>
      </c>
      <c r="AE33" s="135">
        <v>0.18169086742002025</v>
      </c>
      <c r="AF33" s="135">
        <v>0.18184536802031454</v>
      </c>
      <c r="AG33" s="135">
        <v>0.18199999999999975</v>
      </c>
    </row>
    <row r="34" spans="1:33" s="117" customFormat="1" x14ac:dyDescent="0.35">
      <c r="A34" s="149"/>
      <c r="B34" s="128" t="s">
        <v>79</v>
      </c>
      <c r="C34" s="129"/>
      <c r="D34" s="132">
        <f>D14*T34</f>
        <v>165.20399999999998</v>
      </c>
      <c r="E34" s="132">
        <f t="shared" ref="E34" si="166">E14*U34</f>
        <v>187.73061986071178</v>
      </c>
      <c r="F34" s="132">
        <f t="shared" ref="F34" si="167">F14*V34</f>
        <v>213.68336951547525</v>
      </c>
      <c r="G34" s="132">
        <f t="shared" ref="G34" si="168">G14*W34</f>
        <v>243.63332870848427</v>
      </c>
      <c r="H34" s="132">
        <f t="shared" ref="H34" si="169">H14*X34</f>
        <v>278.25468067875403</v>
      </c>
      <c r="I34" s="132">
        <f t="shared" ref="I34" si="170">I14*Y34</f>
        <v>318.34470168142576</v>
      </c>
      <c r="J34" s="132">
        <f t="shared" ref="J34" si="171">J14*Z34</f>
        <v>364.84788480124666</v>
      </c>
      <c r="K34" s="132">
        <f t="shared" ref="K34" si="172">K14*AA34</f>
        <v>418.88510537207026</v>
      </c>
      <c r="L34" s="132">
        <f t="shared" ref="L34" si="173">L14*AB34</f>
        <v>481.78894567723853</v>
      </c>
      <c r="M34" s="132">
        <f t="shared" ref="M34" si="174">M14*AC34</f>
        <v>555.14655830242987</v>
      </c>
      <c r="N34" s="132">
        <f t="shared" ref="N34" si="175">N14*AD34</f>
        <v>640.851773689575</v>
      </c>
      <c r="O34" s="132">
        <f t="shared" ref="O34" si="176">O14*AE34</f>
        <v>741.16856476408441</v>
      </c>
      <c r="P34" s="132">
        <f t="shared" ref="P34" si="177">P14*AF34</f>
        <v>858.80849115089745</v>
      </c>
      <c r="Q34" s="132">
        <f t="shared" ref="Q34" si="178">Q14*AG34</f>
        <v>997.02538440926674</v>
      </c>
      <c r="R34" s="131">
        <f t="shared" si="139"/>
        <v>0.15235120336126382</v>
      </c>
      <c r="S34" s="128" t="s">
        <v>79</v>
      </c>
      <c r="T34" s="135">
        <v>0.11999999999999998</v>
      </c>
      <c r="U34" s="135">
        <v>0.1202281484161041</v>
      </c>
      <c r="V34" s="135">
        <v>0.12045673059637299</v>
      </c>
      <c r="W34" s="135">
        <v>0.12068574736549501</v>
      </c>
      <c r="X34" s="135">
        <v>0.12091519954972652</v>
      </c>
      <c r="Y34" s="135">
        <v>0.1211450879768947</v>
      </c>
      <c r="Z34" s="135">
        <v>0.12137541347640074</v>
      </c>
      <c r="AA34" s="135">
        <v>0.12160617687922258</v>
      </c>
      <c r="AB34" s="135">
        <v>0.12183737901791819</v>
      </c>
      <c r="AC34" s="135">
        <v>0.12206902072662833</v>
      </c>
      <c r="AD34" s="135">
        <v>0.1223011028410797</v>
      </c>
      <c r="AE34" s="135">
        <v>0.12253362619858783</v>
      </c>
      <c r="AF34" s="135">
        <v>0.12276659163806038</v>
      </c>
      <c r="AG34" s="135">
        <v>0.12299999999999972</v>
      </c>
    </row>
    <row r="35" spans="1:33" s="117" customFormat="1" x14ac:dyDescent="0.35">
      <c r="A35" s="149"/>
      <c r="B35" s="128" t="s">
        <v>80</v>
      </c>
      <c r="C35" s="129"/>
      <c r="D35" s="132">
        <f>D14*T35</f>
        <v>137.66999999999999</v>
      </c>
      <c r="E35" s="132">
        <f t="shared" ref="E35" si="179">E14*U35</f>
        <v>156.73244243010132</v>
      </c>
      <c r="F35" s="132">
        <f t="shared" ref="F35" si="180">F14*V35</f>
        <v>178.73085956609003</v>
      </c>
      <c r="G35" s="132">
        <f t="shared" ref="G35" si="181">G14*W35</f>
        <v>204.15995106823411</v>
      </c>
      <c r="H35" s="132">
        <f t="shared" ref="H35" si="182">H14*X35</f>
        <v>233.60458686690683</v>
      </c>
      <c r="I35" s="132">
        <f t="shared" ref="I35" si="183">I14*Y35</f>
        <v>267.75743986116078</v>
      </c>
      <c r="J35" s="132">
        <f t="shared" ref="J35" si="184">J14*Z35</f>
        <v>307.44029409089131</v>
      </c>
      <c r="K35" s="132">
        <f t="shared" ref="K35" si="185">K14*AA35</f>
        <v>353.62984083316809</v>
      </c>
      <c r="L35" s="132">
        <f t="shared" ref="L35" si="186">L14*AB35</f>
        <v>407.48896470428764</v>
      </c>
      <c r="M35" s="132">
        <f t="shared" ref="M35" si="187">M14*AC35</f>
        <v>470.40475804730721</v>
      </c>
      <c r="N35" s="132">
        <f t="shared" ref="N35" si="188">N14*AD35</f>
        <v>544.03479664424765</v>
      </c>
      <c r="O35" s="132">
        <f t="shared" ref="O35" si="189">O14*AE35</f>
        <v>630.3635783382166</v>
      </c>
      <c r="P35" s="132">
        <f t="shared" ref="P35" si="190">P14*AF35</f>
        <v>731.77148784872907</v>
      </c>
      <c r="Q35" s="132">
        <f t="shared" ref="Q35" si="191">Q14*AG35</f>
        <v>851.11923059327853</v>
      </c>
      <c r="R35" s="131">
        <f t="shared" si="139"/>
        <v>0.15448924916403792</v>
      </c>
      <c r="S35" s="128" t="s">
        <v>80</v>
      </c>
      <c r="T35" s="135">
        <v>9.9999999999999978E-2</v>
      </c>
      <c r="U35" s="135">
        <v>0.10037601412111624</v>
      </c>
      <c r="V35" s="135">
        <v>0.10075344210842527</v>
      </c>
      <c r="W35" s="135">
        <v>0.10113228927826363</v>
      </c>
      <c r="X35" s="135">
        <v>0.10151256096695804</v>
      </c>
      <c r="Y35" s="135">
        <v>0.10189426253090056</v>
      </c>
      <c r="Z35" s="135">
        <v>0.102277399346624</v>
      </c>
      <c r="AA35" s="135">
        <v>0.10266197681087777</v>
      </c>
      <c r="AB35" s="135">
        <v>0.10304800034070376</v>
      </c>
      <c r="AC35" s="135">
        <v>0.10343547537351272</v>
      </c>
      <c r="AD35" s="135">
        <v>0.10382440736716086</v>
      </c>
      <c r="AE35" s="135">
        <v>0.10421480180002665</v>
      </c>
      <c r="AF35" s="135">
        <v>0.10460666417108806</v>
      </c>
      <c r="AG35" s="135">
        <v>0.10500000000000002</v>
      </c>
    </row>
    <row r="36" spans="1:33" s="117" customFormat="1" x14ac:dyDescent="0.35">
      <c r="A36" s="149"/>
      <c r="B36" s="128" t="s">
        <v>81</v>
      </c>
      <c r="C36" s="129"/>
      <c r="D36" s="132">
        <f>D14*T36</f>
        <v>178.97100000000009</v>
      </c>
      <c r="E36" s="132">
        <f t="shared" ref="E36" si="192">E14*U36</f>
        <v>203.4626640219561</v>
      </c>
      <c r="F36" s="132">
        <f t="shared" ref="F36" si="193">F14*V36</f>
        <v>231.69029472520731</v>
      </c>
      <c r="G36" s="132">
        <f t="shared" ref="G36" si="194">G14*W36</f>
        <v>264.27819003845627</v>
      </c>
      <c r="H36" s="132">
        <f t="shared" ref="H36" si="195">H14*X36</f>
        <v>301.96361062778823</v>
      </c>
      <c r="I36" s="132">
        <f t="shared" ref="I36" si="196">I14*Y36</f>
        <v>345.61872475937179</v>
      </c>
      <c r="J36" s="132">
        <f t="shared" ref="J36" si="197">J14*Z36</f>
        <v>396.27710014138864</v>
      </c>
      <c r="K36" s="132">
        <f t="shared" ref="K36" si="198">K14*AA36</f>
        <v>455.16574230307236</v>
      </c>
      <c r="L36" s="132">
        <f t="shared" ref="L36" si="199">L14*AB36</f>
        <v>523.74391117789514</v>
      </c>
      <c r="M36" s="132">
        <f t="shared" ref="M36" si="200">M14*AC36</f>
        <v>603.75023639274059</v>
      </c>
      <c r="N36" s="132">
        <f t="shared" ref="N36" si="201">N14*AD36</f>
        <v>697.26001186993494</v>
      </c>
      <c r="O36" s="132">
        <f t="shared" ref="O36" si="202">O14*AE36</f>
        <v>806.7550001708139</v>
      </c>
      <c r="P36" s="132">
        <f t="shared" ref="P36" si="203">P14*AF36</f>
        <v>935.20863998901518</v>
      </c>
      <c r="Q36" s="132">
        <f t="shared" ref="Q36" si="204">Q14*AG36</f>
        <v>1086.1902561857089</v>
      </c>
      <c r="R36" s="131">
        <f t="shared" si="139"/>
        <v>0.15284883725127449</v>
      </c>
      <c r="S36" s="128" t="s">
        <v>81</v>
      </c>
      <c r="T36" s="133">
        <v>0.13000000000000006</v>
      </c>
      <c r="U36" s="133">
        <v>0.13030340700583309</v>
      </c>
      <c r="V36" s="133">
        <v>0.13060752213329063</v>
      </c>
      <c r="W36" s="133">
        <v>0.13091234703505783</v>
      </c>
      <c r="X36" s="133">
        <v>0.13121788336767692</v>
      </c>
      <c r="Y36" s="133">
        <v>0.13152413279155642</v>
      </c>
      <c r="Z36" s="133">
        <v>0.13183109697098006</v>
      </c>
      <c r="AA36" s="133">
        <v>0.13213877757411582</v>
      </c>
      <c r="AB36" s="133">
        <v>0.13244717627302502</v>
      </c>
      <c r="AC36" s="133">
        <v>0.13275629474367151</v>
      </c>
      <c r="AD36" s="133">
        <v>0.13306613466593045</v>
      </c>
      <c r="AE36" s="133">
        <v>0.13337669772359789</v>
      </c>
      <c r="AF36" s="133">
        <v>0.13368798560439951</v>
      </c>
      <c r="AG36" s="133">
        <v>0.13400000000000015</v>
      </c>
    </row>
    <row r="37" spans="1:33" s="117" customFormat="1" x14ac:dyDescent="0.35">
      <c r="A37" s="149"/>
      <c r="B37" s="128" t="s">
        <v>82</v>
      </c>
      <c r="C37" s="129"/>
      <c r="D37" s="132">
        <f>D14*T37</f>
        <v>27.534000000000024</v>
      </c>
      <c r="E37" s="132">
        <f t="shared" ref="E37" si="205">E14*U37</f>
        <v>31.650543207529271</v>
      </c>
      <c r="F37" s="132">
        <f t="shared" ref="F37" si="206">F14*V37</f>
        <v>36.378264670712625</v>
      </c>
      <c r="G37" s="132">
        <f t="shared" ref="G37" si="207">G14*W37</f>
        <v>41.811032310148626</v>
      </c>
      <c r="H37" s="132">
        <f t="shared" ref="H37" si="208">H14*X37</f>
        <v>48.057661777331305</v>
      </c>
      <c r="I37" s="132">
        <f t="shared" ref="I37" si="209">I14*Y37</f>
        <v>55.244363294819465</v>
      </c>
      <c r="J37" s="132">
        <f t="shared" ref="J37" si="210">J14*Z37</f>
        <v>63.51759321852213</v>
      </c>
      <c r="K37" s="132">
        <f t="shared" ref="K37" si="211">K14*AA37</f>
        <v>73.047375821222815</v>
      </c>
      <c r="L37" s="132">
        <f t="shared" ref="L37" si="212">L14*AB37</f>
        <v>84.031170424089353</v>
      </c>
      <c r="M37" s="132">
        <f t="shared" ref="M37" si="213">M14*AC37</f>
        <v>96.698369602405705</v>
      </c>
      <c r="N37" s="132">
        <f t="shared" ref="N37" si="214">N14*AD37</f>
        <v>111.31552565656698</v>
      </c>
      <c r="O37" s="132">
        <f t="shared" ref="O37" si="215">O14*AE37</f>
        <v>128.19241463873456</v>
      </c>
      <c r="P37" s="132">
        <f t="shared" ref="P37" si="216">P14*AF37</f>
        <v>147.68905954347753</v>
      </c>
      <c r="Q37" s="132">
        <f t="shared" ref="Q37" si="217">Q14*AG37</f>
        <v>170.22384611865672</v>
      </c>
      <c r="R37" s="131">
        <f t="shared" si="139"/>
        <v>0.15087628286570884</v>
      </c>
      <c r="S37" s="128" t="s">
        <v>82</v>
      </c>
      <c r="T37" s="133">
        <f>1-SUM(T31:T36)</f>
        <v>2.0000000000000018E-2</v>
      </c>
      <c r="U37" s="133">
        <f t="shared" ref="U37:AG37" si="218">1-SUM(U31:U36)</f>
        <v>2.0269928310195251E-2</v>
      </c>
      <c r="V37" s="133">
        <f t="shared" si="218"/>
        <v>2.0507009211525151E-2</v>
      </c>
      <c r="W37" s="133">
        <f t="shared" si="218"/>
        <v>2.0711434306719401E-2</v>
      </c>
      <c r="X37" s="133">
        <f t="shared" si="218"/>
        <v>2.088339268732009E-2</v>
      </c>
      <c r="Y37" s="133">
        <f t="shared" si="218"/>
        <v>2.1023070954941936E-2</v>
      </c>
      <c r="Z37" s="133">
        <f t="shared" si="218"/>
        <v>2.1130653242306008E-2</v>
      </c>
      <c r="AA37" s="133">
        <f t="shared" si="218"/>
        <v>2.1206321234049197E-2</v>
      </c>
      <c r="AB37" s="133">
        <f t="shared" si="218"/>
        <v>2.1250254187313411E-2</v>
      </c>
      <c r="AC37" s="133">
        <f t="shared" si="218"/>
        <v>2.1262628952113172E-2</v>
      </c>
      <c r="AD37" s="133">
        <f t="shared" si="218"/>
        <v>2.1243619991488383E-2</v>
      </c>
      <c r="AE37" s="133">
        <f t="shared" si="218"/>
        <v>2.1193399401439716E-2</v>
      </c>
      <c r="AF37" s="133">
        <f t="shared" si="218"/>
        <v>2.1112136930650727E-2</v>
      </c>
      <c r="AG37" s="133">
        <f t="shared" si="218"/>
        <v>2.100000000000013E-2</v>
      </c>
    </row>
    <row r="38" spans="1:33" x14ac:dyDescent="0.35">
      <c r="D38" t="b">
        <f>D14=SUM(D31:D37)</f>
        <v>1</v>
      </c>
      <c r="E38" t="b">
        <f t="shared" ref="E38:Q38" si="219">E14=SUM(E31:E37)</f>
        <v>1</v>
      </c>
      <c r="F38" t="b">
        <f t="shared" si="219"/>
        <v>1</v>
      </c>
      <c r="G38" t="b">
        <f t="shared" si="219"/>
        <v>1</v>
      </c>
      <c r="H38" t="b">
        <f t="shared" si="219"/>
        <v>1</v>
      </c>
      <c r="I38" t="b">
        <f t="shared" si="219"/>
        <v>1</v>
      </c>
      <c r="J38" t="b">
        <f t="shared" si="219"/>
        <v>1</v>
      </c>
      <c r="K38" t="b">
        <f t="shared" si="219"/>
        <v>1</v>
      </c>
      <c r="L38" t="b">
        <f t="shared" si="219"/>
        <v>1</v>
      </c>
      <c r="M38" t="b">
        <f t="shared" si="219"/>
        <v>1</v>
      </c>
      <c r="N38" t="b">
        <f t="shared" si="219"/>
        <v>1</v>
      </c>
      <c r="O38" t="b">
        <f t="shared" si="219"/>
        <v>1</v>
      </c>
      <c r="P38" t="b">
        <f t="shared" si="219"/>
        <v>1</v>
      </c>
      <c r="Q38" t="b">
        <f t="shared" si="219"/>
        <v>1</v>
      </c>
    </row>
    <row r="39" spans="1:33" ht="25" x14ac:dyDescent="0.5">
      <c r="A39" s="146" t="s">
        <v>112</v>
      </c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63"/>
    </row>
    <row r="40" spans="1:33" ht="23.5" thickBot="1" x14ac:dyDescent="0.55000000000000004">
      <c r="A40" s="63"/>
      <c r="B40" s="63"/>
      <c r="C40" s="63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</row>
    <row r="41" spans="1:33" ht="15.5" hidden="1" customHeight="1" x14ac:dyDescent="0.4">
      <c r="A41" s="42"/>
      <c r="B41" s="43"/>
      <c r="C41" s="93"/>
      <c r="D41" s="91">
        <v>2023</v>
      </c>
      <c r="E41" s="65">
        <v>2024</v>
      </c>
      <c r="F41" s="65">
        <v>2025</v>
      </c>
      <c r="G41" s="65">
        <v>2026</v>
      </c>
      <c r="H41" s="65">
        <v>2027</v>
      </c>
      <c r="I41" s="65">
        <v>2028</v>
      </c>
      <c r="J41" s="65">
        <v>2029</v>
      </c>
      <c r="K41" s="65">
        <v>2030</v>
      </c>
      <c r="L41" s="65">
        <v>2031</v>
      </c>
      <c r="M41" s="65">
        <v>2032</v>
      </c>
      <c r="N41" s="65">
        <v>2033</v>
      </c>
      <c r="O41" s="65">
        <v>2034</v>
      </c>
      <c r="P41" s="65">
        <v>2035</v>
      </c>
      <c r="Q41" s="65">
        <v>2036</v>
      </c>
      <c r="R41" s="66" t="s">
        <v>13</v>
      </c>
    </row>
    <row r="42" spans="1:33" ht="16" hidden="1" customHeight="1" thickBot="1" x14ac:dyDescent="0.4">
      <c r="A42" s="25"/>
      <c r="B42" s="94"/>
      <c r="C42" s="95"/>
      <c r="D42" s="92" t="e">
        <f>#REF!</f>
        <v>#REF!</v>
      </c>
      <c r="E42" s="92" t="e">
        <f>#REF!</f>
        <v>#REF!</v>
      </c>
      <c r="F42" s="92" t="e">
        <f>#REF!</f>
        <v>#REF!</v>
      </c>
      <c r="G42" s="92" t="e">
        <f>#REF!</f>
        <v>#REF!</v>
      </c>
      <c r="H42" s="92" t="e">
        <f>#REF!</f>
        <v>#REF!</v>
      </c>
      <c r="I42" s="92" t="e">
        <f>#REF!</f>
        <v>#REF!</v>
      </c>
      <c r="J42" s="92" t="e">
        <f>#REF!</f>
        <v>#REF!</v>
      </c>
      <c r="K42" s="92" t="e">
        <f>#REF!</f>
        <v>#REF!</v>
      </c>
      <c r="L42" s="92" t="e">
        <f>#REF!</f>
        <v>#REF!</v>
      </c>
      <c r="M42" s="92" t="e">
        <f>#REF!</f>
        <v>#REF!</v>
      </c>
      <c r="N42" s="92" t="e">
        <f>#REF!</f>
        <v>#REF!</v>
      </c>
      <c r="O42" s="92" t="e">
        <f>#REF!</f>
        <v>#REF!</v>
      </c>
      <c r="P42" s="92" t="e">
        <f>#REF!</f>
        <v>#REF!</v>
      </c>
      <c r="Q42" s="92" t="e">
        <f>#REF!</f>
        <v>#REF!</v>
      </c>
      <c r="R42" s="68" t="e">
        <f>RATE(12,,-E42,Q42)</f>
        <v>#REF!</v>
      </c>
      <c r="T42" s="65">
        <v>2023</v>
      </c>
      <c r="U42" s="65">
        <v>2024</v>
      </c>
      <c r="V42" s="65">
        <v>2025</v>
      </c>
      <c r="W42" s="65">
        <v>2026</v>
      </c>
      <c r="X42" s="65">
        <v>2027</v>
      </c>
      <c r="Y42" s="65">
        <v>2028</v>
      </c>
      <c r="Z42" s="65">
        <v>2029</v>
      </c>
      <c r="AA42" s="65">
        <v>2030</v>
      </c>
      <c r="AB42" s="65">
        <v>2031</v>
      </c>
      <c r="AC42" s="65">
        <v>2032</v>
      </c>
      <c r="AD42" s="65">
        <v>2033</v>
      </c>
      <c r="AE42" s="65">
        <v>2034</v>
      </c>
      <c r="AF42" s="65">
        <v>2035</v>
      </c>
      <c r="AG42" s="65">
        <v>2036</v>
      </c>
    </row>
    <row r="43" spans="1:33" ht="14.5" hidden="1" customHeight="1" x14ac:dyDescent="0.4">
      <c r="A43" s="152" t="s">
        <v>49</v>
      </c>
      <c r="B43" s="52" t="s">
        <v>34</v>
      </c>
      <c r="C43" s="45"/>
      <c r="D43" s="79" t="e">
        <f t="shared" ref="D43:Q43" si="220">D42*T43</f>
        <v>#REF!</v>
      </c>
      <c r="E43" s="79" t="e">
        <f t="shared" si="220"/>
        <v>#REF!</v>
      </c>
      <c r="F43" s="79" t="e">
        <f t="shared" si="220"/>
        <v>#REF!</v>
      </c>
      <c r="G43" s="79" t="e">
        <f t="shared" si="220"/>
        <v>#REF!</v>
      </c>
      <c r="H43" s="79" t="e">
        <f t="shared" si="220"/>
        <v>#REF!</v>
      </c>
      <c r="I43" s="79" t="e">
        <f t="shared" si="220"/>
        <v>#REF!</v>
      </c>
      <c r="J43" s="79" t="e">
        <f t="shared" si="220"/>
        <v>#REF!</v>
      </c>
      <c r="K43" s="79" t="e">
        <f t="shared" si="220"/>
        <v>#REF!</v>
      </c>
      <c r="L43" s="79" t="e">
        <f t="shared" si="220"/>
        <v>#REF!</v>
      </c>
      <c r="M43" s="79" t="e">
        <f t="shared" si="220"/>
        <v>#REF!</v>
      </c>
      <c r="N43" s="79" t="e">
        <f t="shared" si="220"/>
        <v>#REF!</v>
      </c>
      <c r="O43" s="79" t="e">
        <f t="shared" si="220"/>
        <v>#REF!</v>
      </c>
      <c r="P43" s="79" t="e">
        <f t="shared" si="220"/>
        <v>#REF!</v>
      </c>
      <c r="Q43" s="79" t="e">
        <f t="shared" si="220"/>
        <v>#REF!</v>
      </c>
      <c r="R43" s="77" t="e">
        <f>RATE(12,,-E43,Q43)</f>
        <v>#REF!</v>
      </c>
      <c r="S43" s="52"/>
      <c r="T43" s="12">
        <v>0.56000000000000005</v>
      </c>
      <c r="U43" s="12">
        <v>0.56092161367703952</v>
      </c>
      <c r="V43" s="12">
        <v>0.56184474408938223</v>
      </c>
      <c r="W43" s="12">
        <v>0.56276939373317769</v>
      </c>
      <c r="X43" s="12">
        <v>0.56369556510868446</v>
      </c>
      <c r="Y43" s="12">
        <v>0.56462326072027491</v>
      </c>
      <c r="Z43" s="12">
        <v>0.56555248307644368</v>
      </c>
      <c r="AA43" s="12">
        <v>0.56648323468981299</v>
      </c>
      <c r="AB43" s="12">
        <v>0.56741551807714108</v>
      </c>
      <c r="AC43" s="12">
        <v>0.56834933575932756</v>
      </c>
      <c r="AD43" s="12">
        <v>0.56928469026142059</v>
      </c>
      <c r="AE43" s="12">
        <v>0.57022158411262425</v>
      </c>
      <c r="AF43" s="12">
        <v>0.57116001984630527</v>
      </c>
      <c r="AG43" s="12">
        <v>0.57209999999999905</v>
      </c>
    </row>
    <row r="44" spans="1:33" ht="15" hidden="1" customHeight="1" thickBot="1" x14ac:dyDescent="0.4">
      <c r="A44" s="153"/>
      <c r="B44" s="53" t="s">
        <v>35</v>
      </c>
      <c r="C44" s="46"/>
      <c r="D44" s="80" t="e">
        <f t="shared" ref="D44:Q44" si="221">D42*T44</f>
        <v>#REF!</v>
      </c>
      <c r="E44" s="80" t="e">
        <f t="shared" si="221"/>
        <v>#REF!</v>
      </c>
      <c r="F44" s="80" t="e">
        <f t="shared" si="221"/>
        <v>#REF!</v>
      </c>
      <c r="G44" s="80" t="e">
        <f t="shared" si="221"/>
        <v>#REF!</v>
      </c>
      <c r="H44" s="80" t="e">
        <f t="shared" si="221"/>
        <v>#REF!</v>
      </c>
      <c r="I44" s="80" t="e">
        <f t="shared" si="221"/>
        <v>#REF!</v>
      </c>
      <c r="J44" s="80" t="e">
        <f t="shared" si="221"/>
        <v>#REF!</v>
      </c>
      <c r="K44" s="80" t="e">
        <f t="shared" si="221"/>
        <v>#REF!</v>
      </c>
      <c r="L44" s="80" t="e">
        <f t="shared" si="221"/>
        <v>#REF!</v>
      </c>
      <c r="M44" s="80" t="e">
        <f t="shared" si="221"/>
        <v>#REF!</v>
      </c>
      <c r="N44" s="80" t="e">
        <f t="shared" si="221"/>
        <v>#REF!</v>
      </c>
      <c r="O44" s="80" t="e">
        <f t="shared" si="221"/>
        <v>#REF!</v>
      </c>
      <c r="P44" s="80" t="e">
        <f t="shared" si="221"/>
        <v>#REF!</v>
      </c>
      <c r="Q44" s="80" t="e">
        <f t="shared" si="221"/>
        <v>#REF!</v>
      </c>
      <c r="R44" s="78" t="e">
        <f>RATE(12,,-E44,Q44)</f>
        <v>#REF!</v>
      </c>
      <c r="S44" s="53"/>
      <c r="T44" s="12">
        <f>1-T43</f>
        <v>0.43999999999999995</v>
      </c>
      <c r="U44" s="12">
        <f t="shared" ref="U44" si="222">1-U43</f>
        <v>0.43907838632296048</v>
      </c>
      <c r="V44" s="12">
        <f t="shared" ref="V44" si="223">1-V43</f>
        <v>0.43815525591061777</v>
      </c>
      <c r="W44" s="12">
        <f t="shared" ref="W44" si="224">1-W43</f>
        <v>0.43723060626682231</v>
      </c>
      <c r="X44" s="12">
        <f t="shared" ref="X44" si="225">1-X43</f>
        <v>0.43630443489131554</v>
      </c>
      <c r="Y44" s="12">
        <f t="shared" ref="Y44" si="226">1-Y43</f>
        <v>0.43537673927972509</v>
      </c>
      <c r="Z44" s="12">
        <f t="shared" ref="Z44" si="227">1-Z43</f>
        <v>0.43444751692355632</v>
      </c>
      <c r="AA44" s="12">
        <f t="shared" ref="AA44" si="228">1-AA43</f>
        <v>0.43351676531018701</v>
      </c>
      <c r="AB44" s="12">
        <f t="shared" ref="AB44" si="229">1-AB43</f>
        <v>0.43258448192285892</v>
      </c>
      <c r="AC44" s="12">
        <f t="shared" ref="AC44" si="230">1-AC43</f>
        <v>0.43165066424067244</v>
      </c>
      <c r="AD44" s="12">
        <f t="shared" ref="AD44" si="231">1-AD43</f>
        <v>0.43071530973857941</v>
      </c>
      <c r="AE44" s="12">
        <f t="shared" ref="AE44" si="232">1-AE43</f>
        <v>0.42977841588737575</v>
      </c>
      <c r="AF44" s="12">
        <f t="shared" ref="AF44" si="233">1-AF43</f>
        <v>0.42883998015369473</v>
      </c>
      <c r="AG44" s="12">
        <f t="shared" ref="AG44" si="234">1-AG43</f>
        <v>0.42790000000000095</v>
      </c>
    </row>
    <row r="45" spans="1:33" ht="15" hidden="1" customHeight="1" thickBot="1" x14ac:dyDescent="0.4">
      <c r="A45" s="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21"/>
    </row>
    <row r="46" spans="1:33" ht="14.5" hidden="1" customHeight="1" x14ac:dyDescent="0.4">
      <c r="A46" s="152" t="s">
        <v>15</v>
      </c>
      <c r="B46" s="57" t="s">
        <v>16</v>
      </c>
      <c r="C46" s="47"/>
      <c r="D46" s="82" t="e">
        <f t="shared" ref="D46:Q46" si="235">D42*T46</f>
        <v>#REF!</v>
      </c>
      <c r="E46" s="82" t="e">
        <f t="shared" si="235"/>
        <v>#REF!</v>
      </c>
      <c r="F46" s="82" t="e">
        <f t="shared" si="235"/>
        <v>#REF!</v>
      </c>
      <c r="G46" s="82" t="e">
        <f t="shared" si="235"/>
        <v>#REF!</v>
      </c>
      <c r="H46" s="82" t="e">
        <f t="shared" si="235"/>
        <v>#REF!</v>
      </c>
      <c r="I46" s="82" t="e">
        <f t="shared" si="235"/>
        <v>#REF!</v>
      </c>
      <c r="J46" s="82" t="e">
        <f t="shared" si="235"/>
        <v>#REF!</v>
      </c>
      <c r="K46" s="82" t="e">
        <f t="shared" si="235"/>
        <v>#REF!</v>
      </c>
      <c r="L46" s="82" t="e">
        <f t="shared" si="235"/>
        <v>#REF!</v>
      </c>
      <c r="M46" s="82" t="e">
        <f t="shared" si="235"/>
        <v>#REF!</v>
      </c>
      <c r="N46" s="82" t="e">
        <f t="shared" si="235"/>
        <v>#REF!</v>
      </c>
      <c r="O46" s="82" t="e">
        <f t="shared" si="235"/>
        <v>#REF!</v>
      </c>
      <c r="P46" s="82" t="e">
        <f t="shared" si="235"/>
        <v>#REF!</v>
      </c>
      <c r="Q46" s="82" t="e">
        <f t="shared" si="235"/>
        <v>#REF!</v>
      </c>
      <c r="R46" s="69" t="e">
        <f>RATE(12,,-E46,Q46)</f>
        <v>#REF!</v>
      </c>
      <c r="S46" s="57"/>
      <c r="T46" s="12">
        <v>0.47099999999999992</v>
      </c>
      <c r="U46" s="12">
        <v>0.47038461538461535</v>
      </c>
      <c r="V46" s="12">
        <v>0.46976923076923072</v>
      </c>
      <c r="W46" s="12">
        <v>0.46915384615384609</v>
      </c>
      <c r="X46" s="12">
        <v>0.46853846153846151</v>
      </c>
      <c r="Y46" s="12">
        <v>0.46792307692307689</v>
      </c>
      <c r="Z46" s="12">
        <v>0.46730769230769226</v>
      </c>
      <c r="AA46" s="12">
        <v>0.46669230769230763</v>
      </c>
      <c r="AB46" s="12">
        <v>0.46607692307692306</v>
      </c>
      <c r="AC46" s="12">
        <v>0.46546153846153843</v>
      </c>
      <c r="AD46" s="12">
        <v>0.4648461538461538</v>
      </c>
      <c r="AE46" s="12">
        <v>0.46423076923076922</v>
      </c>
      <c r="AF46" s="12">
        <v>0.4636153846153846</v>
      </c>
      <c r="AG46" s="12">
        <v>0.46299999999999997</v>
      </c>
    </row>
    <row r="47" spans="1:33" ht="15" hidden="1" customHeight="1" thickBot="1" x14ac:dyDescent="0.4">
      <c r="A47" s="153"/>
      <c r="B47" s="58" t="s">
        <v>17</v>
      </c>
      <c r="C47" s="48"/>
      <c r="D47" s="83" t="e">
        <f t="shared" ref="D47:Q47" si="236">D42*T47</f>
        <v>#REF!</v>
      </c>
      <c r="E47" s="83" t="e">
        <f t="shared" si="236"/>
        <v>#REF!</v>
      </c>
      <c r="F47" s="83" t="e">
        <f t="shared" si="236"/>
        <v>#REF!</v>
      </c>
      <c r="G47" s="83" t="e">
        <f t="shared" si="236"/>
        <v>#REF!</v>
      </c>
      <c r="H47" s="83" t="e">
        <f t="shared" si="236"/>
        <v>#REF!</v>
      </c>
      <c r="I47" s="83" t="e">
        <f t="shared" si="236"/>
        <v>#REF!</v>
      </c>
      <c r="J47" s="83" t="e">
        <f t="shared" si="236"/>
        <v>#REF!</v>
      </c>
      <c r="K47" s="83" t="e">
        <f t="shared" si="236"/>
        <v>#REF!</v>
      </c>
      <c r="L47" s="83" t="e">
        <f t="shared" si="236"/>
        <v>#REF!</v>
      </c>
      <c r="M47" s="83" t="e">
        <f t="shared" si="236"/>
        <v>#REF!</v>
      </c>
      <c r="N47" s="83" t="e">
        <f t="shared" si="236"/>
        <v>#REF!</v>
      </c>
      <c r="O47" s="83" t="e">
        <f t="shared" si="236"/>
        <v>#REF!</v>
      </c>
      <c r="P47" s="83" t="e">
        <f t="shared" si="236"/>
        <v>#REF!</v>
      </c>
      <c r="Q47" s="83" t="e">
        <f t="shared" si="236"/>
        <v>#REF!</v>
      </c>
      <c r="R47" s="70" t="e">
        <f>RATE(12,,-E47,Q47)</f>
        <v>#REF!</v>
      </c>
      <c r="S47" s="58"/>
      <c r="T47" s="12">
        <f>1-T46</f>
        <v>0.52900000000000014</v>
      </c>
      <c r="U47" s="12">
        <f t="shared" ref="U47" si="237">1-U46</f>
        <v>0.5296153846153846</v>
      </c>
      <c r="V47" s="12">
        <f t="shared" ref="V47" si="238">1-V46</f>
        <v>0.53023076923076928</v>
      </c>
      <c r="W47" s="12">
        <f t="shared" ref="W47" si="239">1-W46</f>
        <v>0.53084615384615397</v>
      </c>
      <c r="X47" s="12">
        <f t="shared" ref="X47" si="240">1-X46</f>
        <v>0.53146153846153843</v>
      </c>
      <c r="Y47" s="12">
        <f t="shared" ref="Y47" si="241">1-Y46</f>
        <v>0.53207692307692311</v>
      </c>
      <c r="Z47" s="12">
        <f t="shared" ref="Z47" si="242">1-Z46</f>
        <v>0.5326923076923078</v>
      </c>
      <c r="AA47" s="12">
        <f t="shared" ref="AA47" si="243">1-AA46</f>
        <v>0.53330769230769237</v>
      </c>
      <c r="AB47" s="12">
        <f t="shared" ref="AB47" si="244">1-AB46</f>
        <v>0.53392307692307694</v>
      </c>
      <c r="AC47" s="12">
        <f t="shared" ref="AC47" si="245">1-AC46</f>
        <v>0.53453846153846163</v>
      </c>
      <c r="AD47" s="12">
        <f t="shared" ref="AD47" si="246">1-AD46</f>
        <v>0.5351538461538462</v>
      </c>
      <c r="AE47" s="12">
        <f t="shared" ref="AE47" si="247">1-AE46</f>
        <v>0.53576923076923078</v>
      </c>
      <c r="AF47" s="12">
        <f t="shared" ref="AF47" si="248">1-AF46</f>
        <v>0.53638461538461546</v>
      </c>
      <c r="AG47" s="12">
        <f t="shared" ref="AG47" si="249">1-AG46</f>
        <v>0.53700000000000003</v>
      </c>
    </row>
    <row r="48" spans="1:33" ht="15" hidden="1" customHeight="1" thickBot="1" x14ac:dyDescent="0.4">
      <c r="A48" s="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21"/>
    </row>
    <row r="49" spans="1:33" ht="14.5" hidden="1" customHeight="1" x14ac:dyDescent="0.4">
      <c r="A49" s="152" t="s">
        <v>18</v>
      </c>
      <c r="B49" s="54" t="s">
        <v>19</v>
      </c>
      <c r="C49" s="49"/>
      <c r="D49" s="84" t="e">
        <f t="shared" ref="D49:Q49" si="250">D42*T49</f>
        <v>#REF!</v>
      </c>
      <c r="E49" s="84" t="e">
        <f t="shared" si="250"/>
        <v>#REF!</v>
      </c>
      <c r="F49" s="84" t="e">
        <f t="shared" si="250"/>
        <v>#REF!</v>
      </c>
      <c r="G49" s="84" t="e">
        <f t="shared" si="250"/>
        <v>#REF!</v>
      </c>
      <c r="H49" s="84" t="e">
        <f t="shared" si="250"/>
        <v>#REF!</v>
      </c>
      <c r="I49" s="84" t="e">
        <f t="shared" si="250"/>
        <v>#REF!</v>
      </c>
      <c r="J49" s="84" t="e">
        <f t="shared" si="250"/>
        <v>#REF!</v>
      </c>
      <c r="K49" s="84" t="e">
        <f t="shared" si="250"/>
        <v>#REF!</v>
      </c>
      <c r="L49" s="84" t="e">
        <f t="shared" si="250"/>
        <v>#REF!</v>
      </c>
      <c r="M49" s="84" t="e">
        <f t="shared" si="250"/>
        <v>#REF!</v>
      </c>
      <c r="N49" s="84" t="e">
        <f t="shared" si="250"/>
        <v>#REF!</v>
      </c>
      <c r="O49" s="84" t="e">
        <f t="shared" si="250"/>
        <v>#REF!</v>
      </c>
      <c r="P49" s="84" t="e">
        <f t="shared" si="250"/>
        <v>#REF!</v>
      </c>
      <c r="Q49" s="84" t="e">
        <f t="shared" si="250"/>
        <v>#REF!</v>
      </c>
      <c r="R49" s="71" t="e">
        <f>RATE(12,,-E49,Q49)</f>
        <v>#REF!</v>
      </c>
      <c r="S49" s="54"/>
      <c r="T49" s="12">
        <v>0.40099999999999997</v>
      </c>
      <c r="U49" s="12">
        <v>0.40265090533119946</v>
      </c>
      <c r="V49" s="12">
        <v>0.40430860739160734</v>
      </c>
      <c r="W49" s="12">
        <v>0.40597313416316017</v>
      </c>
      <c r="X49" s="12">
        <v>0.40764451374299493</v>
      </c>
      <c r="Y49" s="12">
        <v>0.40932277434392395</v>
      </c>
      <c r="Z49" s="12">
        <v>0.41100794429491083</v>
      </c>
      <c r="AA49" s="12">
        <v>0.4127000520415488</v>
      </c>
      <c r="AB49" s="12">
        <v>0.41439912614654062</v>
      </c>
      <c r="AC49" s="12">
        <v>0.41610519529018092</v>
      </c>
      <c r="AD49" s="12">
        <v>0.41781828827084017</v>
      </c>
      <c r="AE49" s="12">
        <v>0.4195384340054511</v>
      </c>
      <c r="AF49" s="12">
        <v>0.4212656615299965</v>
      </c>
      <c r="AG49" s="12">
        <v>0.42299999999999938</v>
      </c>
    </row>
    <row r="50" spans="1:33" ht="15" hidden="1" customHeight="1" thickBot="1" x14ac:dyDescent="0.4">
      <c r="A50" s="153"/>
      <c r="B50" s="56" t="s">
        <v>20</v>
      </c>
      <c r="C50" s="44"/>
      <c r="D50" s="85" t="e">
        <f t="shared" ref="D50:Q50" si="251">D42*T50</f>
        <v>#REF!</v>
      </c>
      <c r="E50" s="85" t="e">
        <f t="shared" si="251"/>
        <v>#REF!</v>
      </c>
      <c r="F50" s="85" t="e">
        <f t="shared" si="251"/>
        <v>#REF!</v>
      </c>
      <c r="G50" s="85" t="e">
        <f t="shared" si="251"/>
        <v>#REF!</v>
      </c>
      <c r="H50" s="85" t="e">
        <f t="shared" si="251"/>
        <v>#REF!</v>
      </c>
      <c r="I50" s="85" t="e">
        <f t="shared" si="251"/>
        <v>#REF!</v>
      </c>
      <c r="J50" s="85" t="e">
        <f t="shared" si="251"/>
        <v>#REF!</v>
      </c>
      <c r="K50" s="85" t="e">
        <f t="shared" si="251"/>
        <v>#REF!</v>
      </c>
      <c r="L50" s="85" t="e">
        <f t="shared" si="251"/>
        <v>#REF!</v>
      </c>
      <c r="M50" s="85" t="e">
        <f t="shared" si="251"/>
        <v>#REF!</v>
      </c>
      <c r="N50" s="85" t="e">
        <f t="shared" si="251"/>
        <v>#REF!</v>
      </c>
      <c r="O50" s="85" t="e">
        <f t="shared" si="251"/>
        <v>#REF!</v>
      </c>
      <c r="P50" s="85" t="e">
        <f t="shared" si="251"/>
        <v>#REF!</v>
      </c>
      <c r="Q50" s="85" t="e">
        <f t="shared" si="251"/>
        <v>#REF!</v>
      </c>
      <c r="R50" s="72" t="e">
        <f>RATE(12,,-E50,Q50)</f>
        <v>#REF!</v>
      </c>
      <c r="S50" s="56"/>
      <c r="T50" s="12">
        <f>1-T49</f>
        <v>0.59899999999999998</v>
      </c>
      <c r="U50" s="12">
        <f t="shared" ref="U50" si="252">1-U49</f>
        <v>0.59734909466880048</v>
      </c>
      <c r="V50" s="12">
        <f t="shared" ref="V50" si="253">1-V49</f>
        <v>0.59569139260839266</v>
      </c>
      <c r="W50" s="12">
        <f t="shared" ref="W50" si="254">1-W49</f>
        <v>0.59402686583683983</v>
      </c>
      <c r="X50" s="12">
        <f t="shared" ref="X50" si="255">1-X49</f>
        <v>0.59235548625700507</v>
      </c>
      <c r="Y50" s="12">
        <f t="shared" ref="Y50" si="256">1-Y49</f>
        <v>0.59067722565607605</v>
      </c>
      <c r="Z50" s="12">
        <f t="shared" ref="Z50" si="257">1-Z49</f>
        <v>0.58899205570508917</v>
      </c>
      <c r="AA50" s="12">
        <f t="shared" ref="AA50" si="258">1-AA49</f>
        <v>0.5872999479584512</v>
      </c>
      <c r="AB50" s="12">
        <f t="shared" ref="AB50" si="259">1-AB49</f>
        <v>0.58560087385345938</v>
      </c>
      <c r="AC50" s="12">
        <f t="shared" ref="AC50" si="260">1-AC49</f>
        <v>0.58389480470981914</v>
      </c>
      <c r="AD50" s="12">
        <f t="shared" ref="AD50" si="261">1-AD49</f>
        <v>0.58218171172915989</v>
      </c>
      <c r="AE50" s="12">
        <f t="shared" ref="AE50" si="262">1-AE49</f>
        <v>0.5804615659945489</v>
      </c>
      <c r="AF50" s="12">
        <f t="shared" ref="AF50" si="263">1-AF49</f>
        <v>0.57873433847000344</v>
      </c>
      <c r="AG50" s="12">
        <f t="shared" ref="AG50" si="264">1-AG49</f>
        <v>0.57700000000000062</v>
      </c>
    </row>
    <row r="51" spans="1:33" ht="15" hidden="1" customHeight="1" thickBot="1" x14ac:dyDescent="0.4">
      <c r="A51" s="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21"/>
    </row>
    <row r="52" spans="1:33" ht="14.5" hidden="1" customHeight="1" x14ac:dyDescent="0.4">
      <c r="A52" s="152" t="s">
        <v>14</v>
      </c>
      <c r="B52" s="59" t="s">
        <v>21</v>
      </c>
      <c r="C52" s="50"/>
      <c r="D52" s="86" t="e">
        <f t="shared" ref="D52:Q52" si="265">D42*T52</f>
        <v>#REF!</v>
      </c>
      <c r="E52" s="86" t="e">
        <f t="shared" si="265"/>
        <v>#REF!</v>
      </c>
      <c r="F52" s="86" t="e">
        <f t="shared" si="265"/>
        <v>#REF!</v>
      </c>
      <c r="G52" s="86" t="e">
        <f t="shared" si="265"/>
        <v>#REF!</v>
      </c>
      <c r="H52" s="86" t="e">
        <f t="shared" si="265"/>
        <v>#REF!</v>
      </c>
      <c r="I52" s="86" t="e">
        <f t="shared" si="265"/>
        <v>#REF!</v>
      </c>
      <c r="J52" s="86" t="e">
        <f t="shared" si="265"/>
        <v>#REF!</v>
      </c>
      <c r="K52" s="86" t="e">
        <f t="shared" si="265"/>
        <v>#REF!</v>
      </c>
      <c r="L52" s="86" t="e">
        <f t="shared" si="265"/>
        <v>#REF!</v>
      </c>
      <c r="M52" s="86" t="e">
        <f t="shared" si="265"/>
        <v>#REF!</v>
      </c>
      <c r="N52" s="86" t="e">
        <f t="shared" si="265"/>
        <v>#REF!</v>
      </c>
      <c r="O52" s="86" t="e">
        <f t="shared" si="265"/>
        <v>#REF!</v>
      </c>
      <c r="P52" s="86" t="e">
        <f t="shared" si="265"/>
        <v>#REF!</v>
      </c>
      <c r="Q52" s="86" t="e">
        <f t="shared" si="265"/>
        <v>#REF!</v>
      </c>
      <c r="R52" s="73" t="e">
        <f t="shared" ref="R52:R57" si="266">RATE(12,,-E52,Q52)</f>
        <v>#REF!</v>
      </c>
      <c r="S52" s="59"/>
      <c r="T52" s="12">
        <v>0.25</v>
      </c>
      <c r="U52" s="12">
        <v>0.25155593539307364</v>
      </c>
      <c r="V52" s="12">
        <v>0.25312155452593693</v>
      </c>
      <c r="W52" s="12">
        <v>0.25469691766768382</v>
      </c>
      <c r="X52" s="12">
        <v>0.25628208546250747</v>
      </c>
      <c r="Y52" s="12">
        <v>0.2578771189320348</v>
      </c>
      <c r="Z52" s="12">
        <v>0.25948207947767565</v>
      </c>
      <c r="AA52" s="12">
        <v>0.2610970288829863</v>
      </c>
      <c r="AB52" s="12">
        <v>0.26272202931604799</v>
      </c>
      <c r="AC52" s="12">
        <v>0.26435714333185978</v>
      </c>
      <c r="AD52" s="12">
        <v>0.26600243387474731</v>
      </c>
      <c r="AE52" s="12">
        <v>0.26765796428078514</v>
      </c>
      <c r="AF52" s="12">
        <v>0.26932379828023517</v>
      </c>
      <c r="AG52" s="12">
        <v>0.27100000000000013</v>
      </c>
    </row>
    <row r="53" spans="1:33" ht="14.5" hidden="1" customHeight="1" x14ac:dyDescent="0.4">
      <c r="A53" s="154"/>
      <c r="B53" s="60" t="s">
        <v>22</v>
      </c>
      <c r="C53" s="41"/>
      <c r="D53" s="87" t="e">
        <f t="shared" ref="D53:Q53" si="267">D42*T53</f>
        <v>#REF!</v>
      </c>
      <c r="E53" s="87" t="e">
        <f t="shared" si="267"/>
        <v>#REF!</v>
      </c>
      <c r="F53" s="87" t="e">
        <f t="shared" si="267"/>
        <v>#REF!</v>
      </c>
      <c r="G53" s="87" t="e">
        <f t="shared" si="267"/>
        <v>#REF!</v>
      </c>
      <c r="H53" s="87" t="e">
        <f t="shared" si="267"/>
        <v>#REF!</v>
      </c>
      <c r="I53" s="87" t="e">
        <f t="shared" si="267"/>
        <v>#REF!</v>
      </c>
      <c r="J53" s="87" t="e">
        <f t="shared" si="267"/>
        <v>#REF!</v>
      </c>
      <c r="K53" s="87" t="e">
        <f t="shared" si="267"/>
        <v>#REF!</v>
      </c>
      <c r="L53" s="87" t="e">
        <f t="shared" si="267"/>
        <v>#REF!</v>
      </c>
      <c r="M53" s="87" t="e">
        <f t="shared" si="267"/>
        <v>#REF!</v>
      </c>
      <c r="N53" s="87" t="e">
        <f t="shared" si="267"/>
        <v>#REF!</v>
      </c>
      <c r="O53" s="87" t="e">
        <f t="shared" si="267"/>
        <v>#REF!</v>
      </c>
      <c r="P53" s="87" t="e">
        <f t="shared" si="267"/>
        <v>#REF!</v>
      </c>
      <c r="Q53" s="87" t="e">
        <f t="shared" si="267"/>
        <v>#REF!</v>
      </c>
      <c r="R53" s="74" t="e">
        <f t="shared" si="266"/>
        <v>#REF!</v>
      </c>
      <c r="S53" s="60"/>
      <c r="T53" s="12">
        <v>0.38</v>
      </c>
      <c r="U53" s="12">
        <v>0.38090988938047371</v>
      </c>
      <c r="V53" s="12">
        <v>0.38182195744169661</v>
      </c>
      <c r="W53" s="12">
        <v>0.38273620940040159</v>
      </c>
      <c r="X53" s="12">
        <v>0.38365265048581265</v>
      </c>
      <c r="Y53" s="12">
        <v>0.38457128593967477</v>
      </c>
      <c r="Z53" s="12">
        <v>0.38549212101628438</v>
      </c>
      <c r="AA53" s="12">
        <v>0.38641516098251855</v>
      </c>
      <c r="AB53" s="12">
        <v>0.38734041111786593</v>
      </c>
      <c r="AC53" s="12">
        <v>0.38826787671445667</v>
      </c>
      <c r="AD53" s="12">
        <v>0.38919756307709236</v>
      </c>
      <c r="AE53" s="12">
        <v>0.39012947552327681</v>
      </c>
      <c r="AF53" s="12">
        <v>0.3910636193832463</v>
      </c>
      <c r="AG53" s="12">
        <v>0.39200000000000002</v>
      </c>
    </row>
    <row r="54" spans="1:33" ht="14.5" hidden="1" customHeight="1" x14ac:dyDescent="0.4">
      <c r="A54" s="154"/>
      <c r="B54" s="61" t="s">
        <v>23</v>
      </c>
      <c r="C54" s="41"/>
      <c r="D54" s="88" t="e">
        <f t="shared" ref="D54:Q54" si="268">D53*T54</f>
        <v>#REF!</v>
      </c>
      <c r="E54" s="88" t="e">
        <f t="shared" si="268"/>
        <v>#REF!</v>
      </c>
      <c r="F54" s="88" t="e">
        <f t="shared" si="268"/>
        <v>#REF!</v>
      </c>
      <c r="G54" s="88" t="e">
        <f t="shared" si="268"/>
        <v>#REF!</v>
      </c>
      <c r="H54" s="88" t="e">
        <f t="shared" si="268"/>
        <v>#REF!</v>
      </c>
      <c r="I54" s="88" t="e">
        <f t="shared" si="268"/>
        <v>#REF!</v>
      </c>
      <c r="J54" s="88" t="e">
        <f t="shared" si="268"/>
        <v>#REF!</v>
      </c>
      <c r="K54" s="88" t="e">
        <f t="shared" si="268"/>
        <v>#REF!</v>
      </c>
      <c r="L54" s="88" t="e">
        <f t="shared" si="268"/>
        <v>#REF!</v>
      </c>
      <c r="M54" s="88" t="e">
        <f t="shared" si="268"/>
        <v>#REF!</v>
      </c>
      <c r="N54" s="88" t="e">
        <f t="shared" si="268"/>
        <v>#REF!</v>
      </c>
      <c r="O54" s="88" t="e">
        <f t="shared" si="268"/>
        <v>#REF!</v>
      </c>
      <c r="P54" s="88" t="e">
        <f t="shared" si="268"/>
        <v>#REF!</v>
      </c>
      <c r="Q54" s="88" t="e">
        <f t="shared" si="268"/>
        <v>#REF!</v>
      </c>
      <c r="R54" s="74" t="e">
        <f t="shared" si="266"/>
        <v>#REF!</v>
      </c>
      <c r="S54" s="61"/>
      <c r="T54" s="67">
        <v>0.34999999999999987</v>
      </c>
      <c r="U54" s="67">
        <v>0.34938588387166564</v>
      </c>
      <c r="V54" s="67">
        <v>0.34877284528224306</v>
      </c>
      <c r="W54" s="67">
        <v>0.34816088234106346</v>
      </c>
      <c r="X54" s="67">
        <v>0.34754999316077562</v>
      </c>
      <c r="Y54" s="67">
        <v>0.34694017585733994</v>
      </c>
      <c r="Z54" s="67">
        <v>0.34633142855002247</v>
      </c>
      <c r="AA54" s="67">
        <v>0.34572374936138933</v>
      </c>
      <c r="AB54" s="67">
        <v>0.34511713641730069</v>
      </c>
      <c r="AC54" s="67">
        <v>0.34451158784690528</v>
      </c>
      <c r="AD54" s="67">
        <v>0.34390710178263434</v>
      </c>
      <c r="AE54" s="67">
        <v>0.34330367636019604</v>
      </c>
      <c r="AF54" s="67">
        <v>0.34270130971856966</v>
      </c>
      <c r="AG54" s="67">
        <v>0.34209999999999979</v>
      </c>
    </row>
    <row r="55" spans="1:33" ht="14.5" hidden="1" customHeight="1" x14ac:dyDescent="0.4">
      <c r="A55" s="154"/>
      <c r="B55" s="61" t="s">
        <v>24</v>
      </c>
      <c r="C55" s="41"/>
      <c r="D55" s="88" t="e">
        <f t="shared" ref="D55:Q55" si="269">D53*T55</f>
        <v>#REF!</v>
      </c>
      <c r="E55" s="88" t="e">
        <f t="shared" si="269"/>
        <v>#REF!</v>
      </c>
      <c r="F55" s="88" t="e">
        <f t="shared" si="269"/>
        <v>#REF!</v>
      </c>
      <c r="G55" s="88" t="e">
        <f t="shared" si="269"/>
        <v>#REF!</v>
      </c>
      <c r="H55" s="88" t="e">
        <f t="shared" si="269"/>
        <v>#REF!</v>
      </c>
      <c r="I55" s="88" t="e">
        <f t="shared" si="269"/>
        <v>#REF!</v>
      </c>
      <c r="J55" s="88" t="e">
        <f t="shared" si="269"/>
        <v>#REF!</v>
      </c>
      <c r="K55" s="88" t="e">
        <f t="shared" si="269"/>
        <v>#REF!</v>
      </c>
      <c r="L55" s="88" t="e">
        <f t="shared" si="269"/>
        <v>#REF!</v>
      </c>
      <c r="M55" s="88" t="e">
        <f t="shared" si="269"/>
        <v>#REF!</v>
      </c>
      <c r="N55" s="88" t="e">
        <f t="shared" si="269"/>
        <v>#REF!</v>
      </c>
      <c r="O55" s="88" t="e">
        <f t="shared" si="269"/>
        <v>#REF!</v>
      </c>
      <c r="P55" s="88" t="e">
        <f t="shared" si="269"/>
        <v>#REF!</v>
      </c>
      <c r="Q55" s="88" t="e">
        <f t="shared" si="269"/>
        <v>#REF!</v>
      </c>
      <c r="R55" s="74" t="e">
        <f t="shared" si="266"/>
        <v>#REF!</v>
      </c>
      <c r="S55" s="61"/>
      <c r="T55" s="67">
        <v>0.28000000000000003</v>
      </c>
      <c r="U55" s="67">
        <v>0.28097918830490543</v>
      </c>
      <c r="V55" s="67">
        <v>0.28196180093029821</v>
      </c>
      <c r="W55" s="67">
        <v>0.28294784985137333</v>
      </c>
      <c r="X55" s="67">
        <v>0.28393734708520407</v>
      </c>
      <c r="Y55" s="67">
        <v>0.28493030469088876</v>
      </c>
      <c r="Z55" s="67">
        <v>0.28592673476969749</v>
      </c>
      <c r="AA55" s="67">
        <v>0.28692664946521995</v>
      </c>
      <c r="AB55" s="67">
        <v>0.28793006096351298</v>
      </c>
      <c r="AC55" s="67">
        <v>0.28893698149324931</v>
      </c>
      <c r="AD55" s="67">
        <v>0.28994742332586665</v>
      </c>
      <c r="AE55" s="67">
        <v>0.29096139877571725</v>
      </c>
      <c r="AF55" s="67">
        <v>0.29197892020021765</v>
      </c>
      <c r="AG55" s="67">
        <v>0.29299999999999965</v>
      </c>
    </row>
    <row r="56" spans="1:33" ht="14.5" hidden="1" customHeight="1" x14ac:dyDescent="0.4">
      <c r="A56" s="154"/>
      <c r="B56" s="61" t="s">
        <v>25</v>
      </c>
      <c r="C56" s="41"/>
      <c r="D56" s="88" t="e">
        <f t="shared" ref="D56:Q56" si="270">D53*T56</f>
        <v>#REF!</v>
      </c>
      <c r="E56" s="88" t="e">
        <f t="shared" si="270"/>
        <v>#REF!</v>
      </c>
      <c r="F56" s="88" t="e">
        <f t="shared" si="270"/>
        <v>#REF!</v>
      </c>
      <c r="G56" s="88" t="e">
        <f t="shared" si="270"/>
        <v>#REF!</v>
      </c>
      <c r="H56" s="88" t="e">
        <f t="shared" si="270"/>
        <v>#REF!</v>
      </c>
      <c r="I56" s="88" t="e">
        <f t="shared" si="270"/>
        <v>#REF!</v>
      </c>
      <c r="J56" s="88" t="e">
        <f t="shared" si="270"/>
        <v>#REF!</v>
      </c>
      <c r="K56" s="88" t="e">
        <f t="shared" si="270"/>
        <v>#REF!</v>
      </c>
      <c r="L56" s="88" t="e">
        <f t="shared" si="270"/>
        <v>#REF!</v>
      </c>
      <c r="M56" s="88" t="e">
        <f t="shared" si="270"/>
        <v>#REF!</v>
      </c>
      <c r="N56" s="88" t="e">
        <f t="shared" si="270"/>
        <v>#REF!</v>
      </c>
      <c r="O56" s="88" t="e">
        <f t="shared" si="270"/>
        <v>#REF!</v>
      </c>
      <c r="P56" s="88" t="e">
        <f t="shared" si="270"/>
        <v>#REF!</v>
      </c>
      <c r="Q56" s="88" t="e">
        <f t="shared" si="270"/>
        <v>#REF!</v>
      </c>
      <c r="R56" s="74" t="e">
        <f t="shared" si="266"/>
        <v>#REF!</v>
      </c>
      <c r="S56" s="61"/>
      <c r="T56" s="67">
        <f>1-SUM(T54:T55)</f>
        <v>0.37000000000000011</v>
      </c>
      <c r="U56" s="67">
        <f t="shared" ref="U56" si="271">1-SUM(U54:U55)</f>
        <v>0.36963492782342899</v>
      </c>
      <c r="V56" s="67">
        <f t="shared" ref="V56" si="272">1-SUM(V54:V55)</f>
        <v>0.36926535378745873</v>
      </c>
      <c r="W56" s="67">
        <f t="shared" ref="W56" si="273">1-SUM(W54:W55)</f>
        <v>0.36889126780756321</v>
      </c>
      <c r="X56" s="67">
        <f t="shared" ref="X56" si="274">1-SUM(X54:X55)</f>
        <v>0.36851265975402026</v>
      </c>
      <c r="Y56" s="67">
        <f t="shared" ref="Y56" si="275">1-SUM(Y54:Y55)</f>
        <v>0.3681295194517713</v>
      </c>
      <c r="Z56" s="67">
        <f t="shared" ref="Z56" si="276">1-SUM(Z54:Z55)</f>
        <v>0.36774183668028004</v>
      </c>
      <c r="AA56" s="67">
        <f t="shared" ref="AA56" si="277">1-SUM(AA54:AA55)</f>
        <v>0.36734960117339077</v>
      </c>
      <c r="AB56" s="67">
        <f t="shared" ref="AB56" si="278">1-SUM(AB54:AB55)</f>
        <v>0.36695280261918639</v>
      </c>
      <c r="AC56" s="67">
        <f t="shared" ref="AC56" si="279">1-SUM(AC54:AC55)</f>
        <v>0.36655143065984541</v>
      </c>
      <c r="AD56" s="67">
        <f t="shared" ref="AD56" si="280">1-SUM(AD54:AD55)</f>
        <v>0.36614547489149896</v>
      </c>
      <c r="AE56" s="67">
        <f t="shared" ref="AE56" si="281">1-SUM(AE54:AE55)</f>
        <v>0.36573492486408665</v>
      </c>
      <c r="AF56" s="67">
        <f t="shared" ref="AF56" si="282">1-SUM(AF54:AF55)</f>
        <v>0.36531977008121275</v>
      </c>
      <c r="AG56" s="67">
        <f t="shared" ref="AG56" si="283">1-SUM(AG54:AG55)</f>
        <v>0.36490000000000056</v>
      </c>
    </row>
    <row r="57" spans="1:33" ht="15" hidden="1" customHeight="1" thickBot="1" x14ac:dyDescent="0.4">
      <c r="A57" s="153"/>
      <c r="B57" s="62" t="s">
        <v>26</v>
      </c>
      <c r="C57" s="51"/>
      <c r="D57" s="89" t="e">
        <f t="shared" ref="D57:Q57" si="284">D42*T57</f>
        <v>#REF!</v>
      </c>
      <c r="E57" s="89" t="e">
        <f t="shared" si="284"/>
        <v>#REF!</v>
      </c>
      <c r="F57" s="89" t="e">
        <f t="shared" si="284"/>
        <v>#REF!</v>
      </c>
      <c r="G57" s="89" t="e">
        <f t="shared" si="284"/>
        <v>#REF!</v>
      </c>
      <c r="H57" s="89" t="e">
        <f t="shared" si="284"/>
        <v>#REF!</v>
      </c>
      <c r="I57" s="89" t="e">
        <f t="shared" si="284"/>
        <v>#REF!</v>
      </c>
      <c r="J57" s="89" t="e">
        <f t="shared" si="284"/>
        <v>#REF!</v>
      </c>
      <c r="K57" s="89" t="e">
        <f t="shared" si="284"/>
        <v>#REF!</v>
      </c>
      <c r="L57" s="89" t="e">
        <f t="shared" si="284"/>
        <v>#REF!</v>
      </c>
      <c r="M57" s="89" t="e">
        <f t="shared" si="284"/>
        <v>#REF!</v>
      </c>
      <c r="N57" s="89" t="e">
        <f t="shared" si="284"/>
        <v>#REF!</v>
      </c>
      <c r="O57" s="89" t="e">
        <f t="shared" si="284"/>
        <v>#REF!</v>
      </c>
      <c r="P57" s="89" t="e">
        <f t="shared" si="284"/>
        <v>#REF!</v>
      </c>
      <c r="Q57" s="89" t="e">
        <f t="shared" si="284"/>
        <v>#REF!</v>
      </c>
      <c r="R57" s="75" t="e">
        <f t="shared" si="266"/>
        <v>#REF!</v>
      </c>
      <c r="S57" s="62"/>
      <c r="T57" s="12">
        <f>1-SUM(T52+T53)</f>
        <v>0.37</v>
      </c>
      <c r="U57" s="12">
        <f t="shared" ref="U57:AG57" si="285">1-SUM(U52+U53)</f>
        <v>0.36753417522645271</v>
      </c>
      <c r="V57" s="12">
        <f t="shared" si="285"/>
        <v>0.36505648803236646</v>
      </c>
      <c r="W57" s="12">
        <f t="shared" si="285"/>
        <v>0.36256687293191459</v>
      </c>
      <c r="X57" s="12">
        <f t="shared" si="285"/>
        <v>0.36006526405167993</v>
      </c>
      <c r="Y57" s="12">
        <f t="shared" si="285"/>
        <v>0.35755159512829038</v>
      </c>
      <c r="Z57" s="12">
        <f t="shared" si="285"/>
        <v>0.35502579950603996</v>
      </c>
      <c r="AA57" s="12">
        <f t="shared" si="285"/>
        <v>0.35248781013449515</v>
      </c>
      <c r="AB57" s="12">
        <f t="shared" si="285"/>
        <v>0.34993755956608608</v>
      </c>
      <c r="AC57" s="12">
        <f t="shared" si="285"/>
        <v>0.3473749799536836</v>
      </c>
      <c r="AD57" s="12">
        <f t="shared" si="285"/>
        <v>0.34480000304816039</v>
      </c>
      <c r="AE57" s="12">
        <f t="shared" si="285"/>
        <v>0.34221256019593804</v>
      </c>
      <c r="AF57" s="12">
        <f t="shared" si="285"/>
        <v>0.33961258233651859</v>
      </c>
      <c r="AG57" s="12">
        <f t="shared" si="285"/>
        <v>0.33699999999999986</v>
      </c>
    </row>
    <row r="58" spans="1:33" ht="15" hidden="1" customHeight="1" thickBot="1" x14ac:dyDescent="0.4">
      <c r="A58" s="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21"/>
    </row>
    <row r="59" spans="1:33" ht="14.5" hidden="1" customHeight="1" x14ac:dyDescent="0.4">
      <c r="A59" s="152" t="s">
        <v>27</v>
      </c>
      <c r="B59" s="54" t="s">
        <v>28</v>
      </c>
      <c r="C59" s="49"/>
      <c r="D59" s="84" t="e">
        <f t="shared" ref="D59:Q59" si="286">D42*T59</f>
        <v>#REF!</v>
      </c>
      <c r="E59" s="84" t="e">
        <f t="shared" si="286"/>
        <v>#REF!</v>
      </c>
      <c r="F59" s="84" t="e">
        <f t="shared" si="286"/>
        <v>#REF!</v>
      </c>
      <c r="G59" s="84" t="e">
        <f t="shared" si="286"/>
        <v>#REF!</v>
      </c>
      <c r="H59" s="84" t="e">
        <f t="shared" si="286"/>
        <v>#REF!</v>
      </c>
      <c r="I59" s="84" t="e">
        <f t="shared" si="286"/>
        <v>#REF!</v>
      </c>
      <c r="J59" s="84" t="e">
        <f t="shared" si="286"/>
        <v>#REF!</v>
      </c>
      <c r="K59" s="84" t="e">
        <f t="shared" si="286"/>
        <v>#REF!</v>
      </c>
      <c r="L59" s="84" t="e">
        <f t="shared" si="286"/>
        <v>#REF!</v>
      </c>
      <c r="M59" s="84" t="e">
        <f t="shared" si="286"/>
        <v>#REF!</v>
      </c>
      <c r="N59" s="84" t="e">
        <f t="shared" si="286"/>
        <v>#REF!</v>
      </c>
      <c r="O59" s="84" t="e">
        <f t="shared" si="286"/>
        <v>#REF!</v>
      </c>
      <c r="P59" s="84" t="e">
        <f t="shared" si="286"/>
        <v>#REF!</v>
      </c>
      <c r="Q59" s="84" t="e">
        <f t="shared" si="286"/>
        <v>#REF!</v>
      </c>
      <c r="R59" s="71" t="e">
        <f>RATE(12,,-E59,Q59)</f>
        <v>#REF!</v>
      </c>
      <c r="S59" s="54"/>
      <c r="T59" s="12">
        <v>0.40099999999999997</v>
      </c>
      <c r="U59" s="12">
        <v>0.40265090533119946</v>
      </c>
      <c r="V59" s="12">
        <v>0.40430860739160734</v>
      </c>
      <c r="W59" s="12">
        <v>0.40597313416316017</v>
      </c>
      <c r="X59" s="12">
        <v>0.40764451374299493</v>
      </c>
      <c r="Y59" s="12">
        <v>0.40932277434392395</v>
      </c>
      <c r="Z59" s="12">
        <v>0.41100794429491083</v>
      </c>
      <c r="AA59" s="12">
        <v>0.4127000520415488</v>
      </c>
      <c r="AB59" s="12">
        <v>0.41439912614654062</v>
      </c>
      <c r="AC59" s="12">
        <v>0.41610519529018092</v>
      </c>
      <c r="AD59" s="12">
        <v>0.41781828827084017</v>
      </c>
      <c r="AE59" s="12">
        <v>0.4195384340054511</v>
      </c>
      <c r="AF59" s="12">
        <v>0.4212656615299965</v>
      </c>
      <c r="AG59" s="12">
        <v>0.42299999999999938</v>
      </c>
    </row>
    <row r="60" spans="1:33" ht="14.5" hidden="1" customHeight="1" x14ac:dyDescent="0.4">
      <c r="A60" s="154"/>
      <c r="B60" s="55" t="s">
        <v>29</v>
      </c>
      <c r="C60" s="40"/>
      <c r="D60" s="90" t="e">
        <f t="shared" ref="D60:Q60" si="287">D42*T60</f>
        <v>#REF!</v>
      </c>
      <c r="E60" s="90" t="e">
        <f t="shared" si="287"/>
        <v>#REF!</v>
      </c>
      <c r="F60" s="90" t="e">
        <f t="shared" si="287"/>
        <v>#REF!</v>
      </c>
      <c r="G60" s="90" t="e">
        <f t="shared" si="287"/>
        <v>#REF!</v>
      </c>
      <c r="H60" s="90" t="e">
        <f t="shared" si="287"/>
        <v>#REF!</v>
      </c>
      <c r="I60" s="90" t="e">
        <f t="shared" si="287"/>
        <v>#REF!</v>
      </c>
      <c r="J60" s="90" t="e">
        <f t="shared" si="287"/>
        <v>#REF!</v>
      </c>
      <c r="K60" s="90" t="e">
        <f t="shared" si="287"/>
        <v>#REF!</v>
      </c>
      <c r="L60" s="90" t="e">
        <f t="shared" si="287"/>
        <v>#REF!</v>
      </c>
      <c r="M60" s="90" t="e">
        <f t="shared" si="287"/>
        <v>#REF!</v>
      </c>
      <c r="N60" s="90" t="e">
        <f t="shared" si="287"/>
        <v>#REF!</v>
      </c>
      <c r="O60" s="90" t="e">
        <f t="shared" si="287"/>
        <v>#REF!</v>
      </c>
      <c r="P60" s="90" t="e">
        <f t="shared" si="287"/>
        <v>#REF!</v>
      </c>
      <c r="Q60" s="90" t="e">
        <f t="shared" si="287"/>
        <v>#REF!</v>
      </c>
      <c r="R60" s="76" t="e">
        <f>RATE(12,,-E60,Q60)</f>
        <v>#REF!</v>
      </c>
      <c r="S60" s="55"/>
      <c r="T60" s="12">
        <v>0.43099999999999999</v>
      </c>
      <c r="U60" s="12">
        <v>0.43183634674261745</v>
      </c>
      <c r="V60" s="12">
        <v>0.43267431639909548</v>
      </c>
      <c r="W60" s="12">
        <v>0.43351391211866536</v>
      </c>
      <c r="X60" s="12">
        <v>0.43435513705666956</v>
      </c>
      <c r="Y60" s="12">
        <v>0.43519799437457324</v>
      </c>
      <c r="Z60" s="12">
        <v>0.43604248723997657</v>
      </c>
      <c r="AA60" s="12">
        <v>0.43688861882662616</v>
      </c>
      <c r="AB60" s="12">
        <v>0.43773639231442729</v>
      </c>
      <c r="AC60" s="12">
        <v>0.43858581088945586</v>
      </c>
      <c r="AD60" s="12">
        <v>0.43943687774397006</v>
      </c>
      <c r="AE60" s="12">
        <v>0.44028959607642287</v>
      </c>
      <c r="AF60" s="12">
        <v>0.44114396909147369</v>
      </c>
      <c r="AG60" s="12">
        <v>0.44200000000000028</v>
      </c>
    </row>
    <row r="61" spans="1:33" ht="15" hidden="1" customHeight="1" thickBot="1" x14ac:dyDescent="0.4">
      <c r="A61" s="153"/>
      <c r="B61" s="56" t="s">
        <v>30</v>
      </c>
      <c r="C61" s="44"/>
      <c r="D61" s="85" t="e">
        <f t="shared" ref="D61:Q61" si="288">D42*T61</f>
        <v>#REF!</v>
      </c>
      <c r="E61" s="85" t="e">
        <f t="shared" si="288"/>
        <v>#REF!</v>
      </c>
      <c r="F61" s="85" t="e">
        <f t="shared" si="288"/>
        <v>#REF!</v>
      </c>
      <c r="G61" s="85" t="e">
        <f t="shared" si="288"/>
        <v>#REF!</v>
      </c>
      <c r="H61" s="85" t="e">
        <f t="shared" si="288"/>
        <v>#REF!</v>
      </c>
      <c r="I61" s="85" t="e">
        <f t="shared" si="288"/>
        <v>#REF!</v>
      </c>
      <c r="J61" s="85" t="e">
        <f t="shared" si="288"/>
        <v>#REF!</v>
      </c>
      <c r="K61" s="85" t="e">
        <f t="shared" si="288"/>
        <v>#REF!</v>
      </c>
      <c r="L61" s="85" t="e">
        <f t="shared" si="288"/>
        <v>#REF!</v>
      </c>
      <c r="M61" s="85" t="e">
        <f t="shared" si="288"/>
        <v>#REF!</v>
      </c>
      <c r="N61" s="85" t="e">
        <f t="shared" si="288"/>
        <v>#REF!</v>
      </c>
      <c r="O61" s="85" t="e">
        <f t="shared" si="288"/>
        <v>#REF!</v>
      </c>
      <c r="P61" s="85" t="e">
        <f t="shared" si="288"/>
        <v>#REF!</v>
      </c>
      <c r="Q61" s="85" t="e">
        <f t="shared" si="288"/>
        <v>#REF!</v>
      </c>
      <c r="R61" s="72" t="e">
        <f>RATE(12,,-E61,Q61)</f>
        <v>#REF!</v>
      </c>
      <c r="S61" s="56"/>
      <c r="T61" s="12">
        <f>1-SUM(T59:T60)</f>
        <v>0.16800000000000004</v>
      </c>
      <c r="U61" s="12">
        <f t="shared" ref="U61" si="289">1-SUM(U59:U60)</f>
        <v>0.16551274792618309</v>
      </c>
      <c r="V61" s="12">
        <f t="shared" ref="V61" si="290">1-SUM(V59:V60)</f>
        <v>0.16301707620929717</v>
      </c>
      <c r="W61" s="12">
        <f t="shared" ref="W61" si="291">1-SUM(W59:W60)</f>
        <v>0.16051295371817442</v>
      </c>
      <c r="X61" s="12">
        <f t="shared" ref="X61" si="292">1-SUM(X59:X60)</f>
        <v>0.15800034920033545</v>
      </c>
      <c r="Y61" s="12">
        <f t="shared" ref="Y61" si="293">1-SUM(Y59:Y60)</f>
        <v>0.15547923128150276</v>
      </c>
      <c r="Z61" s="12">
        <f t="shared" ref="Z61" si="294">1-SUM(Z59:Z60)</f>
        <v>0.15294956846511254</v>
      </c>
      <c r="AA61" s="12">
        <f t="shared" ref="AA61" si="295">1-SUM(AA59:AA60)</f>
        <v>0.15041132913182498</v>
      </c>
      <c r="AB61" s="12">
        <f t="shared" ref="AB61" si="296">1-SUM(AB59:AB60)</f>
        <v>0.14786448153903209</v>
      </c>
      <c r="AC61" s="12">
        <f t="shared" ref="AC61" si="297">1-SUM(AC59:AC60)</f>
        <v>0.14530899382036322</v>
      </c>
      <c r="AD61" s="12">
        <f t="shared" ref="AD61" si="298">1-SUM(AD59:AD60)</f>
        <v>0.14274483398518978</v>
      </c>
      <c r="AE61" s="12">
        <f t="shared" ref="AE61" si="299">1-SUM(AE59:AE60)</f>
        <v>0.14017196991812608</v>
      </c>
      <c r="AF61" s="12">
        <f t="shared" ref="AF61" si="300">1-SUM(AF59:AF60)</f>
        <v>0.13759036937852986</v>
      </c>
      <c r="AG61" s="12">
        <f t="shared" ref="AG61" si="301">1-SUM(AG59:AG60)</f>
        <v>0.13500000000000034</v>
      </c>
    </row>
    <row r="62" spans="1:33" ht="15.5" x14ac:dyDescent="0.35">
      <c r="A62" s="42"/>
      <c r="B62" s="43"/>
      <c r="C62" s="93"/>
      <c r="D62" s="91">
        <v>2023</v>
      </c>
      <c r="E62" s="65">
        <v>2024</v>
      </c>
      <c r="F62" s="65">
        <v>2025</v>
      </c>
      <c r="G62" s="65">
        <v>2026</v>
      </c>
      <c r="H62" s="65">
        <v>2027</v>
      </c>
      <c r="I62" s="65">
        <v>2028</v>
      </c>
      <c r="J62" s="65">
        <v>2029</v>
      </c>
      <c r="K62" s="65">
        <v>2030</v>
      </c>
      <c r="L62" s="65">
        <v>2031</v>
      </c>
      <c r="M62" s="65">
        <v>2032</v>
      </c>
      <c r="N62" s="65">
        <v>2033</v>
      </c>
      <c r="O62" s="65">
        <v>2034</v>
      </c>
      <c r="P62" s="65">
        <v>2035</v>
      </c>
      <c r="Q62" s="65">
        <v>2036</v>
      </c>
      <c r="R62" s="66" t="s">
        <v>84</v>
      </c>
    </row>
    <row r="63" spans="1:33" ht="16" thickBot="1" x14ac:dyDescent="0.4">
      <c r="A63" s="1"/>
      <c r="C63" s="21"/>
      <c r="D63" s="92">
        <f>'Market Analysis '!C13</f>
        <v>1266.5640000000001</v>
      </c>
      <c r="E63" s="92">
        <f>'Market Analysis '!D13</f>
        <v>1437.5501400000001</v>
      </c>
      <c r="F63" s="92">
        <f>'Market Analysis '!E13</f>
        <v>1634.3866340328873</v>
      </c>
      <c r="G63" s="92">
        <f>'Market Analysis '!F13</f>
        <v>1861.3659447595326</v>
      </c>
      <c r="H63" s="92">
        <f>'Market Analysis '!G13</f>
        <v>2123.5535071810345</v>
      </c>
      <c r="I63" s="92">
        <f>'Market Analysis '!H13</f>
        <v>2426.9373035899289</v>
      </c>
      <c r="J63" s="92">
        <f>'Market Analysis '!I13</f>
        <v>2778.6083239359841</v>
      </c>
      <c r="K63" s="92">
        <f>'Market Analysis '!J13</f>
        <v>3186.9786792575737</v>
      </c>
      <c r="L63" s="92">
        <f>'Market Analysis '!K13</f>
        <v>3662.0457023867975</v>
      </c>
      <c r="M63" s="92">
        <f>'Market Analysis '!L13</f>
        <v>4215.7123183205003</v>
      </c>
      <c r="N63" s="92">
        <f>'Market Analysis '!M13</f>
        <v>4862.1763939869688</v>
      </c>
      <c r="O63" s="92">
        <f>'Market Analysis '!N13</f>
        <v>5618.4048072303121</v>
      </c>
      <c r="P63" s="92">
        <f>'Market Analysis '!O13</f>
        <v>6504.7117646312154</v>
      </c>
      <c r="Q63" s="92">
        <f>'Market Analysis '!P13</f>
        <v>7545.4656469722104</v>
      </c>
      <c r="R63" s="131">
        <f t="shared" ref="R63:R68" si="302">RATE(9,,-H63,Q63)</f>
        <v>0.15127829051348871</v>
      </c>
      <c r="T63" s="65">
        <v>2023</v>
      </c>
      <c r="U63" s="65">
        <v>2024</v>
      </c>
      <c r="V63" s="65">
        <v>2025</v>
      </c>
      <c r="W63" s="65">
        <v>2026</v>
      </c>
      <c r="X63" s="65">
        <v>2027</v>
      </c>
      <c r="Y63" s="65">
        <v>2028</v>
      </c>
      <c r="Z63" s="65">
        <v>2029</v>
      </c>
      <c r="AA63" s="65">
        <v>2030</v>
      </c>
      <c r="AB63" s="65">
        <v>2031</v>
      </c>
      <c r="AC63" s="65">
        <v>2032</v>
      </c>
      <c r="AD63" s="65">
        <v>2033</v>
      </c>
      <c r="AE63" s="65">
        <v>2034</v>
      </c>
      <c r="AF63" s="65">
        <v>2035</v>
      </c>
      <c r="AG63" s="65">
        <v>2036</v>
      </c>
    </row>
    <row r="64" spans="1:33" s="121" customFormat="1" x14ac:dyDescent="0.35">
      <c r="A64" s="147" t="s">
        <v>59</v>
      </c>
      <c r="B64" s="118" t="s">
        <v>60</v>
      </c>
      <c r="C64" s="119"/>
      <c r="D64" s="120">
        <f>D63*T64</f>
        <v>721.94148000000007</v>
      </c>
      <c r="E64" s="120">
        <f>E63*U64</f>
        <v>820.50053311346574</v>
      </c>
      <c r="F64" s="120">
        <f>F63*V64</f>
        <v>934.09635819222819</v>
      </c>
      <c r="G64" s="120">
        <f t="shared" ref="G64:Q64" si="303">G63*W64</f>
        <v>1065.2453604626232</v>
      </c>
      <c r="H64" s="120">
        <f t="shared" si="303"/>
        <v>1216.9202177760023</v>
      </c>
      <c r="I64" s="120">
        <f t="shared" si="303"/>
        <v>1392.6387199137271</v>
      </c>
      <c r="J64" s="120">
        <f t="shared" si="303"/>
        <v>1596.5710559000506</v>
      </c>
      <c r="K64" s="120">
        <f t="shared" si="303"/>
        <v>1833.6696127506045</v>
      </c>
      <c r="L64" s="120">
        <f t="shared" si="303"/>
        <v>2109.8262942343667</v>
      </c>
      <c r="M64" s="120">
        <f t="shared" si="303"/>
        <v>2432.063544668541</v>
      </c>
      <c r="N64" s="120">
        <f t="shared" si="303"/>
        <v>2808.7667298589881</v>
      </c>
      <c r="O64" s="120">
        <f t="shared" si="303"/>
        <v>3249.967360338308</v>
      </c>
      <c r="P64" s="120">
        <f t="shared" si="303"/>
        <v>3767.6889367309868</v>
      </c>
      <c r="Q64" s="120">
        <f t="shared" si="303"/>
        <v>4376.3700752438881</v>
      </c>
      <c r="R64" s="131">
        <f t="shared" si="302"/>
        <v>0.15281953168771895</v>
      </c>
      <c r="S64" s="118" t="s">
        <v>60</v>
      </c>
      <c r="T64" s="136">
        <v>0.57000000000000006</v>
      </c>
      <c r="U64" s="136">
        <v>0.57076307134126514</v>
      </c>
      <c r="V64" s="136">
        <v>0.57152716422265615</v>
      </c>
      <c r="W64" s="136">
        <v>0.57229228001173127</v>
      </c>
      <c r="X64" s="136">
        <v>0.57305842007787888</v>
      </c>
      <c r="Y64" s="136">
        <v>0.57382558579232101</v>
      </c>
      <c r="Z64" s="136">
        <v>0.57459377852811533</v>
      </c>
      <c r="AA64" s="136">
        <v>0.57536299966015747</v>
      </c>
      <c r="AB64" s="136">
        <v>0.57613325056518361</v>
      </c>
      <c r="AC64" s="136">
        <v>0.57690453262177344</v>
      </c>
      <c r="AD64" s="136">
        <v>0.57767684721035151</v>
      </c>
      <c r="AE64" s="136">
        <v>0.57845019571319112</v>
      </c>
      <c r="AF64" s="136">
        <v>0.57922457951441542</v>
      </c>
      <c r="AG64" s="136">
        <v>0.58000000000000085</v>
      </c>
    </row>
    <row r="65" spans="1:33" s="117" customFormat="1" x14ac:dyDescent="0.35">
      <c r="A65" s="148"/>
      <c r="B65" s="113" t="s">
        <v>61</v>
      </c>
      <c r="C65" s="114"/>
      <c r="D65" s="115">
        <f>D63*T65</f>
        <v>177.31896000000009</v>
      </c>
      <c r="E65" s="115">
        <f t="shared" ref="E65:P65" si="304">E63*U65</f>
        <v>201.47673616760534</v>
      </c>
      <c r="F65" s="115">
        <f t="shared" si="304"/>
        <v>229.31400397718869</v>
      </c>
      <c r="G65" s="115">
        <f t="shared" si="304"/>
        <v>261.44564333411699</v>
      </c>
      <c r="H65" s="115">
        <f t="shared" si="304"/>
        <v>298.59788253603006</v>
      </c>
      <c r="I65" s="115">
        <f t="shared" si="304"/>
        <v>341.62995384803355</v>
      </c>
      <c r="J65" s="115">
        <f t="shared" si="304"/>
        <v>391.56024131306071</v>
      </c>
      <c r="K65" s="115">
        <f t="shared" si="304"/>
        <v>449.59790932581893</v>
      </c>
      <c r="L65" s="115">
        <f t="shared" si="304"/>
        <v>517.18123022479313</v>
      </c>
      <c r="M65" s="115">
        <f t="shared" si="304"/>
        <v>596.02411505306259</v>
      </c>
      <c r="N65" s="115">
        <f t="shared" si="304"/>
        <v>688.17270810984303</v>
      </c>
      <c r="O65" s="115">
        <f t="shared" si="304"/>
        <v>796.07435122908464</v>
      </c>
      <c r="P65" s="115">
        <f t="shared" si="304"/>
        <v>922.66178109274858</v>
      </c>
      <c r="Q65" s="115">
        <f t="shared" ref="Q65" si="305">Q63*AG65</f>
        <v>1071.4561218700542</v>
      </c>
      <c r="R65" s="131">
        <f t="shared" si="302"/>
        <v>0.15253516550275739</v>
      </c>
      <c r="S65" s="113" t="s">
        <v>61</v>
      </c>
      <c r="T65" s="135">
        <v>0.14000000000000007</v>
      </c>
      <c r="U65" s="135">
        <v>0.14015284097680608</v>
      </c>
      <c r="V65" s="135">
        <v>0.14030584881335637</v>
      </c>
      <c r="W65" s="135">
        <v>0.14045902369181512</v>
      </c>
      <c r="X65" s="135">
        <v>0.1406123657945457</v>
      </c>
      <c r="Y65" s="135">
        <v>0.14076587530411028</v>
      </c>
      <c r="Z65" s="135">
        <v>0.14091955240327056</v>
      </c>
      <c r="AA65" s="135">
        <v>0.14107339727498758</v>
      </c>
      <c r="AB65" s="135">
        <v>0.14122741010242224</v>
      </c>
      <c r="AC65" s="135">
        <v>0.14138159106893539</v>
      </c>
      <c r="AD65" s="135">
        <v>0.141535940358088</v>
      </c>
      <c r="AE65" s="135">
        <v>0.14169045815364148</v>
      </c>
      <c r="AF65" s="135">
        <v>0.14184514463955789</v>
      </c>
      <c r="AG65" s="135">
        <v>0.14200000000000004</v>
      </c>
    </row>
    <row r="66" spans="1:33" s="117" customFormat="1" x14ac:dyDescent="0.35">
      <c r="A66" s="148"/>
      <c r="B66" s="113" t="s">
        <v>62</v>
      </c>
      <c r="C66" s="114"/>
      <c r="D66" s="115">
        <f>D63*T66</f>
        <v>177.31896000000003</v>
      </c>
      <c r="E66" s="115">
        <f t="shared" ref="E66:P66" si="306">E63*U66</f>
        <v>201.36723748850807</v>
      </c>
      <c r="F66" s="115">
        <f t="shared" si="306"/>
        <v>229.06481632676605</v>
      </c>
      <c r="G66" s="115">
        <f t="shared" si="306"/>
        <v>261.01960312873985</v>
      </c>
      <c r="H66" s="115">
        <f t="shared" si="306"/>
        <v>297.94928301077783</v>
      </c>
      <c r="I66" s="115">
        <f t="shared" si="306"/>
        <v>340.70261626998968</v>
      </c>
      <c r="J66" s="115">
        <f t="shared" si="306"/>
        <v>390.28514273471001</v>
      </c>
      <c r="K66" s="115">
        <f t="shared" si="306"/>
        <v>447.89026165977157</v>
      </c>
      <c r="L66" s="115">
        <f t="shared" si="306"/>
        <v>514.93687952363018</v>
      </c>
      <c r="M66" s="115">
        <f t="shared" si="306"/>
        <v>593.11509735643938</v>
      </c>
      <c r="N66" s="115">
        <f t="shared" si="306"/>
        <v>684.44175731368102</v>
      </c>
      <c r="O66" s="115">
        <f t="shared" si="306"/>
        <v>791.32810289072052</v>
      </c>
      <c r="P66" s="115">
        <f t="shared" si="306"/>
        <v>916.66235103704139</v>
      </c>
      <c r="Q66" s="115">
        <f t="shared" ref="Q66" si="307">Q63*AG66</f>
        <v>1063.9106562230836</v>
      </c>
      <c r="R66" s="131">
        <f t="shared" si="302"/>
        <v>0.15190878510452302</v>
      </c>
      <c r="S66" s="113" t="s">
        <v>62</v>
      </c>
      <c r="T66" s="135">
        <v>0.14000000000000001</v>
      </c>
      <c r="U66" s="135">
        <v>0.14007667063947282</v>
      </c>
      <c r="V66" s="135">
        <v>0.14015338326742385</v>
      </c>
      <c r="W66" s="135">
        <v>0.1402301379068481</v>
      </c>
      <c r="X66" s="135">
        <v>0.14030693458075291</v>
      </c>
      <c r="Y66" s="135">
        <v>0.14038377331215846</v>
      </c>
      <c r="Z66" s="135">
        <v>0.14046065412409731</v>
      </c>
      <c r="AA66" s="135">
        <v>0.14053757703961495</v>
      </c>
      <c r="AB66" s="135">
        <v>0.14061454208176913</v>
      </c>
      <c r="AC66" s="135">
        <v>0.14069154927363042</v>
      </c>
      <c r="AD66" s="135">
        <v>0.14076859863828203</v>
      </c>
      <c r="AE66" s="135">
        <v>0.14084569019881982</v>
      </c>
      <c r="AF66" s="135">
        <v>0.14092282397835218</v>
      </c>
      <c r="AG66" s="135">
        <v>0.14100000000000026</v>
      </c>
    </row>
    <row r="67" spans="1:33" s="117" customFormat="1" x14ac:dyDescent="0.35">
      <c r="A67" s="148"/>
      <c r="B67" s="113" t="s">
        <v>63</v>
      </c>
      <c r="C67" s="114"/>
      <c r="D67" s="115">
        <f>D63*T67</f>
        <v>126.65640000000009</v>
      </c>
      <c r="E67" s="115">
        <f t="shared" ref="E67:P67" si="308">E63*U67</f>
        <v>144.29555315245275</v>
      </c>
      <c r="F67" s="115">
        <f t="shared" si="308"/>
        <v>164.67007911481667</v>
      </c>
      <c r="G67" s="115">
        <f t="shared" si="308"/>
        <v>188.24419917812969</v>
      </c>
      <c r="H67" s="115">
        <f t="shared" si="308"/>
        <v>215.56735486431253</v>
      </c>
      <c r="I67" s="115">
        <f t="shared" si="308"/>
        <v>247.29098675802834</v>
      </c>
      <c r="J67" s="115">
        <f t="shared" si="308"/>
        <v>284.18883317505447</v>
      </c>
      <c r="K67" s="115">
        <f t="shared" si="308"/>
        <v>327.18153126670319</v>
      </c>
      <c r="L67" s="115">
        <f t="shared" si="308"/>
        <v>377.36648678722776</v>
      </c>
      <c r="M67" s="115">
        <f t="shared" si="308"/>
        <v>436.05420768345476</v>
      </c>
      <c r="N67" s="115">
        <f t="shared" si="308"/>
        <v>504.81258262029672</v>
      </c>
      <c r="O67" s="115">
        <f t="shared" si="308"/>
        <v>585.52094341782436</v>
      </c>
      <c r="P67" s="115">
        <f t="shared" si="308"/>
        <v>680.43619909250367</v>
      </c>
      <c r="Q67" s="115">
        <f t="shared" ref="Q67" si="309">Q63*AG67</f>
        <v>792.27389293208284</v>
      </c>
      <c r="R67" s="131">
        <f t="shared" si="302"/>
        <v>0.15560725945916382</v>
      </c>
      <c r="S67" s="113" t="s">
        <v>63</v>
      </c>
      <c r="T67" s="135">
        <v>0.10000000000000006</v>
      </c>
      <c r="U67" s="135">
        <v>0.10037601412111632</v>
      </c>
      <c r="V67" s="135">
        <v>0.10075344210842535</v>
      </c>
      <c r="W67" s="135">
        <v>0.10113228927826372</v>
      </c>
      <c r="X67" s="135">
        <v>0.10151256096695813</v>
      </c>
      <c r="Y67" s="135">
        <v>0.10189426253090064</v>
      </c>
      <c r="Z67" s="135">
        <v>0.10227739934662408</v>
      </c>
      <c r="AA67" s="135">
        <v>0.10266197681087785</v>
      </c>
      <c r="AB67" s="135">
        <v>0.10304800034070384</v>
      </c>
      <c r="AC67" s="135">
        <v>0.10343547537351282</v>
      </c>
      <c r="AD67" s="135">
        <v>0.10382440736716095</v>
      </c>
      <c r="AE67" s="135">
        <v>0.10421480180002674</v>
      </c>
      <c r="AF67" s="135">
        <v>0.10460666417108815</v>
      </c>
      <c r="AG67" s="135">
        <v>0.10500000000000011</v>
      </c>
    </row>
    <row r="68" spans="1:33" s="117" customFormat="1" x14ac:dyDescent="0.35">
      <c r="A68" s="148"/>
      <c r="B68" s="113" t="s">
        <v>64</v>
      </c>
      <c r="C68" s="114"/>
      <c r="D68" s="115">
        <f>D63*T68</f>
        <v>63.32819999999964</v>
      </c>
      <c r="E68" s="115">
        <f t="shared" ref="E68:P68" si="310">E63*U68</f>
        <v>69.910080077968161</v>
      </c>
      <c r="F68" s="115">
        <f t="shared" si="310"/>
        <v>77.241376421887679</v>
      </c>
      <c r="G68" s="115">
        <f t="shared" si="310"/>
        <v>85.411138655922784</v>
      </c>
      <c r="H68" s="115">
        <f>H63*X68</f>
        <v>94.518768993911692</v>
      </c>
      <c r="I68" s="115">
        <f t="shared" si="310"/>
        <v>104.67502680015058</v>
      </c>
      <c r="J68" s="115">
        <f t="shared" si="310"/>
        <v>116.00305081310823</v>
      </c>
      <c r="K68" s="115">
        <f t="shared" si="310"/>
        <v>128.63936425467577</v>
      </c>
      <c r="L68" s="115">
        <f t="shared" si="310"/>
        <v>142.73481161677984</v>
      </c>
      <c r="M68" s="115">
        <f t="shared" si="310"/>
        <v>158.45535355900239</v>
      </c>
      <c r="N68" s="115">
        <f t="shared" si="310"/>
        <v>175.98261608415987</v>
      </c>
      <c r="O68" s="115">
        <f t="shared" si="310"/>
        <v>195.51404935437452</v>
      </c>
      <c r="P68" s="115">
        <f t="shared" si="310"/>
        <v>217.26249667793502</v>
      </c>
      <c r="Q68" s="115">
        <f t="shared" ref="Q68" si="311">Q63*AG68</f>
        <v>241.45490070310174</v>
      </c>
      <c r="R68" s="131">
        <f t="shared" si="302"/>
        <v>0.10983279019557564</v>
      </c>
      <c r="S68" s="113" t="s">
        <v>64</v>
      </c>
      <c r="T68" s="135">
        <f>1-SUM(T64:T67)</f>
        <v>4.9999999999999711E-2</v>
      </c>
      <c r="U68" s="135">
        <f t="shared" ref="U68:AG68" si="312">1-SUM(U64:U67)</f>
        <v>4.8631402921339606E-2</v>
      </c>
      <c r="V68" s="135">
        <f t="shared" si="312"/>
        <v>4.7260161588138283E-2</v>
      </c>
      <c r="W68" s="135">
        <f t="shared" si="312"/>
        <v>4.5886269111341749E-2</v>
      </c>
      <c r="X68" s="135">
        <f t="shared" si="312"/>
        <v>4.4509718579864299E-2</v>
      </c>
      <c r="Y68" s="135">
        <f t="shared" si="312"/>
        <v>4.3130503060509695E-2</v>
      </c>
      <c r="Z68" s="135">
        <f t="shared" si="312"/>
        <v>4.1748615597892669E-2</v>
      </c>
      <c r="AA68" s="135">
        <f t="shared" si="312"/>
        <v>4.0364049214362208E-2</v>
      </c>
      <c r="AB68" s="135">
        <f t="shared" si="312"/>
        <v>3.8976796909921174E-2</v>
      </c>
      <c r="AC68" s="135">
        <f t="shared" si="312"/>
        <v>3.7586851662147924E-2</v>
      </c>
      <c r="AD68" s="135">
        <f t="shared" si="312"/>
        <v>3.6194206426117481E-2</v>
      </c>
      <c r="AE68" s="135">
        <f t="shared" si="312"/>
        <v>3.4798854134320822E-2</v>
      </c>
      <c r="AF68" s="135">
        <f t="shared" si="312"/>
        <v>3.3400787696586387E-2</v>
      </c>
      <c r="AG68" s="135">
        <f t="shared" si="312"/>
        <v>3.1999999999998807E-2</v>
      </c>
    </row>
    <row r="69" spans="1:33" x14ac:dyDescent="0.35">
      <c r="A69" s="1"/>
      <c r="D69" s="81" t="b">
        <f>D63=SUM(D64:D68)</f>
        <v>1</v>
      </c>
      <c r="E69" s="81" t="b">
        <f t="shared" ref="E69:Q69" si="313">E63=SUM(E64:E68)</f>
        <v>1</v>
      </c>
      <c r="F69" s="81" t="b">
        <f t="shared" si="313"/>
        <v>1</v>
      </c>
      <c r="G69" s="81" t="b">
        <f t="shared" si="313"/>
        <v>1</v>
      </c>
      <c r="H69" s="81" t="b">
        <f t="shared" si="313"/>
        <v>1</v>
      </c>
      <c r="I69" s="81" t="b">
        <f t="shared" si="313"/>
        <v>1</v>
      </c>
      <c r="J69" s="81" t="b">
        <f t="shared" si="313"/>
        <v>1</v>
      </c>
      <c r="K69" s="81" t="b">
        <f t="shared" si="313"/>
        <v>1</v>
      </c>
      <c r="L69" s="81" t="b">
        <f t="shared" si="313"/>
        <v>1</v>
      </c>
      <c r="M69" s="81" t="b">
        <f t="shared" si="313"/>
        <v>1</v>
      </c>
      <c r="N69" s="81" t="b">
        <f t="shared" si="313"/>
        <v>1</v>
      </c>
      <c r="O69" s="81" t="b">
        <f t="shared" si="313"/>
        <v>1</v>
      </c>
      <c r="P69" s="81" t="b">
        <f t="shared" si="313"/>
        <v>1</v>
      </c>
      <c r="Q69" s="81" t="b">
        <f t="shared" si="313"/>
        <v>1</v>
      </c>
      <c r="R69" s="21"/>
    </row>
    <row r="70" spans="1:33" s="117" customFormat="1" x14ac:dyDescent="0.35">
      <c r="A70" s="149" t="s">
        <v>65</v>
      </c>
      <c r="B70" s="122" t="s">
        <v>66</v>
      </c>
      <c r="C70" s="123"/>
      <c r="D70" s="124">
        <f>D63*T70</f>
        <v>596.5516439999999</v>
      </c>
      <c r="E70" s="124">
        <f t="shared" ref="E70:Q70" si="314">E63*U70</f>
        <v>675.28846398248243</v>
      </c>
      <c r="F70" s="124">
        <f t="shared" si="314"/>
        <v>765.71394011463565</v>
      </c>
      <c r="G70" s="124">
        <f t="shared" si="314"/>
        <v>869.73898615454823</v>
      </c>
      <c r="H70" s="124">
        <f t="shared" si="314"/>
        <v>989.61394075374812</v>
      </c>
      <c r="I70" s="124">
        <f t="shared" si="314"/>
        <v>1127.9934442545991</v>
      </c>
      <c r="J70" s="124">
        <f t="shared" si="314"/>
        <v>1288.0145622245229</v>
      </c>
      <c r="K70" s="124">
        <f t="shared" si="314"/>
        <v>1473.391028501695</v>
      </c>
      <c r="L70" s="124">
        <f t="shared" si="314"/>
        <v>1688.5271391473243</v>
      </c>
      <c r="M70" s="124">
        <f t="shared" si="314"/>
        <v>1938.6556463287529</v>
      </c>
      <c r="N70" s="124">
        <f t="shared" si="314"/>
        <v>2230.0050180883118</v>
      </c>
      <c r="O70" s="124">
        <f t="shared" si="314"/>
        <v>2570.0026971644843</v>
      </c>
      <c r="P70" s="124">
        <f t="shared" si="314"/>
        <v>2967.5225741493141</v>
      </c>
      <c r="Q70" s="124">
        <f t="shared" si="314"/>
        <v>3433.1868693723527</v>
      </c>
      <c r="R70" s="68">
        <f>RATE(9,,-H70,Q70)</f>
        <v>0.14822166651269147</v>
      </c>
      <c r="S70" s="122" t="s">
        <v>66</v>
      </c>
      <c r="T70" s="135">
        <v>0.47099999999999986</v>
      </c>
      <c r="U70" s="135">
        <v>0.46974950312514485</v>
      </c>
      <c r="V70" s="135">
        <v>0.46850232629792044</v>
      </c>
      <c r="W70" s="135">
        <v>0.4672584607036574</v>
      </c>
      <c r="X70" s="135">
        <v>0.46601789755108947</v>
      </c>
      <c r="Y70" s="135">
        <v>0.46478062807229081</v>
      </c>
      <c r="Z70" s="135">
        <v>0.46354664352261449</v>
      </c>
      <c r="AA70" s="135">
        <v>0.46231593518063024</v>
      </c>
      <c r="AB70" s="135">
        <v>0.46108849434806326</v>
      </c>
      <c r="AC70" s="135">
        <v>0.45986431234973235</v>
      </c>
      <c r="AD70" s="135">
        <v>0.4586433805334888</v>
      </c>
      <c r="AE70" s="135">
        <v>0.45742569027015528</v>
      </c>
      <c r="AF70" s="135">
        <v>0.45621123295346477</v>
      </c>
      <c r="AG70" s="135">
        <v>0.45499999999999963</v>
      </c>
    </row>
    <row r="71" spans="1:33" s="117" customFormat="1" x14ac:dyDescent="0.35">
      <c r="A71" s="149"/>
      <c r="B71" s="122" t="s">
        <v>67</v>
      </c>
      <c r="C71" s="123"/>
      <c r="D71" s="124">
        <f>D63*T71</f>
        <v>633.28199999999993</v>
      </c>
      <c r="E71" s="124">
        <f t="shared" ref="E71:Q71" si="315">E63*U71</f>
        <v>719.87079932510244</v>
      </c>
      <c r="F71" s="124">
        <f t="shared" si="315"/>
        <v>819.68674014176258</v>
      </c>
      <c r="G71" s="124">
        <f t="shared" si="315"/>
        <v>934.94577466328838</v>
      </c>
      <c r="H71" s="124">
        <f t="shared" si="315"/>
        <v>1068.266032501115</v>
      </c>
      <c r="I71" s="124">
        <f t="shared" si="315"/>
        <v>1222.7461943716216</v>
      </c>
      <c r="J71" s="124">
        <f t="shared" si="315"/>
        <v>1402.06015329105</v>
      </c>
      <c r="K71" s="124">
        <f t="shared" si="315"/>
        <v>1610.5715533883363</v>
      </c>
      <c r="L71" s="124">
        <f t="shared" si="315"/>
        <v>1853.4726320869656</v>
      </c>
      <c r="M71" s="124">
        <f t="shared" si="315"/>
        <v>2136.9528316447149</v>
      </c>
      <c r="N71" s="124">
        <f t="shared" si="315"/>
        <v>2468.4039434397196</v>
      </c>
      <c r="O71" s="124">
        <f t="shared" si="315"/>
        <v>2856.6701696107475</v>
      </c>
      <c r="P71" s="124">
        <f t="shared" si="315"/>
        <v>3312.3535164245231</v>
      </c>
      <c r="Q71" s="124">
        <f t="shared" si="315"/>
        <v>3848.1874799558213</v>
      </c>
      <c r="R71" s="68">
        <f>RATE(9,,-H71,Q71)</f>
        <v>0.15303334496225987</v>
      </c>
      <c r="S71" s="122" t="s">
        <v>67</v>
      </c>
      <c r="T71" s="135">
        <v>0.49999999999999994</v>
      </c>
      <c r="U71" s="135">
        <v>0.50076221990079761</v>
      </c>
      <c r="V71" s="135">
        <v>0.50152560175994976</v>
      </c>
      <c r="W71" s="135">
        <v>0.50229014734879163</v>
      </c>
      <c r="X71" s="135">
        <v>0.50305585844135947</v>
      </c>
      <c r="Y71" s="135">
        <v>0.50382273681439316</v>
      </c>
      <c r="Z71" s="135">
        <v>0.50459078424734172</v>
      </c>
      <c r="AA71" s="135">
        <v>0.50536000252236668</v>
      </c>
      <c r="AB71" s="135">
        <v>0.50613039342434607</v>
      </c>
      <c r="AC71" s="135">
        <v>0.50690195874087929</v>
      </c>
      <c r="AD71" s="135">
        <v>0.50767470026229067</v>
      </c>
      <c r="AE71" s="135">
        <v>0.50844861978163358</v>
      </c>
      <c r="AF71" s="135">
        <v>0.50922371909469488</v>
      </c>
      <c r="AG71" s="135">
        <v>0.50999999999999923</v>
      </c>
    </row>
    <row r="72" spans="1:33" s="117" customFormat="1" x14ac:dyDescent="0.35">
      <c r="A72" s="149"/>
      <c r="B72" s="122" t="s">
        <v>68</v>
      </c>
      <c r="C72" s="123"/>
      <c r="D72" s="124">
        <f>D63*T72</f>
        <v>36.730356000000178</v>
      </c>
      <c r="E72" s="124">
        <f t="shared" ref="E72:Q72" si="316">E63*U72</f>
        <v>42.390876692415191</v>
      </c>
      <c r="F72" s="124">
        <f t="shared" si="316"/>
        <v>48.985953776489076</v>
      </c>
      <c r="G72" s="124">
        <f t="shared" si="316"/>
        <v>56.681183941696048</v>
      </c>
      <c r="H72" s="124">
        <f t="shared" si="316"/>
        <v>65.673533926171515</v>
      </c>
      <c r="I72" s="124">
        <f t="shared" si="316"/>
        <v>76.197664963708093</v>
      </c>
      <c r="J72" s="124">
        <f t="shared" si="316"/>
        <v>88.533608420411369</v>
      </c>
      <c r="K72" s="124">
        <f t="shared" si="316"/>
        <v>103.01609736754257</v>
      </c>
      <c r="L72" s="124">
        <f t="shared" si="316"/>
        <v>120.04593115250792</v>
      </c>
      <c r="M72" s="124">
        <f>M63*AC72</f>
        <v>140.10384034703264</v>
      </c>
      <c r="N72" s="124">
        <f t="shared" si="316"/>
        <v>163.76743245893769</v>
      </c>
      <c r="O72" s="124">
        <f t="shared" si="316"/>
        <v>191.73194045508089</v>
      </c>
      <c r="P72" s="124">
        <f t="shared" si="316"/>
        <v>224.83567405737799</v>
      </c>
      <c r="Q72" s="124">
        <f t="shared" si="316"/>
        <v>264.09129764403599</v>
      </c>
      <c r="R72" s="68">
        <f>RATE(9,,-H72,Q72)</f>
        <v>0.1672167807702751</v>
      </c>
      <c r="S72" s="122" t="s">
        <v>68</v>
      </c>
      <c r="T72" s="135">
        <f>1-SUM(T70:T71)</f>
        <v>2.9000000000000137E-2</v>
      </c>
      <c r="U72" s="135">
        <f t="shared" ref="U72:AG72" si="317">1-SUM(U70:U71)</f>
        <v>2.9488276974057537E-2</v>
      </c>
      <c r="V72" s="135">
        <f t="shared" si="317"/>
        <v>2.9972071942129808E-2</v>
      </c>
      <c r="W72" s="135">
        <f t="shared" si="317"/>
        <v>3.0451391947550976E-2</v>
      </c>
      <c r="X72" s="135">
        <f t="shared" si="317"/>
        <v>3.0926244007551063E-2</v>
      </c>
      <c r="Y72" s="135">
        <f t="shared" si="317"/>
        <v>3.1396635113316029E-2</v>
      </c>
      <c r="Z72" s="135">
        <f t="shared" si="317"/>
        <v>3.1862572230043851E-2</v>
      </c>
      <c r="AA72" s="135">
        <f t="shared" si="317"/>
        <v>3.2324062297003131E-2</v>
      </c>
      <c r="AB72" s="135">
        <f t="shared" si="317"/>
        <v>3.2781112227590725E-2</v>
      </c>
      <c r="AC72" s="135">
        <f t="shared" si="317"/>
        <v>3.323372890938836E-2</v>
      </c>
      <c r="AD72" s="135">
        <f t="shared" si="317"/>
        <v>3.3681919204220589E-2</v>
      </c>
      <c r="AE72" s="135">
        <f t="shared" si="317"/>
        <v>3.4125689948211191E-2</v>
      </c>
      <c r="AF72" s="135">
        <f t="shared" si="317"/>
        <v>3.4565047951840344E-2</v>
      </c>
      <c r="AG72" s="135">
        <f t="shared" si="317"/>
        <v>3.5000000000001141E-2</v>
      </c>
    </row>
    <row r="73" spans="1:33" x14ac:dyDescent="0.35">
      <c r="A73" s="1"/>
      <c r="D73" s="81" t="b">
        <f>D63=SUM(D70:D72)</f>
        <v>1</v>
      </c>
      <c r="E73" s="81" t="b">
        <f t="shared" ref="E73:Q73" si="318">E63=SUM(E70:E72)</f>
        <v>1</v>
      </c>
      <c r="F73" s="81" t="b">
        <f t="shared" si="318"/>
        <v>1</v>
      </c>
      <c r="G73" s="81" t="b">
        <f t="shared" si="318"/>
        <v>1</v>
      </c>
      <c r="H73" s="81" t="b">
        <f t="shared" si="318"/>
        <v>1</v>
      </c>
      <c r="I73" s="81" t="b">
        <f t="shared" si="318"/>
        <v>1</v>
      </c>
      <c r="J73" s="81" t="b">
        <f t="shared" si="318"/>
        <v>1</v>
      </c>
      <c r="K73" s="81" t="b">
        <f t="shared" si="318"/>
        <v>1</v>
      </c>
      <c r="L73" s="81" t="b">
        <f t="shared" si="318"/>
        <v>1</v>
      </c>
      <c r="M73" s="81" t="b">
        <f t="shared" si="318"/>
        <v>1</v>
      </c>
      <c r="N73" s="81" t="b">
        <f t="shared" si="318"/>
        <v>1</v>
      </c>
      <c r="O73" s="81" t="b">
        <f t="shared" si="318"/>
        <v>1</v>
      </c>
      <c r="P73" s="81" t="b">
        <f t="shared" si="318"/>
        <v>1</v>
      </c>
      <c r="Q73" s="81" t="b">
        <f t="shared" si="318"/>
        <v>1</v>
      </c>
      <c r="R73" s="21"/>
    </row>
    <row r="74" spans="1:33" s="117" customFormat="1" x14ac:dyDescent="0.35">
      <c r="A74" s="149" t="s">
        <v>69</v>
      </c>
      <c r="B74" s="125" t="s">
        <v>70</v>
      </c>
      <c r="C74" s="126"/>
      <c r="D74" s="127">
        <f>D63*T74</f>
        <v>709.27584000000013</v>
      </c>
      <c r="E74" s="127">
        <f t="shared" ref="E74:Q74" si="319">E63*U74</f>
        <v>805.1386591800001</v>
      </c>
      <c r="F74" s="127">
        <f t="shared" si="319"/>
        <v>915.50795915596052</v>
      </c>
      <c r="G74" s="127">
        <f t="shared" si="319"/>
        <v>1042.7944750525905</v>
      </c>
      <c r="H74" s="127">
        <f t="shared" si="319"/>
        <v>1189.8433651005121</v>
      </c>
      <c r="I74" s="127">
        <f t="shared" si="319"/>
        <v>1360.018327434818</v>
      </c>
      <c r="J74" s="127">
        <f t="shared" si="319"/>
        <v>1557.3030960151984</v>
      </c>
      <c r="K74" s="127">
        <f t="shared" si="319"/>
        <v>1786.4241258269185</v>
      </c>
      <c r="L74" s="127">
        <f t="shared" si="319"/>
        <v>2052.999159922691</v>
      </c>
      <c r="M74" s="127">
        <f t="shared" si="319"/>
        <v>2363.71746832601</v>
      </c>
      <c r="N74" s="127">
        <f t="shared" si="319"/>
        <v>2726.5589163203849</v>
      </c>
      <c r="O74" s="127">
        <f t="shared" si="319"/>
        <v>3151.0607268858621</v>
      </c>
      <c r="P74" s="127">
        <f t="shared" si="319"/>
        <v>3648.642937514679</v>
      </c>
      <c r="Q74" s="127">
        <f t="shared" si="319"/>
        <v>4233.0062279514104</v>
      </c>
      <c r="R74" s="131">
        <f>RATE(9,,-H74,Q74)</f>
        <v>0.15143625956329737</v>
      </c>
      <c r="S74" s="125" t="s">
        <v>70</v>
      </c>
      <c r="T74" s="135">
        <v>0.56000000000000005</v>
      </c>
      <c r="U74" s="135">
        <v>0.56007692307692314</v>
      </c>
      <c r="V74" s="135">
        <v>0.56015384615384622</v>
      </c>
      <c r="W74" s="135">
        <v>0.56023076923076931</v>
      </c>
      <c r="X74" s="135">
        <v>0.5603076923076924</v>
      </c>
      <c r="Y74" s="135">
        <v>0.56038461538461548</v>
      </c>
      <c r="Z74" s="135">
        <v>0.56046153846153846</v>
      </c>
      <c r="AA74" s="135">
        <v>0.56053846153846154</v>
      </c>
      <c r="AB74" s="135">
        <v>0.56061538461538463</v>
      </c>
      <c r="AC74" s="135">
        <v>0.56069230769230771</v>
      </c>
      <c r="AD74" s="135">
        <v>0.5607692307692308</v>
      </c>
      <c r="AE74" s="135">
        <v>0.56084615384615388</v>
      </c>
      <c r="AF74" s="135">
        <v>0.56092307692307697</v>
      </c>
      <c r="AG74" s="135">
        <v>0.56100000000000005</v>
      </c>
    </row>
    <row r="75" spans="1:33" s="117" customFormat="1" x14ac:dyDescent="0.35">
      <c r="A75" s="149"/>
      <c r="B75" s="125" t="s">
        <v>71</v>
      </c>
      <c r="C75" s="126"/>
      <c r="D75" s="127">
        <f>D63*T75</f>
        <v>316.64100000000002</v>
      </c>
      <c r="E75" s="127">
        <f t="shared" ref="E75:Q75" si="320">E63*U75</f>
        <v>359.71927734000008</v>
      </c>
      <c r="F75" s="127">
        <f t="shared" si="320"/>
        <v>409.3509908008524</v>
      </c>
      <c r="G75" s="127">
        <f t="shared" si="320"/>
        <v>466.63012415163979</v>
      </c>
      <c r="H75" s="127">
        <f t="shared" si="320"/>
        <v>532.84858003265651</v>
      </c>
      <c r="I75" s="127">
        <f t="shared" si="320"/>
        <v>609.53463817085526</v>
      </c>
      <c r="J75" s="127">
        <f t="shared" si="320"/>
        <v>698.49938481713809</v>
      </c>
      <c r="K75" s="127">
        <f t="shared" si="320"/>
        <v>801.89286614242496</v>
      </c>
      <c r="L75" s="127">
        <f t="shared" si="320"/>
        <v>922.27212535495187</v>
      </c>
      <c r="M75" s="127">
        <f t="shared" si="320"/>
        <v>1062.6837897797138</v>
      </c>
      <c r="N75" s="127">
        <f t="shared" si="320"/>
        <v>1226.7645055597889</v>
      </c>
      <c r="O75" s="127">
        <f t="shared" si="320"/>
        <v>1418.8633063182397</v>
      </c>
      <c r="P75" s="127">
        <f t="shared" si="320"/>
        <v>1644.1909891213982</v>
      </c>
      <c r="Q75" s="127">
        <f t="shared" si="320"/>
        <v>1909.0028086839693</v>
      </c>
      <c r="R75" s="68">
        <f>RATE(9,,-H75,Q75)</f>
        <v>0.15233322459892354</v>
      </c>
      <c r="S75" s="125" t="s">
        <v>71</v>
      </c>
      <c r="T75" s="135">
        <v>0.25</v>
      </c>
      <c r="U75" s="135">
        <v>0.25023076923076926</v>
      </c>
      <c r="V75" s="135">
        <v>0.25046153846153846</v>
      </c>
      <c r="W75" s="135">
        <v>0.25069230769230771</v>
      </c>
      <c r="X75" s="135">
        <v>0.25092307692307692</v>
      </c>
      <c r="Y75" s="135">
        <v>0.25115384615384617</v>
      </c>
      <c r="Z75" s="135">
        <v>0.25138461538461537</v>
      </c>
      <c r="AA75" s="135">
        <v>0.25161538461538463</v>
      </c>
      <c r="AB75" s="135">
        <v>0.25184615384615383</v>
      </c>
      <c r="AC75" s="135">
        <v>0.25207692307692309</v>
      </c>
      <c r="AD75" s="135">
        <v>0.25230769230769229</v>
      </c>
      <c r="AE75" s="135">
        <v>0.25253846153846154</v>
      </c>
      <c r="AF75" s="135">
        <v>0.2527692307692308</v>
      </c>
      <c r="AG75" s="135">
        <v>0.253</v>
      </c>
    </row>
    <row r="76" spans="1:33" s="117" customFormat="1" x14ac:dyDescent="0.35">
      <c r="A76" s="149"/>
      <c r="B76" s="125" t="s">
        <v>72</v>
      </c>
      <c r="C76" s="126"/>
      <c r="D76" s="127">
        <f>D63*T76</f>
        <v>164.65332000000001</v>
      </c>
      <c r="E76" s="127">
        <f t="shared" ref="E76:Q76" si="321">E63*U76</f>
        <v>187.10267976000003</v>
      </c>
      <c r="F76" s="127">
        <f t="shared" si="321"/>
        <v>212.9731506193624</v>
      </c>
      <c r="G76" s="127">
        <f t="shared" si="321"/>
        <v>242.8366647932437</v>
      </c>
      <c r="H76" s="127">
        <f t="shared" si="321"/>
        <v>277.3687580917998</v>
      </c>
      <c r="I76" s="127">
        <f t="shared" si="321"/>
        <v>317.36872431560613</v>
      </c>
      <c r="J76" s="127">
        <f t="shared" si="321"/>
        <v>363.78395133377273</v>
      </c>
      <c r="K76" s="127">
        <f t="shared" si="321"/>
        <v>417.73935918883893</v>
      </c>
      <c r="L76" s="127">
        <f t="shared" si="321"/>
        <v>480.57307448245206</v>
      </c>
      <c r="M76" s="127">
        <f t="shared" si="321"/>
        <v>553.87974151472429</v>
      </c>
      <c r="N76" s="127">
        <f t="shared" si="321"/>
        <v>639.56320259367055</v>
      </c>
      <c r="O76" s="127">
        <f t="shared" si="321"/>
        <v>739.90069461371513</v>
      </c>
      <c r="P76" s="127">
        <f t="shared" si="321"/>
        <v>857.62122804445414</v>
      </c>
      <c r="Q76" s="127">
        <f t="shared" si="321"/>
        <v>996.00146540033177</v>
      </c>
      <c r="R76" s="68">
        <f>RATE(9,,-H76,Q76)</f>
        <v>0.15262798433882885</v>
      </c>
      <c r="S76" s="125" t="s">
        <v>72</v>
      </c>
      <c r="T76" s="135">
        <v>0.13</v>
      </c>
      <c r="U76" s="135">
        <v>0.13015384615384618</v>
      </c>
      <c r="V76" s="135">
        <v>0.13030769230769232</v>
      </c>
      <c r="W76" s="135">
        <v>0.13046153846153849</v>
      </c>
      <c r="X76" s="135">
        <v>0.13061538461538463</v>
      </c>
      <c r="Y76" s="135">
        <v>0.13076923076923078</v>
      </c>
      <c r="Z76" s="135">
        <v>0.13092307692307695</v>
      </c>
      <c r="AA76" s="135">
        <v>0.13107692307692309</v>
      </c>
      <c r="AB76" s="135">
        <v>0.13123076923076923</v>
      </c>
      <c r="AC76" s="135">
        <v>0.13138461538461541</v>
      </c>
      <c r="AD76" s="135">
        <v>0.13153846153846155</v>
      </c>
      <c r="AE76" s="135">
        <v>0.13169230769230772</v>
      </c>
      <c r="AF76" s="135">
        <v>0.13184615384615386</v>
      </c>
      <c r="AG76" s="135">
        <v>0.13200000000000001</v>
      </c>
    </row>
    <row r="77" spans="1:33" s="117" customFormat="1" x14ac:dyDescent="0.35">
      <c r="A77" s="149"/>
      <c r="B77" s="125" t="s">
        <v>73</v>
      </c>
      <c r="C77" s="126"/>
      <c r="D77" s="127">
        <f>D63*T77</f>
        <v>25.331280000000003</v>
      </c>
      <c r="E77" s="127">
        <f t="shared" ref="E77:Q77" si="322">E63*U77</f>
        <v>28.861583579999998</v>
      </c>
      <c r="F77" s="127">
        <f t="shared" si="322"/>
        <v>32.939176778201265</v>
      </c>
      <c r="G77" s="127">
        <f t="shared" si="322"/>
        <v>37.656864882442846</v>
      </c>
      <c r="H77" s="127">
        <f t="shared" si="322"/>
        <v>43.124471222753314</v>
      </c>
      <c r="I77" s="127">
        <f t="shared" si="322"/>
        <v>49.472183496256235</v>
      </c>
      <c r="J77" s="127">
        <f t="shared" si="322"/>
        <v>56.854601089767058</v>
      </c>
      <c r="K77" s="127">
        <f t="shared" si="322"/>
        <v>65.455639027828624</v>
      </c>
      <c r="L77" s="127">
        <f t="shared" si="322"/>
        <v>75.494480633820132</v>
      </c>
      <c r="M77" s="127">
        <f t="shared" si="322"/>
        <v>87.232816432939572</v>
      </c>
      <c r="N77" s="127">
        <f t="shared" si="322"/>
        <v>100.98366356742166</v>
      </c>
      <c r="O77" s="127">
        <f t="shared" si="322"/>
        <v>117.12213098149341</v>
      </c>
      <c r="P77" s="127">
        <f t="shared" si="322"/>
        <v>136.09858461382234</v>
      </c>
      <c r="Q77" s="127">
        <f t="shared" si="322"/>
        <v>158.45477858641644</v>
      </c>
      <c r="R77" s="68">
        <f>RATE(9,,-H77,Q77)</f>
        <v>0.15557450308969978</v>
      </c>
      <c r="S77" s="125" t="s">
        <v>73</v>
      </c>
      <c r="T77" s="135">
        <v>0.02</v>
      </c>
      <c r="U77" s="135">
        <v>2.0076923076923076E-2</v>
      </c>
      <c r="V77" s="135">
        <v>2.0153846153846154E-2</v>
      </c>
      <c r="W77" s="135">
        <v>2.0230769230769229E-2</v>
      </c>
      <c r="X77" s="135">
        <v>2.0307692307692308E-2</v>
      </c>
      <c r="Y77" s="135">
        <v>2.0384615384615383E-2</v>
      </c>
      <c r="Z77" s="135">
        <v>2.0461538461538462E-2</v>
      </c>
      <c r="AA77" s="135">
        <v>2.0538461538461537E-2</v>
      </c>
      <c r="AB77" s="135">
        <v>2.0615384615384615E-2</v>
      </c>
      <c r="AC77" s="135">
        <v>2.069230769230769E-2</v>
      </c>
      <c r="AD77" s="135">
        <v>2.0769230769230769E-2</v>
      </c>
      <c r="AE77" s="135">
        <v>2.0846153846153844E-2</v>
      </c>
      <c r="AF77" s="135">
        <v>2.0923076923076923E-2</v>
      </c>
      <c r="AG77" s="135">
        <v>2.1000000000000001E-2</v>
      </c>
    </row>
    <row r="78" spans="1:33" s="117" customFormat="1" x14ac:dyDescent="0.35">
      <c r="A78" s="149"/>
      <c r="B78" s="125" t="s">
        <v>74</v>
      </c>
      <c r="C78" s="126"/>
      <c r="D78" s="127">
        <f>D63*T78</f>
        <v>50.662559999999907</v>
      </c>
      <c r="E78" s="127">
        <f t="shared" ref="E78:Q78" si="323">E63*U78</f>
        <v>56.727940139999809</v>
      </c>
      <c r="F78" s="127">
        <f t="shared" si="323"/>
        <v>63.615356678510523</v>
      </c>
      <c r="G78" s="127">
        <f t="shared" si="323"/>
        <v>71.447815879615433</v>
      </c>
      <c r="H78" s="127">
        <f t="shared" si="323"/>
        <v>80.36833273331257</v>
      </c>
      <c r="I78" s="127">
        <f t="shared" si="323"/>
        <v>90.5434301723934</v>
      </c>
      <c r="J78" s="127">
        <f t="shared" si="323"/>
        <v>102.16729068010774</v>
      </c>
      <c r="K78" s="127">
        <f t="shared" si="323"/>
        <v>115.4666890715627</v>
      </c>
      <c r="L78" s="127">
        <f t="shared" si="323"/>
        <v>130.70686199288261</v>
      </c>
      <c r="M78" s="127">
        <f t="shared" si="323"/>
        <v>148.1985022671127</v>
      </c>
      <c r="N78" s="127">
        <f t="shared" si="323"/>
        <v>168.30610594570271</v>
      </c>
      <c r="O78" s="127">
        <f t="shared" si="323"/>
        <v>191.45794843100177</v>
      </c>
      <c r="P78" s="127">
        <f t="shared" si="323"/>
        <v>218.15802533686215</v>
      </c>
      <c r="Q78" s="127">
        <f t="shared" si="323"/>
        <v>249.00036635008232</v>
      </c>
      <c r="R78" s="68">
        <f>RATE(9,,-H78,Q78)</f>
        <v>0.13388324091324472</v>
      </c>
      <c r="S78" s="125" t="s">
        <v>74</v>
      </c>
      <c r="T78" s="135">
        <f>1-SUM(T74:T77)</f>
        <v>3.9999999999999925E-2</v>
      </c>
      <c r="U78" s="135">
        <f t="shared" ref="U78:AG78" si="324">1-SUM(U74:U77)</f>
        <v>3.9461538461538326E-2</v>
      </c>
      <c r="V78" s="135">
        <f t="shared" si="324"/>
        <v>3.8923076923076727E-2</v>
      </c>
      <c r="W78" s="135">
        <f t="shared" si="324"/>
        <v>3.8384615384615128E-2</v>
      </c>
      <c r="X78" s="135">
        <f t="shared" si="324"/>
        <v>3.7846153846153641E-2</v>
      </c>
      <c r="Y78" s="135">
        <f t="shared" si="324"/>
        <v>3.7307692307692264E-2</v>
      </c>
      <c r="Z78" s="135">
        <f t="shared" si="324"/>
        <v>3.6769230769230776E-2</v>
      </c>
      <c r="AA78" s="135">
        <f t="shared" si="324"/>
        <v>3.6230769230769178E-2</v>
      </c>
      <c r="AB78" s="135">
        <f t="shared" si="324"/>
        <v>3.569230769230769E-2</v>
      </c>
      <c r="AC78" s="135">
        <f t="shared" si="324"/>
        <v>3.5153846153846091E-2</v>
      </c>
      <c r="AD78" s="135">
        <f t="shared" si="324"/>
        <v>3.4615384615384603E-2</v>
      </c>
      <c r="AE78" s="135">
        <f t="shared" si="324"/>
        <v>3.4076923076923005E-2</v>
      </c>
      <c r="AF78" s="135">
        <f t="shared" si="324"/>
        <v>3.3538461538461517E-2</v>
      </c>
      <c r="AG78" s="135">
        <f t="shared" si="324"/>
        <v>3.2999999999999918E-2</v>
      </c>
    </row>
    <row r="79" spans="1:33" x14ac:dyDescent="0.35">
      <c r="A79" s="2"/>
      <c r="D79" s="81" t="b">
        <f>D63=SUM(D74:D78)</f>
        <v>1</v>
      </c>
      <c r="E79" s="81" t="b">
        <f t="shared" ref="E79:Q79" si="325">E63=SUM(E74:E78)</f>
        <v>1</v>
      </c>
      <c r="F79" s="81" t="b">
        <f t="shared" si="325"/>
        <v>1</v>
      </c>
      <c r="G79" s="81" t="b">
        <f t="shared" si="325"/>
        <v>1</v>
      </c>
      <c r="H79" s="81" t="b">
        <f t="shared" si="325"/>
        <v>1</v>
      </c>
      <c r="I79" s="81" t="b">
        <f t="shared" si="325"/>
        <v>1</v>
      </c>
      <c r="J79" s="81" t="b">
        <f t="shared" si="325"/>
        <v>1</v>
      </c>
      <c r="K79" s="81" t="b">
        <f t="shared" si="325"/>
        <v>1</v>
      </c>
      <c r="L79" s="81" t="b">
        <f t="shared" si="325"/>
        <v>1</v>
      </c>
      <c r="M79" s="81" t="b">
        <f t="shared" si="325"/>
        <v>1</v>
      </c>
      <c r="N79" s="81" t="b">
        <f t="shared" si="325"/>
        <v>1</v>
      </c>
      <c r="O79" s="81" t="b">
        <f t="shared" si="325"/>
        <v>1</v>
      </c>
      <c r="P79" s="81" t="b">
        <f t="shared" si="325"/>
        <v>1</v>
      </c>
      <c r="Q79" s="81" t="b">
        <f t="shared" si="325"/>
        <v>1</v>
      </c>
      <c r="R79" s="21"/>
    </row>
    <row r="80" spans="1:33" s="117" customFormat="1" x14ac:dyDescent="0.35">
      <c r="A80" s="149" t="s">
        <v>75</v>
      </c>
      <c r="B80" s="128" t="s">
        <v>76</v>
      </c>
      <c r="C80" s="129"/>
      <c r="D80" s="130">
        <f>D63*T80</f>
        <v>316.64100000000002</v>
      </c>
      <c r="E80" s="130">
        <f t="shared" ref="E80:Q80" si="326">E63*U80</f>
        <v>359.60788412681615</v>
      </c>
      <c r="F80" s="130">
        <f t="shared" si="326"/>
        <v>409.09785295226612</v>
      </c>
      <c r="G80" s="130">
        <f t="shared" si="326"/>
        <v>466.19794720704493</v>
      </c>
      <c r="H80" s="130">
        <f t="shared" si="326"/>
        <v>532.19157636051784</v>
      </c>
      <c r="I80" s="130">
        <f t="shared" si="326"/>
        <v>608.59662505470487</v>
      </c>
      <c r="J80" s="130">
        <f t="shared" si="326"/>
        <v>697.21144842189892</v>
      </c>
      <c r="K80" s="130">
        <f t="shared" si="326"/>
        <v>800.17048903230193</v>
      </c>
      <c r="L80" s="130">
        <f t="shared" si="326"/>
        <v>920.01165019903544</v>
      </c>
      <c r="M80" s="130">
        <f t="shared" si="326"/>
        <v>1059.7580604781922</v>
      </c>
      <c r="N80" s="130">
        <f t="shared" si="326"/>
        <v>1223.0174875677565</v>
      </c>
      <c r="O80" s="130">
        <f t="shared" si="326"/>
        <v>1414.1034382878333</v>
      </c>
      <c r="P80" s="130">
        <f t="shared" si="326"/>
        <v>1638.1829553833757</v>
      </c>
      <c r="Q80" s="130">
        <f t="shared" si="326"/>
        <v>1901.4573430369944</v>
      </c>
      <c r="R80" s="68">
        <f t="shared" ref="R80:R86" si="327">RATE(9,,-H80,Q80)</f>
        <v>0.15198416687627622</v>
      </c>
      <c r="S80" s="128" t="s">
        <v>76</v>
      </c>
      <c r="T80" s="135">
        <v>0.25</v>
      </c>
      <c r="U80" s="135">
        <v>0.25015328100264811</v>
      </c>
      <c r="V80" s="135">
        <v>0.25030665598555929</v>
      </c>
      <c r="W80" s="135">
        <v>0.25046012500635517</v>
      </c>
      <c r="X80" s="135">
        <v>0.25061368812269258</v>
      </c>
      <c r="Y80" s="135">
        <v>0.2507673453922637</v>
      </c>
      <c r="Z80" s="135">
        <v>0.25092109687279618</v>
      </c>
      <c r="AA80" s="135">
        <v>0.2510749426220531</v>
      </c>
      <c r="AB80" s="135">
        <v>0.25122888269783278</v>
      </c>
      <c r="AC80" s="135">
        <v>0.25138291715796912</v>
      </c>
      <c r="AD80" s="135">
        <v>0.25153704606033145</v>
      </c>
      <c r="AE80" s="135">
        <v>0.25169126946282455</v>
      </c>
      <c r="AF80" s="135">
        <v>0.25184558742338869</v>
      </c>
      <c r="AG80" s="135">
        <v>0.25199999999999967</v>
      </c>
    </row>
    <row r="81" spans="1:33" s="117" customFormat="1" x14ac:dyDescent="0.35">
      <c r="A81" s="149"/>
      <c r="B81" s="128" t="s">
        <v>77</v>
      </c>
      <c r="C81" s="129"/>
      <c r="D81" s="130">
        <f>D63*T81</f>
        <v>253.31280000000007</v>
      </c>
      <c r="E81" s="130">
        <f t="shared" ref="E81:Q81" si="328">E63*U81</f>
        <v>289.62566879390533</v>
      </c>
      <c r="F81" s="130">
        <f t="shared" si="328"/>
        <v>331.70567602056536</v>
      </c>
      <c r="G81" s="130">
        <f t="shared" si="328"/>
        <v>380.55192019027641</v>
      </c>
      <c r="H81" s="130">
        <f t="shared" si="328"/>
        <v>437.35028600203555</v>
      </c>
      <c r="I81" s="130">
        <f t="shared" si="328"/>
        <v>503.51083008888236</v>
      </c>
      <c r="J81" s="130">
        <f t="shared" si="328"/>
        <v>580.71312825641974</v>
      </c>
      <c r="K81" s="130">
        <f t="shared" si="328"/>
        <v>670.96137910831419</v>
      </c>
      <c r="L81" s="130">
        <f t="shared" si="328"/>
        <v>776.65148557819987</v>
      </c>
      <c r="M81" s="130">
        <f t="shared" si="328"/>
        <v>900.65286905275161</v>
      </c>
      <c r="N81" s="130">
        <f t="shared" si="328"/>
        <v>1046.4084383462305</v>
      </c>
      <c r="O81" s="130">
        <f t="shared" si="328"/>
        <v>1218.0569732607696</v>
      </c>
      <c r="P81" s="130">
        <f t="shared" si="328"/>
        <v>1420.5832351158276</v>
      </c>
      <c r="Q81" s="130">
        <f t="shared" si="328"/>
        <v>1660.0024423338866</v>
      </c>
      <c r="R81" s="68">
        <f t="shared" si="327"/>
        <v>0.15974996481816953</v>
      </c>
      <c r="S81" s="128" t="s">
        <v>77</v>
      </c>
      <c r="T81" s="135">
        <v>0.20000000000000004</v>
      </c>
      <c r="U81" s="135">
        <v>0.20147169878464574</v>
      </c>
      <c r="V81" s="135">
        <v>0.20295422705585509</v>
      </c>
      <c r="W81" s="135">
        <v>0.20444766450233912</v>
      </c>
      <c r="X81" s="135">
        <v>0.20595209139919785</v>
      </c>
      <c r="Y81" s="135">
        <v>0.20746758861223505</v>
      </c>
      <c r="Z81" s="135">
        <v>0.20899423760230507</v>
      </c>
      <c r="AA81" s="135">
        <v>0.21053212042969136</v>
      </c>
      <c r="AB81" s="135">
        <v>0.21208131975851768</v>
      </c>
      <c r="AC81" s="135">
        <v>0.21364191886119097</v>
      </c>
      <c r="AD81" s="135">
        <v>0.21521400162287799</v>
      </c>
      <c r="AE81" s="135">
        <v>0.21679765254601358</v>
      </c>
      <c r="AF81" s="135">
        <v>0.21839295675484363</v>
      </c>
      <c r="AG81" s="135">
        <v>0.22000000000000006</v>
      </c>
    </row>
    <row r="82" spans="1:33" s="117" customFormat="1" x14ac:dyDescent="0.35">
      <c r="A82" s="149"/>
      <c r="B82" s="128" t="s">
        <v>78</v>
      </c>
      <c r="C82" s="129"/>
      <c r="D82" s="132">
        <f>D63*T82</f>
        <v>227.98152000000005</v>
      </c>
      <c r="E82" s="132">
        <f t="shared" ref="E82:Q82" si="329">E63*U82</f>
        <v>258.97906061120511</v>
      </c>
      <c r="F82" s="132">
        <f t="shared" si="329"/>
        <v>294.69013435409227</v>
      </c>
      <c r="G82" s="132">
        <f t="shared" si="329"/>
        <v>335.90131457164642</v>
      </c>
      <c r="H82" s="132">
        <f t="shared" si="329"/>
        <v>383.54143855803181</v>
      </c>
      <c r="I82" s="132">
        <f t="shared" si="329"/>
        <v>438.70924492754489</v>
      </c>
      <c r="J82" s="132">
        <f t="shared" si="329"/>
        <v>502.70673825800031</v>
      </c>
      <c r="K82" s="132">
        <f t="shared" si="329"/>
        <v>577.07954013001893</v>
      </c>
      <c r="L82" s="132">
        <f t="shared" si="329"/>
        <v>663.66577803848224</v>
      </c>
      <c r="M82" s="132">
        <f t="shared" si="329"/>
        <v>764.65542743248011</v>
      </c>
      <c r="N82" s="132">
        <f t="shared" si="329"/>
        <v>882.66247564807111</v>
      </c>
      <c r="O82" s="132">
        <f t="shared" si="329"/>
        <v>1020.812842942487</v>
      </c>
      <c r="P82" s="132">
        <f t="shared" si="329"/>
        <v>1182.8517047054329</v>
      </c>
      <c r="Q82" s="132">
        <f t="shared" si="329"/>
        <v>1373.2747477489404</v>
      </c>
      <c r="R82" s="68">
        <f t="shared" si="327"/>
        <v>0.15225727855793975</v>
      </c>
      <c r="S82" s="128" t="s">
        <v>78</v>
      </c>
      <c r="T82" s="133">
        <v>0.18000000000000002</v>
      </c>
      <c r="U82" s="133">
        <v>0.18015306277331314</v>
      </c>
      <c r="V82" s="133">
        <v>0.18030625570336284</v>
      </c>
      <c r="W82" s="133">
        <v>0.18045957890082762</v>
      </c>
      <c r="X82" s="133">
        <v>0.18061303247648028</v>
      </c>
      <c r="Y82" s="133">
        <v>0.18076661654118778</v>
      </c>
      <c r="Z82" s="133">
        <v>0.18092033120591131</v>
      </c>
      <c r="AA82" s="133">
        <v>0.18107417658170627</v>
      </c>
      <c r="AB82" s="133">
        <v>0.1812281527797229</v>
      </c>
      <c r="AC82" s="133">
        <v>0.1813822599112056</v>
      </c>
      <c r="AD82" s="133">
        <v>0.18153649808749345</v>
      </c>
      <c r="AE82" s="133">
        <v>0.18169086742002025</v>
      </c>
      <c r="AF82" s="133">
        <v>0.18184536802031454</v>
      </c>
      <c r="AG82" s="133">
        <v>0.18199999999999975</v>
      </c>
    </row>
    <row r="83" spans="1:33" s="117" customFormat="1" x14ac:dyDescent="0.35">
      <c r="A83" s="149"/>
      <c r="B83" s="128" t="s">
        <v>79</v>
      </c>
      <c r="C83" s="129"/>
      <c r="D83" s="132">
        <f>D63*T83</f>
        <v>126.65639999999999</v>
      </c>
      <c r="E83" s="132">
        <f t="shared" ref="E83:Q83" si="330">E63*U83</f>
        <v>143.97415986502048</v>
      </c>
      <c r="F83" s="132">
        <f t="shared" si="330"/>
        <v>163.93734802835249</v>
      </c>
      <c r="G83" s="132">
        <f t="shared" si="330"/>
        <v>186.9891549326577</v>
      </c>
      <c r="H83" s="132">
        <f t="shared" si="330"/>
        <v>213.65320650022298</v>
      </c>
      <c r="I83" s="132">
        <f t="shared" si="330"/>
        <v>244.54923887432437</v>
      </c>
      <c r="J83" s="132">
        <f t="shared" si="330"/>
        <v>280.41203065820997</v>
      </c>
      <c r="K83" s="132">
        <f t="shared" si="330"/>
        <v>322.11431067766728</v>
      </c>
      <c r="L83" s="132">
        <f t="shared" si="330"/>
        <v>370.69452641739315</v>
      </c>
      <c r="M83" s="132">
        <f t="shared" si="330"/>
        <v>427.39056632894301</v>
      </c>
      <c r="N83" s="132">
        <f t="shared" si="330"/>
        <v>493.6807886879439</v>
      </c>
      <c r="O83" s="132">
        <f t="shared" si="330"/>
        <v>571.33403392214939</v>
      </c>
      <c r="P83" s="132">
        <f t="shared" si="330"/>
        <v>662.47070328490463</v>
      </c>
      <c r="Q83" s="132">
        <f t="shared" si="330"/>
        <v>769.63749599116431</v>
      </c>
      <c r="R83" s="68">
        <f t="shared" si="327"/>
        <v>0.15303334496225987</v>
      </c>
      <c r="S83" s="128" t="s">
        <v>79</v>
      </c>
      <c r="T83" s="133">
        <v>9.9999999999999992E-2</v>
      </c>
      <c r="U83" s="133">
        <v>0.10015244398015953</v>
      </c>
      <c r="V83" s="133">
        <v>0.10030512035198993</v>
      </c>
      <c r="W83" s="133">
        <v>0.10045802946975833</v>
      </c>
      <c r="X83" s="133">
        <v>0.10061117168827188</v>
      </c>
      <c r="Y83" s="133">
        <v>0.10076454736287864</v>
      </c>
      <c r="Z83" s="133">
        <v>0.10091815684946834</v>
      </c>
      <c r="AA83" s="133">
        <v>0.10107200050447333</v>
      </c>
      <c r="AB83" s="133">
        <v>0.10122607868486923</v>
      </c>
      <c r="AC83" s="133">
        <v>0.10138039174817587</v>
      </c>
      <c r="AD83" s="133">
        <v>0.10153494005245813</v>
      </c>
      <c r="AE83" s="133">
        <v>0.10168972395632671</v>
      </c>
      <c r="AF83" s="133">
        <v>0.10184474381893897</v>
      </c>
      <c r="AG83" s="133">
        <v>0.10199999999999985</v>
      </c>
    </row>
    <row r="84" spans="1:33" s="117" customFormat="1" x14ac:dyDescent="0.35">
      <c r="A84" s="149"/>
      <c r="B84" s="128" t="s">
        <v>80</v>
      </c>
      <c r="C84" s="129"/>
      <c r="D84" s="132">
        <f>D63*T84</f>
        <v>164.65332000000006</v>
      </c>
      <c r="E84" s="132">
        <f t="shared" ref="E84:Q84" si="331">E63*U84</f>
        <v>187.42484261930466</v>
      </c>
      <c r="F84" s="132">
        <f t="shared" si="331"/>
        <v>213.70749651781733</v>
      </c>
      <c r="G84" s="132">
        <f t="shared" si="331"/>
        <v>244.09423360058778</v>
      </c>
      <c r="H84" s="132">
        <f t="shared" si="331"/>
        <v>279.28638563121308</v>
      </c>
      <c r="I84" s="132">
        <f t="shared" si="331"/>
        <v>320.1149194945171</v>
      </c>
      <c r="J84" s="132">
        <f t="shared" si="331"/>
        <v>367.56613543492062</v>
      </c>
      <c r="K84" s="132">
        <f t="shared" si="331"/>
        <v>422.8127928659224</v>
      </c>
      <c r="L84" s="132">
        <f t="shared" si="331"/>
        <v>487.25187866115698</v>
      </c>
      <c r="M84" s="132">
        <f t="shared" si="331"/>
        <v>562.55051981312613</v>
      </c>
      <c r="N84" s="132">
        <f t="shared" si="331"/>
        <v>650.70190059641391</v>
      </c>
      <c r="O84" s="132">
        <f t="shared" si="331"/>
        <v>754.09349245405986</v>
      </c>
      <c r="P84" s="132">
        <f t="shared" si="331"/>
        <v>875.59046634533092</v>
      </c>
      <c r="Q84" s="132">
        <f t="shared" si="331"/>
        <v>1018.637862341248</v>
      </c>
      <c r="R84" s="68">
        <f t="shared" si="327"/>
        <v>0.1546254251829621</v>
      </c>
      <c r="S84" s="128" t="s">
        <v>80</v>
      </c>
      <c r="T84" s="133">
        <v>0.13000000000000003</v>
      </c>
      <c r="U84" s="133">
        <v>0.13037795163047644</v>
      </c>
      <c r="V84" s="133">
        <v>0.13075700208737578</v>
      </c>
      <c r="W84" s="133">
        <v>0.13113715456533831</v>
      </c>
      <c r="X84" s="133">
        <v>0.1315184122682922</v>
      </c>
      <c r="Y84" s="133">
        <v>0.13190077840948042</v>
      </c>
      <c r="Z84" s="133">
        <v>0.13228425621148787</v>
      </c>
      <c r="AA84" s="133">
        <v>0.13266884890626857</v>
      </c>
      <c r="AB84" s="133">
        <v>0.1330545597351728</v>
      </c>
      <c r="AC84" s="133">
        <v>0.13344139194897456</v>
      </c>
      <c r="AD84" s="133">
        <v>0.13382934880789885</v>
      </c>
      <c r="AE84" s="133">
        <v>0.13421843358164914</v>
      </c>
      <c r="AF84" s="133">
        <v>0.13460864954943511</v>
      </c>
      <c r="AG84" s="133">
        <v>0.13499999999999995</v>
      </c>
    </row>
    <row r="85" spans="1:33" s="117" customFormat="1" x14ac:dyDescent="0.35">
      <c r="A85" s="149"/>
      <c r="B85" s="128" t="s">
        <v>81</v>
      </c>
      <c r="C85" s="129"/>
      <c r="D85" s="132">
        <f>D63*T85</f>
        <v>25.331279999999996</v>
      </c>
      <c r="E85" s="132">
        <f t="shared" ref="E85:Q85" si="332">E63*U85</f>
        <v>29.061770015308962</v>
      </c>
      <c r="F85" s="132">
        <f t="shared" si="332"/>
        <v>33.398189683663837</v>
      </c>
      <c r="G85" s="132">
        <f t="shared" si="332"/>
        <v>38.447575059536675</v>
      </c>
      <c r="H85" s="132">
        <f t="shared" si="332"/>
        <v>44.337322478388899</v>
      </c>
      <c r="I85" s="132">
        <f t="shared" si="332"/>
        <v>51.219327973954051</v>
      </c>
      <c r="J85" s="132">
        <f t="shared" si="332"/>
        <v>59.275020919712134</v>
      </c>
      <c r="K85" s="132">
        <f t="shared" si="332"/>
        <v>68.721496180619354</v>
      </c>
      <c r="L85" s="132">
        <f t="shared" si="332"/>
        <v>79.818998220024596</v>
      </c>
      <c r="M85" s="132">
        <f t="shared" si="332"/>
        <v>92.880072184595605</v>
      </c>
      <c r="N85" s="132">
        <f t="shared" si="332"/>
        <v>108.28077427137079</v>
      </c>
      <c r="O85" s="132">
        <f t="shared" si="332"/>
        <v>126.47443085715618</v>
      </c>
      <c r="P85" s="132">
        <f t="shared" si="332"/>
        <v>148.00855830083819</v>
      </c>
      <c r="Q85" s="132">
        <f t="shared" si="332"/>
        <v>173.54570988036056</v>
      </c>
      <c r="R85" s="68">
        <f t="shared" si="327"/>
        <v>0.16372236249513275</v>
      </c>
      <c r="S85" s="128" t="s">
        <v>81</v>
      </c>
      <c r="T85" s="133">
        <v>1.9999999999999997E-2</v>
      </c>
      <c r="U85" s="133">
        <v>2.0216178348609781E-2</v>
      </c>
      <c r="V85" s="133">
        <v>2.0434693351139947E-2</v>
      </c>
      <c r="W85" s="133">
        <v>2.065557026428979E-2</v>
      </c>
      <c r="X85" s="133">
        <v>2.0878834617756165E-2</v>
      </c>
      <c r="Y85" s="133">
        <v>2.1104512217184332E-2</v>
      </c>
      <c r="Z85" s="133">
        <v>2.1332629147150631E-2</v>
      </c>
      <c r="AA85" s="133">
        <v>2.1563211774177433E-2</v>
      </c>
      <c r="AB85" s="133">
        <v>2.179628674978067E-2</v>
      </c>
      <c r="AC85" s="133">
        <v>2.2031881013550313E-2</v>
      </c>
      <c r="AD85" s="133">
        <v>2.2270021796264142E-2</v>
      </c>
      <c r="AE85" s="133">
        <v>2.2510736623035158E-2</v>
      </c>
      <c r="AF85" s="133">
        <v>2.275405331649304E-2</v>
      </c>
      <c r="AG85" s="133">
        <v>2.2999999999999961E-2</v>
      </c>
    </row>
    <row r="86" spans="1:33" s="117" customFormat="1" x14ac:dyDescent="0.35">
      <c r="A86" s="149"/>
      <c r="B86" s="128" t="s">
        <v>82</v>
      </c>
      <c r="C86" s="129"/>
      <c r="D86" s="132">
        <f>D63*T86</f>
        <v>151.98767999999987</v>
      </c>
      <c r="E86" s="132">
        <f t="shared" ref="E86:Q86" si="333">E63*U86</f>
        <v>168.87675396843943</v>
      </c>
      <c r="F86" s="132">
        <f t="shared" si="333"/>
        <v>187.84993647613013</v>
      </c>
      <c r="G86" s="132">
        <f t="shared" si="333"/>
        <v>209.1837991977828</v>
      </c>
      <c r="H86" s="132">
        <f t="shared" si="333"/>
        <v>233.1932916506243</v>
      </c>
      <c r="I86" s="132">
        <f t="shared" si="333"/>
        <v>260.23711717600111</v>
      </c>
      <c r="J86" s="132">
        <f t="shared" si="333"/>
        <v>290.72382198682232</v>
      </c>
      <c r="K86" s="132">
        <f t="shared" si="333"/>
        <v>325.11867126273012</v>
      </c>
      <c r="L86" s="132">
        <f t="shared" si="333"/>
        <v>363.95138527250549</v>
      </c>
      <c r="M86" s="132">
        <f t="shared" si="333"/>
        <v>407.82480303041166</v>
      </c>
      <c r="N86" s="132">
        <f t="shared" si="333"/>
        <v>457.42452886918193</v>
      </c>
      <c r="O86" s="132">
        <f t="shared" si="333"/>
        <v>513.52959550585729</v>
      </c>
      <c r="P86" s="132">
        <f t="shared" si="333"/>
        <v>577.02414149550566</v>
      </c>
      <c r="Q86" s="132">
        <f t="shared" si="333"/>
        <v>648.91004563961565</v>
      </c>
      <c r="R86" s="68">
        <f t="shared" si="327"/>
        <v>0.12043168727048469</v>
      </c>
      <c r="S86" s="128" t="s">
        <v>82</v>
      </c>
      <c r="T86" s="133">
        <f>1-SUM(T80:T85)</f>
        <v>0.11999999999999988</v>
      </c>
      <c r="U86" s="133">
        <f t="shared" ref="U86:AG86" si="334">1-SUM(U80:U85)</f>
        <v>0.1174753834801473</v>
      </c>
      <c r="V86" s="133">
        <f t="shared" si="334"/>
        <v>0.11493604546471725</v>
      </c>
      <c r="W86" s="133">
        <f t="shared" si="334"/>
        <v>0.11238187729109173</v>
      </c>
      <c r="X86" s="133">
        <f t="shared" si="334"/>
        <v>0.109812769427309</v>
      </c>
      <c r="Y86" s="133">
        <f t="shared" si="334"/>
        <v>0.10722861146477003</v>
      </c>
      <c r="Z86" s="133">
        <f t="shared" si="334"/>
        <v>0.10462929211088057</v>
      </c>
      <c r="AA86" s="133">
        <f t="shared" si="334"/>
        <v>0.10201469918163009</v>
      </c>
      <c r="AB86" s="133">
        <f t="shared" si="334"/>
        <v>9.9384719594103998E-2</v>
      </c>
      <c r="AC86" s="133">
        <f t="shared" si="334"/>
        <v>9.6739239358933582E-2</v>
      </c>
      <c r="AD86" s="133">
        <f t="shared" si="334"/>
        <v>9.4078143572675965E-2</v>
      </c>
      <c r="AE86" s="133">
        <f t="shared" si="334"/>
        <v>9.1401316410130717E-2</v>
      </c>
      <c r="AF86" s="133">
        <f t="shared" si="334"/>
        <v>8.8708641116586051E-2</v>
      </c>
      <c r="AG86" s="133">
        <f t="shared" si="334"/>
        <v>8.6000000000000743E-2</v>
      </c>
    </row>
    <row r="87" spans="1:33" x14ac:dyDescent="0.35">
      <c r="D87" t="b">
        <f>D63=SUM(D80:D86)</f>
        <v>1</v>
      </c>
      <c r="E87" t="b">
        <f t="shared" ref="E87:Q87" si="335">E63=SUM(E80:E86)</f>
        <v>1</v>
      </c>
      <c r="F87" t="b">
        <f t="shared" si="335"/>
        <v>1</v>
      </c>
      <c r="G87" t="b">
        <f t="shared" si="335"/>
        <v>1</v>
      </c>
      <c r="H87" t="b">
        <f t="shared" si="335"/>
        <v>1</v>
      </c>
      <c r="I87" t="b">
        <f t="shared" si="335"/>
        <v>1</v>
      </c>
      <c r="J87" t="b">
        <f t="shared" si="335"/>
        <v>1</v>
      </c>
      <c r="K87" t="b">
        <f t="shared" si="335"/>
        <v>1</v>
      </c>
      <c r="L87" t="b">
        <f t="shared" si="335"/>
        <v>1</v>
      </c>
      <c r="M87" t="b">
        <f t="shared" si="335"/>
        <v>1</v>
      </c>
      <c r="N87" t="b">
        <f t="shared" si="335"/>
        <v>1</v>
      </c>
      <c r="O87" t="b">
        <f t="shared" si="335"/>
        <v>1</v>
      </c>
      <c r="P87" t="b">
        <f t="shared" si="335"/>
        <v>1</v>
      </c>
      <c r="Q87" t="b">
        <f t="shared" si="335"/>
        <v>1</v>
      </c>
    </row>
    <row r="89" spans="1:33" ht="25" x14ac:dyDescent="0.5">
      <c r="A89" s="146" t="s">
        <v>111</v>
      </c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63"/>
    </row>
    <row r="90" spans="1:33" ht="23.5" thickBot="1" x14ac:dyDescent="0.55000000000000004">
      <c r="A90" s="63"/>
      <c r="B90" s="63"/>
      <c r="C90" s="63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</row>
    <row r="91" spans="1:33" ht="16" hidden="1" thickBot="1" x14ac:dyDescent="0.4">
      <c r="A91" s="42"/>
      <c r="B91" s="43"/>
      <c r="C91" s="93"/>
      <c r="D91" s="91">
        <v>2023</v>
      </c>
      <c r="E91" s="65">
        <v>2024</v>
      </c>
      <c r="F91" s="65">
        <v>2025</v>
      </c>
      <c r="G91" s="65">
        <v>2026</v>
      </c>
      <c r="H91" s="65">
        <v>2027</v>
      </c>
      <c r="I91" s="65">
        <v>2028</v>
      </c>
      <c r="J91" s="65">
        <v>2029</v>
      </c>
      <c r="K91" s="65">
        <v>2030</v>
      </c>
      <c r="L91" s="65">
        <v>2031</v>
      </c>
      <c r="M91" s="65">
        <v>2032</v>
      </c>
      <c r="N91" s="65">
        <v>2033</v>
      </c>
      <c r="O91" s="65">
        <v>2034</v>
      </c>
      <c r="P91" s="65">
        <v>2035</v>
      </c>
      <c r="Q91" s="65">
        <v>2036</v>
      </c>
      <c r="R91" s="66" t="s">
        <v>13</v>
      </c>
    </row>
    <row r="92" spans="1:33" ht="16" hidden="1" thickBot="1" x14ac:dyDescent="0.4">
      <c r="A92" s="25"/>
      <c r="B92" s="94"/>
      <c r="C92" s="95"/>
      <c r="D92" s="92" t="e">
        <f>#REF!</f>
        <v>#REF!</v>
      </c>
      <c r="E92" s="92" t="e">
        <f>#REF!</f>
        <v>#REF!</v>
      </c>
      <c r="F92" s="92" t="e">
        <f>#REF!</f>
        <v>#REF!</v>
      </c>
      <c r="G92" s="92" t="e">
        <f>#REF!</f>
        <v>#REF!</v>
      </c>
      <c r="H92" s="92" t="e">
        <f>#REF!</f>
        <v>#REF!</v>
      </c>
      <c r="I92" s="92" t="e">
        <f>#REF!</f>
        <v>#REF!</v>
      </c>
      <c r="J92" s="92" t="e">
        <f>#REF!</f>
        <v>#REF!</v>
      </c>
      <c r="K92" s="92" t="e">
        <f>#REF!</f>
        <v>#REF!</v>
      </c>
      <c r="L92" s="92" t="e">
        <f>#REF!</f>
        <v>#REF!</v>
      </c>
      <c r="M92" s="92" t="e">
        <f>#REF!</f>
        <v>#REF!</v>
      </c>
      <c r="N92" s="92" t="e">
        <f>#REF!</f>
        <v>#REF!</v>
      </c>
      <c r="O92" s="92" t="e">
        <f>#REF!</f>
        <v>#REF!</v>
      </c>
      <c r="P92" s="92" t="e">
        <f>#REF!</f>
        <v>#REF!</v>
      </c>
      <c r="Q92" s="92" t="e">
        <f>#REF!</f>
        <v>#REF!</v>
      </c>
      <c r="R92" s="68" t="e">
        <f>RATE(12,,-E92,Q92)</f>
        <v>#REF!</v>
      </c>
      <c r="T92" s="65">
        <v>2023</v>
      </c>
      <c r="U92" s="65">
        <v>2024</v>
      </c>
      <c r="V92" s="65">
        <v>2025</v>
      </c>
      <c r="W92" s="65">
        <v>2026</v>
      </c>
      <c r="X92" s="65">
        <v>2027</v>
      </c>
      <c r="Y92" s="65">
        <v>2028</v>
      </c>
      <c r="Z92" s="65">
        <v>2029</v>
      </c>
      <c r="AA92" s="65">
        <v>2030</v>
      </c>
      <c r="AB92" s="65">
        <v>2031</v>
      </c>
      <c r="AC92" s="65">
        <v>2032</v>
      </c>
      <c r="AD92" s="65">
        <v>2033</v>
      </c>
      <c r="AE92" s="65">
        <v>2034</v>
      </c>
      <c r="AF92" s="65">
        <v>2035</v>
      </c>
      <c r="AG92" s="65">
        <v>2036</v>
      </c>
    </row>
    <row r="93" spans="1:33" ht="15" hidden="1" thickBot="1" x14ac:dyDescent="0.4">
      <c r="A93" s="150" t="s">
        <v>49</v>
      </c>
      <c r="B93" s="52" t="s">
        <v>34</v>
      </c>
      <c r="C93" s="45"/>
      <c r="D93" s="79" t="e">
        <f t="shared" ref="D93:Q93" si="336">D92*T93</f>
        <v>#REF!</v>
      </c>
      <c r="E93" s="79" t="e">
        <f t="shared" si="336"/>
        <v>#REF!</v>
      </c>
      <c r="F93" s="79" t="e">
        <f t="shared" si="336"/>
        <v>#REF!</v>
      </c>
      <c r="G93" s="79" t="e">
        <f t="shared" si="336"/>
        <v>#REF!</v>
      </c>
      <c r="H93" s="79" t="e">
        <f t="shared" si="336"/>
        <v>#REF!</v>
      </c>
      <c r="I93" s="79" t="e">
        <f t="shared" si="336"/>
        <v>#REF!</v>
      </c>
      <c r="J93" s="79" t="e">
        <f t="shared" si="336"/>
        <v>#REF!</v>
      </c>
      <c r="K93" s="79" t="e">
        <f t="shared" si="336"/>
        <v>#REF!</v>
      </c>
      <c r="L93" s="79" t="e">
        <f t="shared" si="336"/>
        <v>#REF!</v>
      </c>
      <c r="M93" s="79" t="e">
        <f t="shared" si="336"/>
        <v>#REF!</v>
      </c>
      <c r="N93" s="79" t="e">
        <f t="shared" si="336"/>
        <v>#REF!</v>
      </c>
      <c r="O93" s="79" t="e">
        <f t="shared" si="336"/>
        <v>#REF!</v>
      </c>
      <c r="P93" s="79" t="e">
        <f t="shared" si="336"/>
        <v>#REF!</v>
      </c>
      <c r="Q93" s="79" t="e">
        <f t="shared" si="336"/>
        <v>#REF!</v>
      </c>
      <c r="R93" s="77" t="e">
        <f>RATE(12,,-E93,Q93)</f>
        <v>#REF!</v>
      </c>
      <c r="S93" s="52"/>
      <c r="T93" s="12">
        <v>0.56000000000000005</v>
      </c>
      <c r="U93" s="12">
        <v>0.56092161367703952</v>
      </c>
      <c r="V93" s="12">
        <v>0.56184474408938223</v>
      </c>
      <c r="W93" s="12">
        <v>0.56276939373317769</v>
      </c>
      <c r="X93" s="12">
        <v>0.56369556510868446</v>
      </c>
      <c r="Y93" s="12">
        <v>0.56462326072027491</v>
      </c>
      <c r="Z93" s="12">
        <v>0.56555248307644368</v>
      </c>
      <c r="AA93" s="12">
        <v>0.56648323468981299</v>
      </c>
      <c r="AB93" s="12">
        <v>0.56741551807714108</v>
      </c>
      <c r="AC93" s="12">
        <v>0.56834933575932756</v>
      </c>
      <c r="AD93" s="12">
        <v>0.56928469026142059</v>
      </c>
      <c r="AE93" s="12">
        <v>0.57022158411262425</v>
      </c>
      <c r="AF93" s="12">
        <v>0.57116001984630527</v>
      </c>
      <c r="AG93" s="12">
        <v>0.57209999999999905</v>
      </c>
    </row>
    <row r="94" spans="1:33" ht="15" hidden="1" thickBot="1" x14ac:dyDescent="0.4">
      <c r="A94" s="151"/>
      <c r="B94" s="53" t="s">
        <v>35</v>
      </c>
      <c r="C94" s="46"/>
      <c r="D94" s="80" t="e">
        <f t="shared" ref="D94:Q94" si="337">D92*T94</f>
        <v>#REF!</v>
      </c>
      <c r="E94" s="80" t="e">
        <f t="shared" si="337"/>
        <v>#REF!</v>
      </c>
      <c r="F94" s="80" t="e">
        <f t="shared" si="337"/>
        <v>#REF!</v>
      </c>
      <c r="G94" s="80" t="e">
        <f t="shared" si="337"/>
        <v>#REF!</v>
      </c>
      <c r="H94" s="80" t="e">
        <f t="shared" si="337"/>
        <v>#REF!</v>
      </c>
      <c r="I94" s="80" t="e">
        <f t="shared" si="337"/>
        <v>#REF!</v>
      </c>
      <c r="J94" s="80" t="e">
        <f t="shared" si="337"/>
        <v>#REF!</v>
      </c>
      <c r="K94" s="80" t="e">
        <f t="shared" si="337"/>
        <v>#REF!</v>
      </c>
      <c r="L94" s="80" t="e">
        <f t="shared" si="337"/>
        <v>#REF!</v>
      </c>
      <c r="M94" s="80" t="e">
        <f t="shared" si="337"/>
        <v>#REF!</v>
      </c>
      <c r="N94" s="80" t="e">
        <f t="shared" si="337"/>
        <v>#REF!</v>
      </c>
      <c r="O94" s="80" t="e">
        <f t="shared" si="337"/>
        <v>#REF!</v>
      </c>
      <c r="P94" s="80" t="e">
        <f t="shared" si="337"/>
        <v>#REF!</v>
      </c>
      <c r="Q94" s="80" t="e">
        <f t="shared" si="337"/>
        <v>#REF!</v>
      </c>
      <c r="R94" s="78" t="e">
        <f>RATE(12,,-E94,Q94)</f>
        <v>#REF!</v>
      </c>
      <c r="S94" s="53"/>
      <c r="T94" s="12">
        <f>1-T93</f>
        <v>0.43999999999999995</v>
      </c>
      <c r="U94" s="12">
        <f t="shared" ref="U94" si="338">1-U93</f>
        <v>0.43907838632296048</v>
      </c>
      <c r="V94" s="12">
        <f t="shared" ref="V94" si="339">1-V93</f>
        <v>0.43815525591061777</v>
      </c>
      <c r="W94" s="12">
        <f t="shared" ref="W94" si="340">1-W93</f>
        <v>0.43723060626682231</v>
      </c>
      <c r="X94" s="12">
        <f t="shared" ref="X94" si="341">1-X93</f>
        <v>0.43630443489131554</v>
      </c>
      <c r="Y94" s="12">
        <f t="shared" ref="Y94" si="342">1-Y93</f>
        <v>0.43537673927972509</v>
      </c>
      <c r="Z94" s="12">
        <f t="shared" ref="Z94" si="343">1-Z93</f>
        <v>0.43444751692355632</v>
      </c>
      <c r="AA94" s="12">
        <f t="shared" ref="AA94" si="344">1-AA93</f>
        <v>0.43351676531018701</v>
      </c>
      <c r="AB94" s="12">
        <f t="shared" ref="AB94" si="345">1-AB93</f>
        <v>0.43258448192285892</v>
      </c>
      <c r="AC94" s="12">
        <f t="shared" ref="AC94" si="346">1-AC93</f>
        <v>0.43165066424067244</v>
      </c>
      <c r="AD94" s="12">
        <f t="shared" ref="AD94" si="347">1-AD93</f>
        <v>0.43071530973857941</v>
      </c>
      <c r="AE94" s="12">
        <f t="shared" ref="AE94" si="348">1-AE93</f>
        <v>0.42977841588737575</v>
      </c>
      <c r="AF94" s="12">
        <f t="shared" ref="AF94" si="349">1-AF93</f>
        <v>0.42883998015369473</v>
      </c>
      <c r="AG94" s="12">
        <f t="shared" ref="AG94" si="350">1-AG93</f>
        <v>0.42790000000000095</v>
      </c>
    </row>
    <row r="95" spans="1:33" ht="15" hidden="1" thickBot="1" x14ac:dyDescent="0.4">
      <c r="A95" s="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21"/>
    </row>
    <row r="96" spans="1:33" ht="15" hidden="1" thickBot="1" x14ac:dyDescent="0.4">
      <c r="A96" s="150" t="s">
        <v>15</v>
      </c>
      <c r="B96" s="57" t="s">
        <v>16</v>
      </c>
      <c r="C96" s="47"/>
      <c r="D96" s="82" t="e">
        <f t="shared" ref="D96:Q96" si="351">D92*T96</f>
        <v>#REF!</v>
      </c>
      <c r="E96" s="82" t="e">
        <f t="shared" si="351"/>
        <v>#REF!</v>
      </c>
      <c r="F96" s="82" t="e">
        <f t="shared" si="351"/>
        <v>#REF!</v>
      </c>
      <c r="G96" s="82" t="e">
        <f t="shared" si="351"/>
        <v>#REF!</v>
      </c>
      <c r="H96" s="82" t="e">
        <f t="shared" si="351"/>
        <v>#REF!</v>
      </c>
      <c r="I96" s="82" t="e">
        <f t="shared" si="351"/>
        <v>#REF!</v>
      </c>
      <c r="J96" s="82" t="e">
        <f t="shared" si="351"/>
        <v>#REF!</v>
      </c>
      <c r="K96" s="82" t="e">
        <f t="shared" si="351"/>
        <v>#REF!</v>
      </c>
      <c r="L96" s="82" t="e">
        <f t="shared" si="351"/>
        <v>#REF!</v>
      </c>
      <c r="M96" s="82" t="e">
        <f t="shared" si="351"/>
        <v>#REF!</v>
      </c>
      <c r="N96" s="82" t="e">
        <f t="shared" si="351"/>
        <v>#REF!</v>
      </c>
      <c r="O96" s="82" t="e">
        <f t="shared" si="351"/>
        <v>#REF!</v>
      </c>
      <c r="P96" s="82" t="e">
        <f t="shared" si="351"/>
        <v>#REF!</v>
      </c>
      <c r="Q96" s="82" t="e">
        <f t="shared" si="351"/>
        <v>#REF!</v>
      </c>
      <c r="R96" s="69" t="e">
        <f>RATE(12,,-E96,Q96)</f>
        <v>#REF!</v>
      </c>
      <c r="S96" s="57"/>
      <c r="T96" s="12">
        <v>0.47099999999999992</v>
      </c>
      <c r="U96" s="12">
        <v>0.47038461538461535</v>
      </c>
      <c r="V96" s="12">
        <v>0.46976923076923072</v>
      </c>
      <c r="W96" s="12">
        <v>0.46915384615384609</v>
      </c>
      <c r="X96" s="12">
        <v>0.46853846153846151</v>
      </c>
      <c r="Y96" s="12">
        <v>0.46792307692307689</v>
      </c>
      <c r="Z96" s="12">
        <v>0.46730769230769226</v>
      </c>
      <c r="AA96" s="12">
        <v>0.46669230769230763</v>
      </c>
      <c r="AB96" s="12">
        <v>0.46607692307692306</v>
      </c>
      <c r="AC96" s="12">
        <v>0.46546153846153843</v>
      </c>
      <c r="AD96" s="12">
        <v>0.4648461538461538</v>
      </c>
      <c r="AE96" s="12">
        <v>0.46423076923076922</v>
      </c>
      <c r="AF96" s="12">
        <v>0.4636153846153846</v>
      </c>
      <c r="AG96" s="12">
        <v>0.46299999999999997</v>
      </c>
    </row>
    <row r="97" spans="1:33" ht="15" hidden="1" thickBot="1" x14ac:dyDescent="0.4">
      <c r="A97" s="151"/>
      <c r="B97" s="58" t="s">
        <v>17</v>
      </c>
      <c r="C97" s="48"/>
      <c r="D97" s="83" t="e">
        <f t="shared" ref="D97:Q97" si="352">D92*T97</f>
        <v>#REF!</v>
      </c>
      <c r="E97" s="83" t="e">
        <f t="shared" si="352"/>
        <v>#REF!</v>
      </c>
      <c r="F97" s="83" t="e">
        <f t="shared" si="352"/>
        <v>#REF!</v>
      </c>
      <c r="G97" s="83" t="e">
        <f t="shared" si="352"/>
        <v>#REF!</v>
      </c>
      <c r="H97" s="83" t="e">
        <f t="shared" si="352"/>
        <v>#REF!</v>
      </c>
      <c r="I97" s="83" t="e">
        <f t="shared" si="352"/>
        <v>#REF!</v>
      </c>
      <c r="J97" s="83" t="e">
        <f t="shared" si="352"/>
        <v>#REF!</v>
      </c>
      <c r="K97" s="83" t="e">
        <f t="shared" si="352"/>
        <v>#REF!</v>
      </c>
      <c r="L97" s="83" t="e">
        <f t="shared" si="352"/>
        <v>#REF!</v>
      </c>
      <c r="M97" s="83" t="e">
        <f t="shared" si="352"/>
        <v>#REF!</v>
      </c>
      <c r="N97" s="83" t="e">
        <f t="shared" si="352"/>
        <v>#REF!</v>
      </c>
      <c r="O97" s="83" t="e">
        <f t="shared" si="352"/>
        <v>#REF!</v>
      </c>
      <c r="P97" s="83" t="e">
        <f t="shared" si="352"/>
        <v>#REF!</v>
      </c>
      <c r="Q97" s="83" t="e">
        <f t="shared" si="352"/>
        <v>#REF!</v>
      </c>
      <c r="R97" s="70" t="e">
        <f>RATE(12,,-E97,Q97)</f>
        <v>#REF!</v>
      </c>
      <c r="S97" s="58"/>
      <c r="T97" s="12">
        <f>1-T96</f>
        <v>0.52900000000000014</v>
      </c>
      <c r="U97" s="12">
        <f t="shared" ref="U97" si="353">1-U96</f>
        <v>0.5296153846153846</v>
      </c>
      <c r="V97" s="12">
        <f t="shared" ref="V97" si="354">1-V96</f>
        <v>0.53023076923076928</v>
      </c>
      <c r="W97" s="12">
        <f t="shared" ref="W97" si="355">1-W96</f>
        <v>0.53084615384615397</v>
      </c>
      <c r="X97" s="12">
        <f t="shared" ref="X97" si="356">1-X96</f>
        <v>0.53146153846153843</v>
      </c>
      <c r="Y97" s="12">
        <f t="shared" ref="Y97" si="357">1-Y96</f>
        <v>0.53207692307692311</v>
      </c>
      <c r="Z97" s="12">
        <f t="shared" ref="Z97" si="358">1-Z96</f>
        <v>0.5326923076923078</v>
      </c>
      <c r="AA97" s="12">
        <f t="shared" ref="AA97" si="359">1-AA96</f>
        <v>0.53330769230769237</v>
      </c>
      <c r="AB97" s="12">
        <f t="shared" ref="AB97" si="360">1-AB96</f>
        <v>0.53392307692307694</v>
      </c>
      <c r="AC97" s="12">
        <f t="shared" ref="AC97" si="361">1-AC96</f>
        <v>0.53453846153846163</v>
      </c>
      <c r="AD97" s="12">
        <f t="shared" ref="AD97" si="362">1-AD96</f>
        <v>0.5351538461538462</v>
      </c>
      <c r="AE97" s="12">
        <f t="shared" ref="AE97" si="363">1-AE96</f>
        <v>0.53576923076923078</v>
      </c>
      <c r="AF97" s="12">
        <f t="shared" ref="AF97" si="364">1-AF96</f>
        <v>0.53638461538461546</v>
      </c>
      <c r="AG97" s="12">
        <f t="shared" ref="AG97" si="365">1-AG96</f>
        <v>0.53700000000000003</v>
      </c>
    </row>
    <row r="98" spans="1:33" ht="15" hidden="1" thickBot="1" x14ac:dyDescent="0.4">
      <c r="A98" s="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21"/>
    </row>
    <row r="99" spans="1:33" ht="15" hidden="1" thickBot="1" x14ac:dyDescent="0.4">
      <c r="A99" s="150" t="s">
        <v>18</v>
      </c>
      <c r="B99" s="54" t="s">
        <v>19</v>
      </c>
      <c r="C99" s="49"/>
      <c r="D99" s="84" t="e">
        <f t="shared" ref="D99:Q99" si="366">D92*T99</f>
        <v>#REF!</v>
      </c>
      <c r="E99" s="84" t="e">
        <f t="shared" si="366"/>
        <v>#REF!</v>
      </c>
      <c r="F99" s="84" t="e">
        <f t="shared" si="366"/>
        <v>#REF!</v>
      </c>
      <c r="G99" s="84" t="e">
        <f t="shared" si="366"/>
        <v>#REF!</v>
      </c>
      <c r="H99" s="84" t="e">
        <f t="shared" si="366"/>
        <v>#REF!</v>
      </c>
      <c r="I99" s="84" t="e">
        <f t="shared" si="366"/>
        <v>#REF!</v>
      </c>
      <c r="J99" s="84" t="e">
        <f t="shared" si="366"/>
        <v>#REF!</v>
      </c>
      <c r="K99" s="84" t="e">
        <f t="shared" si="366"/>
        <v>#REF!</v>
      </c>
      <c r="L99" s="84" t="e">
        <f t="shared" si="366"/>
        <v>#REF!</v>
      </c>
      <c r="M99" s="84" t="e">
        <f t="shared" si="366"/>
        <v>#REF!</v>
      </c>
      <c r="N99" s="84" t="e">
        <f t="shared" si="366"/>
        <v>#REF!</v>
      </c>
      <c r="O99" s="84" t="e">
        <f t="shared" si="366"/>
        <v>#REF!</v>
      </c>
      <c r="P99" s="84" t="e">
        <f t="shared" si="366"/>
        <v>#REF!</v>
      </c>
      <c r="Q99" s="84" t="e">
        <f t="shared" si="366"/>
        <v>#REF!</v>
      </c>
      <c r="R99" s="71" t="e">
        <f>RATE(12,,-E99,Q99)</f>
        <v>#REF!</v>
      </c>
      <c r="S99" s="54"/>
      <c r="T99" s="12">
        <v>0.40099999999999997</v>
      </c>
      <c r="U99" s="12">
        <v>0.40265090533119946</v>
      </c>
      <c r="V99" s="12">
        <v>0.40430860739160734</v>
      </c>
      <c r="W99" s="12">
        <v>0.40597313416316017</v>
      </c>
      <c r="X99" s="12">
        <v>0.40764451374299493</v>
      </c>
      <c r="Y99" s="12">
        <v>0.40932277434392395</v>
      </c>
      <c r="Z99" s="12">
        <v>0.41100794429491083</v>
      </c>
      <c r="AA99" s="12">
        <v>0.4127000520415488</v>
      </c>
      <c r="AB99" s="12">
        <v>0.41439912614654062</v>
      </c>
      <c r="AC99" s="12">
        <v>0.41610519529018092</v>
      </c>
      <c r="AD99" s="12">
        <v>0.41781828827084017</v>
      </c>
      <c r="AE99" s="12">
        <v>0.4195384340054511</v>
      </c>
      <c r="AF99" s="12">
        <v>0.4212656615299965</v>
      </c>
      <c r="AG99" s="12">
        <v>0.42299999999999938</v>
      </c>
    </row>
    <row r="100" spans="1:33" ht="15" hidden="1" thickBot="1" x14ac:dyDescent="0.4">
      <c r="A100" s="151"/>
      <c r="B100" s="56" t="s">
        <v>20</v>
      </c>
      <c r="C100" s="44"/>
      <c r="D100" s="85" t="e">
        <f t="shared" ref="D100:Q100" si="367">D92*T100</f>
        <v>#REF!</v>
      </c>
      <c r="E100" s="85" t="e">
        <f t="shared" si="367"/>
        <v>#REF!</v>
      </c>
      <c r="F100" s="85" t="e">
        <f t="shared" si="367"/>
        <v>#REF!</v>
      </c>
      <c r="G100" s="85" t="e">
        <f t="shared" si="367"/>
        <v>#REF!</v>
      </c>
      <c r="H100" s="85" t="e">
        <f t="shared" si="367"/>
        <v>#REF!</v>
      </c>
      <c r="I100" s="85" t="e">
        <f t="shared" si="367"/>
        <v>#REF!</v>
      </c>
      <c r="J100" s="85" t="e">
        <f t="shared" si="367"/>
        <v>#REF!</v>
      </c>
      <c r="K100" s="85" t="e">
        <f t="shared" si="367"/>
        <v>#REF!</v>
      </c>
      <c r="L100" s="85" t="e">
        <f t="shared" si="367"/>
        <v>#REF!</v>
      </c>
      <c r="M100" s="85" t="e">
        <f t="shared" si="367"/>
        <v>#REF!</v>
      </c>
      <c r="N100" s="85" t="e">
        <f t="shared" si="367"/>
        <v>#REF!</v>
      </c>
      <c r="O100" s="85" t="e">
        <f t="shared" si="367"/>
        <v>#REF!</v>
      </c>
      <c r="P100" s="85" t="e">
        <f t="shared" si="367"/>
        <v>#REF!</v>
      </c>
      <c r="Q100" s="85" t="e">
        <f t="shared" si="367"/>
        <v>#REF!</v>
      </c>
      <c r="R100" s="72" t="e">
        <f>RATE(12,,-E100,Q100)</f>
        <v>#REF!</v>
      </c>
      <c r="S100" s="56"/>
      <c r="T100" s="12">
        <f>1-T99</f>
        <v>0.59899999999999998</v>
      </c>
      <c r="U100" s="12">
        <f t="shared" ref="U100" si="368">1-U99</f>
        <v>0.59734909466880048</v>
      </c>
      <c r="V100" s="12">
        <f t="shared" ref="V100" si="369">1-V99</f>
        <v>0.59569139260839266</v>
      </c>
      <c r="W100" s="12">
        <f t="shared" ref="W100" si="370">1-W99</f>
        <v>0.59402686583683983</v>
      </c>
      <c r="X100" s="12">
        <f t="shared" ref="X100" si="371">1-X99</f>
        <v>0.59235548625700507</v>
      </c>
      <c r="Y100" s="12">
        <f t="shared" ref="Y100" si="372">1-Y99</f>
        <v>0.59067722565607605</v>
      </c>
      <c r="Z100" s="12">
        <f t="shared" ref="Z100" si="373">1-Z99</f>
        <v>0.58899205570508917</v>
      </c>
      <c r="AA100" s="12">
        <f t="shared" ref="AA100" si="374">1-AA99</f>
        <v>0.5872999479584512</v>
      </c>
      <c r="AB100" s="12">
        <f t="shared" ref="AB100" si="375">1-AB99</f>
        <v>0.58560087385345938</v>
      </c>
      <c r="AC100" s="12">
        <f t="shared" ref="AC100" si="376">1-AC99</f>
        <v>0.58389480470981914</v>
      </c>
      <c r="AD100" s="12">
        <f t="shared" ref="AD100" si="377">1-AD99</f>
        <v>0.58218171172915989</v>
      </c>
      <c r="AE100" s="12">
        <f t="shared" ref="AE100" si="378">1-AE99</f>
        <v>0.5804615659945489</v>
      </c>
      <c r="AF100" s="12">
        <f t="shared" ref="AF100" si="379">1-AF99</f>
        <v>0.57873433847000344</v>
      </c>
      <c r="AG100" s="12">
        <f t="shared" ref="AG100" si="380">1-AG99</f>
        <v>0.57700000000000062</v>
      </c>
    </row>
    <row r="101" spans="1:33" ht="15" hidden="1" thickBot="1" x14ac:dyDescent="0.4">
      <c r="A101" s="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21"/>
    </row>
    <row r="102" spans="1:33" ht="15" hidden="1" thickBot="1" x14ac:dyDescent="0.4">
      <c r="A102" s="150" t="s">
        <v>14</v>
      </c>
      <c r="B102" s="59" t="s">
        <v>21</v>
      </c>
      <c r="C102" s="50"/>
      <c r="D102" s="86" t="e">
        <f t="shared" ref="D102:Q102" si="381">D92*T102</f>
        <v>#REF!</v>
      </c>
      <c r="E102" s="86" t="e">
        <f t="shared" si="381"/>
        <v>#REF!</v>
      </c>
      <c r="F102" s="86" t="e">
        <f t="shared" si="381"/>
        <v>#REF!</v>
      </c>
      <c r="G102" s="86" t="e">
        <f t="shared" si="381"/>
        <v>#REF!</v>
      </c>
      <c r="H102" s="86" t="e">
        <f t="shared" si="381"/>
        <v>#REF!</v>
      </c>
      <c r="I102" s="86" t="e">
        <f t="shared" si="381"/>
        <v>#REF!</v>
      </c>
      <c r="J102" s="86" t="e">
        <f t="shared" si="381"/>
        <v>#REF!</v>
      </c>
      <c r="K102" s="86" t="e">
        <f t="shared" si="381"/>
        <v>#REF!</v>
      </c>
      <c r="L102" s="86" t="e">
        <f t="shared" si="381"/>
        <v>#REF!</v>
      </c>
      <c r="M102" s="86" t="e">
        <f t="shared" si="381"/>
        <v>#REF!</v>
      </c>
      <c r="N102" s="86" t="e">
        <f t="shared" si="381"/>
        <v>#REF!</v>
      </c>
      <c r="O102" s="86" t="e">
        <f t="shared" si="381"/>
        <v>#REF!</v>
      </c>
      <c r="P102" s="86" t="e">
        <f t="shared" si="381"/>
        <v>#REF!</v>
      </c>
      <c r="Q102" s="86" t="e">
        <f t="shared" si="381"/>
        <v>#REF!</v>
      </c>
      <c r="R102" s="73" t="e">
        <f t="shared" ref="R102:R107" si="382">RATE(12,,-E102,Q102)</f>
        <v>#REF!</v>
      </c>
      <c r="S102" s="59"/>
      <c r="T102" s="12">
        <v>0.25</v>
      </c>
      <c r="U102" s="12">
        <v>0.25155593539307364</v>
      </c>
      <c r="V102" s="12">
        <v>0.25312155452593693</v>
      </c>
      <c r="W102" s="12">
        <v>0.25469691766768382</v>
      </c>
      <c r="X102" s="12">
        <v>0.25628208546250747</v>
      </c>
      <c r="Y102" s="12">
        <v>0.2578771189320348</v>
      </c>
      <c r="Z102" s="12">
        <v>0.25948207947767565</v>
      </c>
      <c r="AA102" s="12">
        <v>0.2610970288829863</v>
      </c>
      <c r="AB102" s="12">
        <v>0.26272202931604799</v>
      </c>
      <c r="AC102" s="12">
        <v>0.26435714333185978</v>
      </c>
      <c r="AD102" s="12">
        <v>0.26600243387474731</v>
      </c>
      <c r="AE102" s="12">
        <v>0.26765796428078514</v>
      </c>
      <c r="AF102" s="12">
        <v>0.26932379828023517</v>
      </c>
      <c r="AG102" s="12">
        <v>0.27100000000000013</v>
      </c>
    </row>
    <row r="103" spans="1:33" ht="15" hidden="1" thickBot="1" x14ac:dyDescent="0.4">
      <c r="A103" s="155"/>
      <c r="B103" s="60" t="s">
        <v>22</v>
      </c>
      <c r="C103" s="41"/>
      <c r="D103" s="87" t="e">
        <f t="shared" ref="D103:Q103" si="383">D92*T103</f>
        <v>#REF!</v>
      </c>
      <c r="E103" s="87" t="e">
        <f t="shared" si="383"/>
        <v>#REF!</v>
      </c>
      <c r="F103" s="87" t="e">
        <f t="shared" si="383"/>
        <v>#REF!</v>
      </c>
      <c r="G103" s="87" t="e">
        <f t="shared" si="383"/>
        <v>#REF!</v>
      </c>
      <c r="H103" s="87" t="e">
        <f t="shared" si="383"/>
        <v>#REF!</v>
      </c>
      <c r="I103" s="87" t="e">
        <f t="shared" si="383"/>
        <v>#REF!</v>
      </c>
      <c r="J103" s="87" t="e">
        <f t="shared" si="383"/>
        <v>#REF!</v>
      </c>
      <c r="K103" s="87" t="e">
        <f t="shared" si="383"/>
        <v>#REF!</v>
      </c>
      <c r="L103" s="87" t="e">
        <f t="shared" si="383"/>
        <v>#REF!</v>
      </c>
      <c r="M103" s="87" t="e">
        <f t="shared" si="383"/>
        <v>#REF!</v>
      </c>
      <c r="N103" s="87" t="e">
        <f t="shared" si="383"/>
        <v>#REF!</v>
      </c>
      <c r="O103" s="87" t="e">
        <f t="shared" si="383"/>
        <v>#REF!</v>
      </c>
      <c r="P103" s="87" t="e">
        <f t="shared" si="383"/>
        <v>#REF!</v>
      </c>
      <c r="Q103" s="87" t="e">
        <f t="shared" si="383"/>
        <v>#REF!</v>
      </c>
      <c r="R103" s="74" t="e">
        <f t="shared" si="382"/>
        <v>#REF!</v>
      </c>
      <c r="S103" s="60"/>
      <c r="T103" s="12">
        <v>0.38</v>
      </c>
      <c r="U103" s="12">
        <v>0.38090988938047371</v>
      </c>
      <c r="V103" s="12">
        <v>0.38182195744169661</v>
      </c>
      <c r="W103" s="12">
        <v>0.38273620940040159</v>
      </c>
      <c r="X103" s="12">
        <v>0.38365265048581265</v>
      </c>
      <c r="Y103" s="12">
        <v>0.38457128593967477</v>
      </c>
      <c r="Z103" s="12">
        <v>0.38549212101628438</v>
      </c>
      <c r="AA103" s="12">
        <v>0.38641516098251855</v>
      </c>
      <c r="AB103" s="12">
        <v>0.38734041111786593</v>
      </c>
      <c r="AC103" s="12">
        <v>0.38826787671445667</v>
      </c>
      <c r="AD103" s="12">
        <v>0.38919756307709236</v>
      </c>
      <c r="AE103" s="12">
        <v>0.39012947552327681</v>
      </c>
      <c r="AF103" s="12">
        <v>0.3910636193832463</v>
      </c>
      <c r="AG103" s="12">
        <v>0.39200000000000002</v>
      </c>
    </row>
    <row r="104" spans="1:33" ht="15" hidden="1" thickBot="1" x14ac:dyDescent="0.4">
      <c r="A104" s="155"/>
      <c r="B104" s="61" t="s">
        <v>23</v>
      </c>
      <c r="C104" s="41"/>
      <c r="D104" s="88" t="e">
        <f t="shared" ref="D104:Q104" si="384">D103*T104</f>
        <v>#REF!</v>
      </c>
      <c r="E104" s="88" t="e">
        <f t="shared" si="384"/>
        <v>#REF!</v>
      </c>
      <c r="F104" s="88" t="e">
        <f t="shared" si="384"/>
        <v>#REF!</v>
      </c>
      <c r="G104" s="88" t="e">
        <f t="shared" si="384"/>
        <v>#REF!</v>
      </c>
      <c r="H104" s="88" t="e">
        <f t="shared" si="384"/>
        <v>#REF!</v>
      </c>
      <c r="I104" s="88" t="e">
        <f t="shared" si="384"/>
        <v>#REF!</v>
      </c>
      <c r="J104" s="88" t="e">
        <f t="shared" si="384"/>
        <v>#REF!</v>
      </c>
      <c r="K104" s="88" t="e">
        <f t="shared" si="384"/>
        <v>#REF!</v>
      </c>
      <c r="L104" s="88" t="e">
        <f t="shared" si="384"/>
        <v>#REF!</v>
      </c>
      <c r="M104" s="88" t="e">
        <f t="shared" si="384"/>
        <v>#REF!</v>
      </c>
      <c r="N104" s="88" t="e">
        <f t="shared" si="384"/>
        <v>#REF!</v>
      </c>
      <c r="O104" s="88" t="e">
        <f t="shared" si="384"/>
        <v>#REF!</v>
      </c>
      <c r="P104" s="88" t="e">
        <f t="shared" si="384"/>
        <v>#REF!</v>
      </c>
      <c r="Q104" s="88" t="e">
        <f t="shared" si="384"/>
        <v>#REF!</v>
      </c>
      <c r="R104" s="74" t="e">
        <f t="shared" si="382"/>
        <v>#REF!</v>
      </c>
      <c r="S104" s="61"/>
      <c r="T104" s="67">
        <v>0.34999999999999987</v>
      </c>
      <c r="U104" s="67">
        <v>0.34938588387166564</v>
      </c>
      <c r="V104" s="67">
        <v>0.34877284528224306</v>
      </c>
      <c r="W104" s="67">
        <v>0.34816088234106346</v>
      </c>
      <c r="X104" s="67">
        <v>0.34754999316077562</v>
      </c>
      <c r="Y104" s="67">
        <v>0.34694017585733994</v>
      </c>
      <c r="Z104" s="67">
        <v>0.34633142855002247</v>
      </c>
      <c r="AA104" s="67">
        <v>0.34572374936138933</v>
      </c>
      <c r="AB104" s="67">
        <v>0.34511713641730069</v>
      </c>
      <c r="AC104" s="67">
        <v>0.34451158784690528</v>
      </c>
      <c r="AD104" s="67">
        <v>0.34390710178263434</v>
      </c>
      <c r="AE104" s="67">
        <v>0.34330367636019604</v>
      </c>
      <c r="AF104" s="67">
        <v>0.34270130971856966</v>
      </c>
      <c r="AG104" s="67">
        <v>0.34209999999999979</v>
      </c>
    </row>
    <row r="105" spans="1:33" ht="15" hidden="1" thickBot="1" x14ac:dyDescent="0.4">
      <c r="A105" s="155"/>
      <c r="B105" s="61" t="s">
        <v>24</v>
      </c>
      <c r="C105" s="41"/>
      <c r="D105" s="88" t="e">
        <f t="shared" ref="D105:Q105" si="385">D103*T105</f>
        <v>#REF!</v>
      </c>
      <c r="E105" s="88" t="e">
        <f t="shared" si="385"/>
        <v>#REF!</v>
      </c>
      <c r="F105" s="88" t="e">
        <f t="shared" si="385"/>
        <v>#REF!</v>
      </c>
      <c r="G105" s="88" t="e">
        <f t="shared" si="385"/>
        <v>#REF!</v>
      </c>
      <c r="H105" s="88" t="e">
        <f t="shared" si="385"/>
        <v>#REF!</v>
      </c>
      <c r="I105" s="88" t="e">
        <f t="shared" si="385"/>
        <v>#REF!</v>
      </c>
      <c r="J105" s="88" t="e">
        <f t="shared" si="385"/>
        <v>#REF!</v>
      </c>
      <c r="K105" s="88" t="e">
        <f t="shared" si="385"/>
        <v>#REF!</v>
      </c>
      <c r="L105" s="88" t="e">
        <f t="shared" si="385"/>
        <v>#REF!</v>
      </c>
      <c r="M105" s="88" t="e">
        <f t="shared" si="385"/>
        <v>#REF!</v>
      </c>
      <c r="N105" s="88" t="e">
        <f t="shared" si="385"/>
        <v>#REF!</v>
      </c>
      <c r="O105" s="88" t="e">
        <f t="shared" si="385"/>
        <v>#REF!</v>
      </c>
      <c r="P105" s="88" t="e">
        <f t="shared" si="385"/>
        <v>#REF!</v>
      </c>
      <c r="Q105" s="88" t="e">
        <f t="shared" si="385"/>
        <v>#REF!</v>
      </c>
      <c r="R105" s="74" t="e">
        <f t="shared" si="382"/>
        <v>#REF!</v>
      </c>
      <c r="S105" s="61"/>
      <c r="T105" s="67">
        <v>0.28000000000000003</v>
      </c>
      <c r="U105" s="67">
        <v>0.28097918830490543</v>
      </c>
      <c r="V105" s="67">
        <v>0.28196180093029821</v>
      </c>
      <c r="W105" s="67">
        <v>0.28294784985137333</v>
      </c>
      <c r="X105" s="67">
        <v>0.28393734708520407</v>
      </c>
      <c r="Y105" s="67">
        <v>0.28493030469088876</v>
      </c>
      <c r="Z105" s="67">
        <v>0.28592673476969749</v>
      </c>
      <c r="AA105" s="67">
        <v>0.28692664946521995</v>
      </c>
      <c r="AB105" s="67">
        <v>0.28793006096351298</v>
      </c>
      <c r="AC105" s="67">
        <v>0.28893698149324931</v>
      </c>
      <c r="AD105" s="67">
        <v>0.28994742332586665</v>
      </c>
      <c r="AE105" s="67">
        <v>0.29096139877571725</v>
      </c>
      <c r="AF105" s="67">
        <v>0.29197892020021765</v>
      </c>
      <c r="AG105" s="67">
        <v>0.29299999999999965</v>
      </c>
    </row>
    <row r="106" spans="1:33" ht="15" hidden="1" thickBot="1" x14ac:dyDescent="0.4">
      <c r="A106" s="155"/>
      <c r="B106" s="61" t="s">
        <v>25</v>
      </c>
      <c r="C106" s="41"/>
      <c r="D106" s="88" t="e">
        <f t="shared" ref="D106:Q106" si="386">D103*T106</f>
        <v>#REF!</v>
      </c>
      <c r="E106" s="88" t="e">
        <f t="shared" si="386"/>
        <v>#REF!</v>
      </c>
      <c r="F106" s="88" t="e">
        <f t="shared" si="386"/>
        <v>#REF!</v>
      </c>
      <c r="G106" s="88" t="e">
        <f t="shared" si="386"/>
        <v>#REF!</v>
      </c>
      <c r="H106" s="88" t="e">
        <f t="shared" si="386"/>
        <v>#REF!</v>
      </c>
      <c r="I106" s="88" t="e">
        <f t="shared" si="386"/>
        <v>#REF!</v>
      </c>
      <c r="J106" s="88" t="e">
        <f t="shared" si="386"/>
        <v>#REF!</v>
      </c>
      <c r="K106" s="88" t="e">
        <f t="shared" si="386"/>
        <v>#REF!</v>
      </c>
      <c r="L106" s="88" t="e">
        <f t="shared" si="386"/>
        <v>#REF!</v>
      </c>
      <c r="M106" s="88" t="e">
        <f t="shared" si="386"/>
        <v>#REF!</v>
      </c>
      <c r="N106" s="88" t="e">
        <f t="shared" si="386"/>
        <v>#REF!</v>
      </c>
      <c r="O106" s="88" t="e">
        <f t="shared" si="386"/>
        <v>#REF!</v>
      </c>
      <c r="P106" s="88" t="e">
        <f t="shared" si="386"/>
        <v>#REF!</v>
      </c>
      <c r="Q106" s="88" t="e">
        <f t="shared" si="386"/>
        <v>#REF!</v>
      </c>
      <c r="R106" s="74" t="e">
        <f t="shared" si="382"/>
        <v>#REF!</v>
      </c>
      <c r="S106" s="61"/>
      <c r="T106" s="67">
        <f>1-SUM(T104:T105)</f>
        <v>0.37000000000000011</v>
      </c>
      <c r="U106" s="67">
        <f t="shared" ref="U106" si="387">1-SUM(U104:U105)</f>
        <v>0.36963492782342899</v>
      </c>
      <c r="V106" s="67">
        <f t="shared" ref="V106" si="388">1-SUM(V104:V105)</f>
        <v>0.36926535378745873</v>
      </c>
      <c r="W106" s="67">
        <f t="shared" ref="W106" si="389">1-SUM(W104:W105)</f>
        <v>0.36889126780756321</v>
      </c>
      <c r="X106" s="67">
        <f t="shared" ref="X106" si="390">1-SUM(X104:X105)</f>
        <v>0.36851265975402026</v>
      </c>
      <c r="Y106" s="67">
        <f t="shared" ref="Y106" si="391">1-SUM(Y104:Y105)</f>
        <v>0.3681295194517713</v>
      </c>
      <c r="Z106" s="67">
        <f t="shared" ref="Z106" si="392">1-SUM(Z104:Z105)</f>
        <v>0.36774183668028004</v>
      </c>
      <c r="AA106" s="67">
        <f t="shared" ref="AA106" si="393">1-SUM(AA104:AA105)</f>
        <v>0.36734960117339077</v>
      </c>
      <c r="AB106" s="67">
        <f t="shared" ref="AB106" si="394">1-SUM(AB104:AB105)</f>
        <v>0.36695280261918639</v>
      </c>
      <c r="AC106" s="67">
        <f t="shared" ref="AC106" si="395">1-SUM(AC104:AC105)</f>
        <v>0.36655143065984541</v>
      </c>
      <c r="AD106" s="67">
        <f t="shared" ref="AD106" si="396">1-SUM(AD104:AD105)</f>
        <v>0.36614547489149896</v>
      </c>
      <c r="AE106" s="67">
        <f t="shared" ref="AE106" si="397">1-SUM(AE104:AE105)</f>
        <v>0.36573492486408665</v>
      </c>
      <c r="AF106" s="67">
        <f t="shared" ref="AF106" si="398">1-SUM(AF104:AF105)</f>
        <v>0.36531977008121275</v>
      </c>
      <c r="AG106" s="67">
        <f t="shared" ref="AG106" si="399">1-SUM(AG104:AG105)</f>
        <v>0.36490000000000056</v>
      </c>
    </row>
    <row r="107" spans="1:33" ht="15" hidden="1" thickBot="1" x14ac:dyDescent="0.4">
      <c r="A107" s="151"/>
      <c r="B107" s="62" t="s">
        <v>26</v>
      </c>
      <c r="C107" s="51"/>
      <c r="D107" s="89" t="e">
        <f t="shared" ref="D107:Q107" si="400">D92*T107</f>
        <v>#REF!</v>
      </c>
      <c r="E107" s="89" t="e">
        <f t="shared" si="400"/>
        <v>#REF!</v>
      </c>
      <c r="F107" s="89" t="e">
        <f t="shared" si="400"/>
        <v>#REF!</v>
      </c>
      <c r="G107" s="89" t="e">
        <f t="shared" si="400"/>
        <v>#REF!</v>
      </c>
      <c r="H107" s="89" t="e">
        <f t="shared" si="400"/>
        <v>#REF!</v>
      </c>
      <c r="I107" s="89" t="e">
        <f t="shared" si="400"/>
        <v>#REF!</v>
      </c>
      <c r="J107" s="89" t="e">
        <f t="shared" si="400"/>
        <v>#REF!</v>
      </c>
      <c r="K107" s="89" t="e">
        <f t="shared" si="400"/>
        <v>#REF!</v>
      </c>
      <c r="L107" s="89" t="e">
        <f t="shared" si="400"/>
        <v>#REF!</v>
      </c>
      <c r="M107" s="89" t="e">
        <f t="shared" si="400"/>
        <v>#REF!</v>
      </c>
      <c r="N107" s="89" t="e">
        <f t="shared" si="400"/>
        <v>#REF!</v>
      </c>
      <c r="O107" s="89" t="e">
        <f t="shared" si="400"/>
        <v>#REF!</v>
      </c>
      <c r="P107" s="89" t="e">
        <f t="shared" si="400"/>
        <v>#REF!</v>
      </c>
      <c r="Q107" s="89" t="e">
        <f t="shared" si="400"/>
        <v>#REF!</v>
      </c>
      <c r="R107" s="75" t="e">
        <f t="shared" si="382"/>
        <v>#REF!</v>
      </c>
      <c r="S107" s="62"/>
      <c r="T107" s="12">
        <f>1-SUM(T102+T103)</f>
        <v>0.37</v>
      </c>
      <c r="U107" s="12">
        <f t="shared" ref="U107:AG107" si="401">1-SUM(U102+U103)</f>
        <v>0.36753417522645271</v>
      </c>
      <c r="V107" s="12">
        <f t="shared" si="401"/>
        <v>0.36505648803236646</v>
      </c>
      <c r="W107" s="12">
        <f t="shared" si="401"/>
        <v>0.36256687293191459</v>
      </c>
      <c r="X107" s="12">
        <f t="shared" si="401"/>
        <v>0.36006526405167993</v>
      </c>
      <c r="Y107" s="12">
        <f t="shared" si="401"/>
        <v>0.35755159512829038</v>
      </c>
      <c r="Z107" s="12">
        <f t="shared" si="401"/>
        <v>0.35502579950603996</v>
      </c>
      <c r="AA107" s="12">
        <f t="shared" si="401"/>
        <v>0.35248781013449515</v>
      </c>
      <c r="AB107" s="12">
        <f t="shared" si="401"/>
        <v>0.34993755956608608</v>
      </c>
      <c r="AC107" s="12">
        <f t="shared" si="401"/>
        <v>0.3473749799536836</v>
      </c>
      <c r="AD107" s="12">
        <f t="shared" si="401"/>
        <v>0.34480000304816039</v>
      </c>
      <c r="AE107" s="12">
        <f t="shared" si="401"/>
        <v>0.34221256019593804</v>
      </c>
      <c r="AF107" s="12">
        <f t="shared" si="401"/>
        <v>0.33961258233651859</v>
      </c>
      <c r="AG107" s="12">
        <f t="shared" si="401"/>
        <v>0.33699999999999986</v>
      </c>
    </row>
    <row r="108" spans="1:33" ht="15" hidden="1" thickBot="1" x14ac:dyDescent="0.4">
      <c r="A108" s="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21"/>
    </row>
    <row r="109" spans="1:33" ht="15" hidden="1" thickBot="1" x14ac:dyDescent="0.4">
      <c r="A109" s="152" t="s">
        <v>27</v>
      </c>
      <c r="B109" s="54" t="s">
        <v>28</v>
      </c>
      <c r="C109" s="49"/>
      <c r="D109" s="84" t="e">
        <f t="shared" ref="D109:Q109" si="402">D92*T109</f>
        <v>#REF!</v>
      </c>
      <c r="E109" s="84" t="e">
        <f t="shared" si="402"/>
        <v>#REF!</v>
      </c>
      <c r="F109" s="84" t="e">
        <f t="shared" si="402"/>
        <v>#REF!</v>
      </c>
      <c r="G109" s="84" t="e">
        <f t="shared" si="402"/>
        <v>#REF!</v>
      </c>
      <c r="H109" s="84" t="e">
        <f t="shared" si="402"/>
        <v>#REF!</v>
      </c>
      <c r="I109" s="84" t="e">
        <f t="shared" si="402"/>
        <v>#REF!</v>
      </c>
      <c r="J109" s="84" t="e">
        <f t="shared" si="402"/>
        <v>#REF!</v>
      </c>
      <c r="K109" s="84" t="e">
        <f t="shared" si="402"/>
        <v>#REF!</v>
      </c>
      <c r="L109" s="84" t="e">
        <f t="shared" si="402"/>
        <v>#REF!</v>
      </c>
      <c r="M109" s="84" t="e">
        <f t="shared" si="402"/>
        <v>#REF!</v>
      </c>
      <c r="N109" s="84" t="e">
        <f t="shared" si="402"/>
        <v>#REF!</v>
      </c>
      <c r="O109" s="84" t="e">
        <f t="shared" si="402"/>
        <v>#REF!</v>
      </c>
      <c r="P109" s="84" t="e">
        <f t="shared" si="402"/>
        <v>#REF!</v>
      </c>
      <c r="Q109" s="84" t="e">
        <f t="shared" si="402"/>
        <v>#REF!</v>
      </c>
      <c r="R109" s="71" t="e">
        <f>RATE(12,,-E109,Q109)</f>
        <v>#REF!</v>
      </c>
      <c r="S109" s="54"/>
      <c r="T109" s="12">
        <v>0.40099999999999997</v>
      </c>
      <c r="U109" s="12">
        <v>0.40265090533119946</v>
      </c>
      <c r="V109" s="12">
        <v>0.40430860739160734</v>
      </c>
      <c r="W109" s="12">
        <v>0.40597313416316017</v>
      </c>
      <c r="X109" s="12">
        <v>0.40764451374299493</v>
      </c>
      <c r="Y109" s="12">
        <v>0.40932277434392395</v>
      </c>
      <c r="Z109" s="12">
        <v>0.41100794429491083</v>
      </c>
      <c r="AA109" s="12">
        <v>0.4127000520415488</v>
      </c>
      <c r="AB109" s="12">
        <v>0.41439912614654062</v>
      </c>
      <c r="AC109" s="12">
        <v>0.41610519529018092</v>
      </c>
      <c r="AD109" s="12">
        <v>0.41781828827084017</v>
      </c>
      <c r="AE109" s="12">
        <v>0.4195384340054511</v>
      </c>
      <c r="AF109" s="12">
        <v>0.4212656615299965</v>
      </c>
      <c r="AG109" s="12">
        <v>0.42299999999999938</v>
      </c>
    </row>
    <row r="110" spans="1:33" ht="15" hidden="1" thickBot="1" x14ac:dyDescent="0.4">
      <c r="A110" s="154"/>
      <c r="B110" s="55" t="s">
        <v>29</v>
      </c>
      <c r="C110" s="40"/>
      <c r="D110" s="90" t="e">
        <f t="shared" ref="D110:Q110" si="403">D92*T110</f>
        <v>#REF!</v>
      </c>
      <c r="E110" s="90" t="e">
        <f t="shared" si="403"/>
        <v>#REF!</v>
      </c>
      <c r="F110" s="90" t="e">
        <f t="shared" si="403"/>
        <v>#REF!</v>
      </c>
      <c r="G110" s="90" t="e">
        <f t="shared" si="403"/>
        <v>#REF!</v>
      </c>
      <c r="H110" s="90" t="e">
        <f t="shared" si="403"/>
        <v>#REF!</v>
      </c>
      <c r="I110" s="90" t="e">
        <f t="shared" si="403"/>
        <v>#REF!</v>
      </c>
      <c r="J110" s="90" t="e">
        <f t="shared" si="403"/>
        <v>#REF!</v>
      </c>
      <c r="K110" s="90" t="e">
        <f t="shared" si="403"/>
        <v>#REF!</v>
      </c>
      <c r="L110" s="90" t="e">
        <f t="shared" si="403"/>
        <v>#REF!</v>
      </c>
      <c r="M110" s="90" t="e">
        <f t="shared" si="403"/>
        <v>#REF!</v>
      </c>
      <c r="N110" s="90" t="e">
        <f t="shared" si="403"/>
        <v>#REF!</v>
      </c>
      <c r="O110" s="90" t="e">
        <f t="shared" si="403"/>
        <v>#REF!</v>
      </c>
      <c r="P110" s="90" t="e">
        <f t="shared" si="403"/>
        <v>#REF!</v>
      </c>
      <c r="Q110" s="90" t="e">
        <f t="shared" si="403"/>
        <v>#REF!</v>
      </c>
      <c r="R110" s="76" t="e">
        <f>RATE(12,,-E110,Q110)</f>
        <v>#REF!</v>
      </c>
      <c r="S110" s="55"/>
      <c r="T110" s="12">
        <v>0.43099999999999999</v>
      </c>
      <c r="U110" s="12">
        <v>0.43183634674261745</v>
      </c>
      <c r="V110" s="12">
        <v>0.43267431639909548</v>
      </c>
      <c r="W110" s="12">
        <v>0.43351391211866536</v>
      </c>
      <c r="X110" s="12">
        <v>0.43435513705666956</v>
      </c>
      <c r="Y110" s="12">
        <v>0.43519799437457324</v>
      </c>
      <c r="Z110" s="12">
        <v>0.43604248723997657</v>
      </c>
      <c r="AA110" s="12">
        <v>0.43688861882662616</v>
      </c>
      <c r="AB110" s="12">
        <v>0.43773639231442729</v>
      </c>
      <c r="AC110" s="12">
        <v>0.43858581088945586</v>
      </c>
      <c r="AD110" s="12">
        <v>0.43943687774397006</v>
      </c>
      <c r="AE110" s="12">
        <v>0.44028959607642287</v>
      </c>
      <c r="AF110" s="12">
        <v>0.44114396909147369</v>
      </c>
      <c r="AG110" s="12">
        <v>0.44200000000000028</v>
      </c>
    </row>
    <row r="111" spans="1:33" ht="15" hidden="1" thickBot="1" x14ac:dyDescent="0.4">
      <c r="A111" s="153"/>
      <c r="B111" s="56" t="s">
        <v>30</v>
      </c>
      <c r="C111" s="44"/>
      <c r="D111" s="85" t="e">
        <f t="shared" ref="D111:Q111" si="404">D92*T111</f>
        <v>#REF!</v>
      </c>
      <c r="E111" s="85" t="e">
        <f t="shared" si="404"/>
        <v>#REF!</v>
      </c>
      <c r="F111" s="85" t="e">
        <f t="shared" si="404"/>
        <v>#REF!</v>
      </c>
      <c r="G111" s="85" t="e">
        <f t="shared" si="404"/>
        <v>#REF!</v>
      </c>
      <c r="H111" s="85" t="e">
        <f t="shared" si="404"/>
        <v>#REF!</v>
      </c>
      <c r="I111" s="85" t="e">
        <f t="shared" si="404"/>
        <v>#REF!</v>
      </c>
      <c r="J111" s="85" t="e">
        <f t="shared" si="404"/>
        <v>#REF!</v>
      </c>
      <c r="K111" s="85" t="e">
        <f t="shared" si="404"/>
        <v>#REF!</v>
      </c>
      <c r="L111" s="85" t="e">
        <f t="shared" si="404"/>
        <v>#REF!</v>
      </c>
      <c r="M111" s="85" t="e">
        <f t="shared" si="404"/>
        <v>#REF!</v>
      </c>
      <c r="N111" s="85" t="e">
        <f t="shared" si="404"/>
        <v>#REF!</v>
      </c>
      <c r="O111" s="85" t="e">
        <f t="shared" si="404"/>
        <v>#REF!</v>
      </c>
      <c r="P111" s="85" t="e">
        <f t="shared" si="404"/>
        <v>#REF!</v>
      </c>
      <c r="Q111" s="85" t="e">
        <f t="shared" si="404"/>
        <v>#REF!</v>
      </c>
      <c r="R111" s="72" t="e">
        <f>RATE(12,,-E111,Q111)</f>
        <v>#REF!</v>
      </c>
      <c r="S111" s="56"/>
      <c r="T111" s="12">
        <f>1-SUM(T109:T110)</f>
        <v>0.16800000000000004</v>
      </c>
      <c r="U111" s="12">
        <f t="shared" ref="U111" si="405">1-SUM(U109:U110)</f>
        <v>0.16551274792618309</v>
      </c>
      <c r="V111" s="12">
        <f t="shared" ref="V111" si="406">1-SUM(V109:V110)</f>
        <v>0.16301707620929717</v>
      </c>
      <c r="W111" s="12">
        <f t="shared" ref="W111" si="407">1-SUM(W109:W110)</f>
        <v>0.16051295371817442</v>
      </c>
      <c r="X111" s="12">
        <f t="shared" ref="X111" si="408">1-SUM(X109:X110)</f>
        <v>0.15800034920033545</v>
      </c>
      <c r="Y111" s="12">
        <f t="shared" ref="Y111" si="409">1-SUM(Y109:Y110)</f>
        <v>0.15547923128150276</v>
      </c>
      <c r="Z111" s="12">
        <f t="shared" ref="Z111" si="410">1-SUM(Z109:Z110)</f>
        <v>0.15294956846511254</v>
      </c>
      <c r="AA111" s="12">
        <f t="shared" ref="AA111" si="411">1-SUM(AA109:AA110)</f>
        <v>0.15041132913182498</v>
      </c>
      <c r="AB111" s="12">
        <f t="shared" ref="AB111" si="412">1-SUM(AB109:AB110)</f>
        <v>0.14786448153903209</v>
      </c>
      <c r="AC111" s="12">
        <f t="shared" ref="AC111" si="413">1-SUM(AC109:AC110)</f>
        <v>0.14530899382036322</v>
      </c>
      <c r="AD111" s="12">
        <f t="shared" ref="AD111" si="414">1-SUM(AD109:AD110)</f>
        <v>0.14274483398518978</v>
      </c>
      <c r="AE111" s="12">
        <f t="shared" ref="AE111" si="415">1-SUM(AE109:AE110)</f>
        <v>0.14017196991812608</v>
      </c>
      <c r="AF111" s="12">
        <f t="shared" ref="AF111" si="416">1-SUM(AF109:AF110)</f>
        <v>0.13759036937852986</v>
      </c>
      <c r="AG111" s="12">
        <f t="shared" ref="AG111" si="417">1-SUM(AG109:AG110)</f>
        <v>0.13500000000000034</v>
      </c>
    </row>
    <row r="112" spans="1:33" ht="15.5" x14ac:dyDescent="0.35">
      <c r="A112" s="42"/>
      <c r="B112" s="43"/>
      <c r="C112" s="93"/>
      <c r="D112" s="91">
        <v>2023</v>
      </c>
      <c r="E112" s="65">
        <v>2024</v>
      </c>
      <c r="F112" s="65">
        <v>2025</v>
      </c>
      <c r="G112" s="65">
        <v>2026</v>
      </c>
      <c r="H112" s="65">
        <v>2027</v>
      </c>
      <c r="I112" s="65">
        <v>2028</v>
      </c>
      <c r="J112" s="65">
        <v>2029</v>
      </c>
      <c r="K112" s="65">
        <v>2030</v>
      </c>
      <c r="L112" s="65">
        <v>2031</v>
      </c>
      <c r="M112" s="65">
        <v>2032</v>
      </c>
      <c r="N112" s="65">
        <v>2033</v>
      </c>
      <c r="O112" s="65">
        <v>2034</v>
      </c>
      <c r="P112" s="65">
        <v>2035</v>
      </c>
      <c r="Q112" s="65">
        <v>2036</v>
      </c>
      <c r="R112" s="66" t="s">
        <v>84</v>
      </c>
    </row>
    <row r="113" spans="1:33" ht="16" thickBot="1" x14ac:dyDescent="0.4">
      <c r="A113" s="1"/>
      <c r="C113" s="21"/>
      <c r="D113" s="92">
        <f>'Market Analysis '!C15</f>
        <v>110.13599999999995</v>
      </c>
      <c r="E113" s="92">
        <f>'Market Analysis '!D15</f>
        <v>123.90299999999995</v>
      </c>
      <c r="F113" s="92">
        <f>'Market Analysis '!E15</f>
        <v>139.55632836982443</v>
      </c>
      <c r="G113" s="92">
        <f>'Market Analysis '!F15</f>
        <v>157.37557217075033</v>
      </c>
      <c r="H113" s="92">
        <f>'Market Analysis '!G15</f>
        <v>177.68473015339995</v>
      </c>
      <c r="I113" s="92">
        <f>'Market Analysis '!H15</f>
        <v>200.85972060424885</v>
      </c>
      <c r="J113" s="92">
        <f>'Market Analysis '!I15</f>
        <v>227.33723251054261</v>
      </c>
      <c r="K113" s="92">
        <f>'Market Analysis '!J15</f>
        <v>257.62517329261891</v>
      </c>
      <c r="L113" s="92">
        <f>'Market Analysis '!K15</f>
        <v>292.3150164725896</v>
      </c>
      <c r="M113" s="92">
        <f>'Market Analysis '!L15</f>
        <v>332.09641314849381</v>
      </c>
      <c r="N113" s="92">
        <f>'Market Analysis '!M15</f>
        <v>377.77450426706827</v>
      </c>
      <c r="O113" s="92">
        <f>'Market Analysis '!N15</f>
        <v>430.29045918485969</v>
      </c>
      <c r="P113" s="92">
        <f>'Market Analysis '!O15</f>
        <v>490.74587324823875</v>
      </c>
      <c r="Q113" s="92">
        <f>'Market Analysis '!P15</f>
        <v>560.43178724948882</v>
      </c>
      <c r="R113" s="68">
        <f>RATE(12,,-E113,Q113)</f>
        <v>0.13401833978219424</v>
      </c>
      <c r="T113" s="65">
        <v>2023</v>
      </c>
      <c r="U113" s="65">
        <v>2024</v>
      </c>
      <c r="V113" s="65">
        <v>2025</v>
      </c>
      <c r="W113" s="65">
        <v>2026</v>
      </c>
      <c r="X113" s="65">
        <v>2027</v>
      </c>
      <c r="Y113" s="65">
        <v>2028</v>
      </c>
      <c r="Z113" s="65">
        <v>2029</v>
      </c>
      <c r="AA113" s="65">
        <v>2030</v>
      </c>
      <c r="AB113" s="65">
        <v>2031</v>
      </c>
      <c r="AC113" s="65">
        <v>2032</v>
      </c>
      <c r="AD113" s="65">
        <v>2033</v>
      </c>
      <c r="AE113" s="65">
        <v>2034</v>
      </c>
      <c r="AF113" s="65">
        <v>2035</v>
      </c>
      <c r="AG113" s="65">
        <v>2036</v>
      </c>
    </row>
    <row r="114" spans="1:33" s="121" customFormat="1" x14ac:dyDescent="0.35">
      <c r="A114" s="147" t="s">
        <v>59</v>
      </c>
      <c r="B114" s="118" t="s">
        <v>60</v>
      </c>
      <c r="C114" s="119"/>
      <c r="D114" s="120">
        <f>D113*T114</f>
        <v>38.547599999999974</v>
      </c>
      <c r="E114" s="120">
        <f t="shared" ref="E114" si="418">E113*U114</f>
        <v>43.813786253551775</v>
      </c>
      <c r="F114" s="120">
        <f>F113*V114</f>
        <v>49.858523963285641</v>
      </c>
      <c r="G114" s="120">
        <f t="shared" ref="G114" si="419">G113*W114</f>
        <v>56.805203948068311</v>
      </c>
      <c r="H114" s="120">
        <f t="shared" ref="H114" si="420">H113*X114</f>
        <v>64.798033704662515</v>
      </c>
      <c r="I114" s="120">
        <f t="shared" ref="I114" si="421">I113*Y114</f>
        <v>74.005754996307161</v>
      </c>
      <c r="J114" s="120">
        <f t="shared" ref="J114" si="422">J113*Z114</f>
        <v>84.62606108754423</v>
      </c>
      <c r="K114" s="120">
        <f t="shared" ref="K114" si="423">K113*AA114</f>
        <v>96.890851867875284</v>
      </c>
      <c r="L114" s="120">
        <f t="shared" ref="L114" si="424">L113*AB114</f>
        <v>111.07249369465497</v>
      </c>
      <c r="M114" s="120">
        <f t="shared" ref="M114" si="425">M113*AC114</f>
        <v>127.49128554396043</v>
      </c>
      <c r="N114" s="120">
        <f t="shared" ref="N114" si="426">N113*AD114</f>
        <v>146.52437537389108</v>
      </c>
      <c r="O114" s="120">
        <f t="shared" ref="O114" si="427">O113*AE114</f>
        <v>168.61642218865765</v>
      </c>
      <c r="P114" s="120">
        <f t="shared" ref="P114" si="428">P113*AF114</f>
        <v>194.29236225711099</v>
      </c>
      <c r="Q114" s="120">
        <f t="shared" ref="Q114" si="429">Q113*AG114</f>
        <v>224.17271489979561</v>
      </c>
      <c r="R114" s="68">
        <f>RATE(9,,-H114,Q114)</f>
        <v>0.14786605706973324</v>
      </c>
      <c r="S114" s="118" t="s">
        <v>60</v>
      </c>
      <c r="T114" s="116">
        <v>0.34999999999999992</v>
      </c>
      <c r="U114" s="116">
        <v>0.35361360300841621</v>
      </c>
      <c r="V114" s="116">
        <v>0.35726451495026795</v>
      </c>
      <c r="W114" s="116">
        <v>0.36095312102462412</v>
      </c>
      <c r="X114" s="116">
        <v>0.36467981040757214</v>
      </c>
      <c r="Y114" s="116">
        <v>0.36844497629327921</v>
      </c>
      <c r="Z114" s="116">
        <v>0.37224901593547705</v>
      </c>
      <c r="AA114" s="116">
        <v>0.37609233068937542</v>
      </c>
      <c r="AB114" s="116">
        <v>0.37997532605400802</v>
      </c>
      <c r="AC114" s="116">
        <v>0.38389841171501571</v>
      </c>
      <c r="AD114" s="116">
        <v>0.38786200158787171</v>
      </c>
      <c r="AE114" s="116">
        <v>0.39186651386155258</v>
      </c>
      <c r="AF114" s="116">
        <v>0.39591237104266019</v>
      </c>
      <c r="AG114" s="116">
        <v>0.40000000000000013</v>
      </c>
    </row>
    <row r="115" spans="1:33" s="117" customFormat="1" x14ac:dyDescent="0.35">
      <c r="A115" s="148"/>
      <c r="B115" s="113" t="s">
        <v>61</v>
      </c>
      <c r="C115" s="114"/>
      <c r="D115" s="115">
        <f>D113*T115</f>
        <v>33.04079999999999</v>
      </c>
      <c r="E115" s="115">
        <f t="shared" ref="E115" si="430">E113*U115</f>
        <v>37.189903597128428</v>
      </c>
      <c r="F115" s="115">
        <f t="shared" ref="F115" si="431">F113*V115</f>
        <v>41.909718300236058</v>
      </c>
      <c r="G115" s="115">
        <f t="shared" ref="G115" si="432">G113*W115</f>
        <v>47.285121016283732</v>
      </c>
      <c r="H115" s="115">
        <f t="shared" ref="H115" si="433">H113*X115</f>
        <v>53.414512106709246</v>
      </c>
      <c r="I115" s="115">
        <f t="shared" ref="I115" si="434">I113*Y115</f>
        <v>60.412107853039515</v>
      </c>
      <c r="J115" s="115">
        <f t="shared" ref="J115" si="435">J113*Z115</f>
        <v>68.410644135128038</v>
      </c>
      <c r="K115" s="115">
        <f t="shared" ref="K115" si="436">K113*AA115</f>
        <v>77.564569028133363</v>
      </c>
      <c r="L115" s="115">
        <f t="shared" ref="L115" si="437">L113*AB115</f>
        <v>88.053817436773969</v>
      </c>
      <c r="M115" s="115">
        <f t="shared" ref="M115" si="438">M113*AC115</f>
        <v>100.08827949642176</v>
      </c>
      <c r="N115" s="115">
        <f t="shared" ref="N115" si="439">N113*AD115</f>
        <v>113.91309697295763</v>
      </c>
      <c r="O115" s="115">
        <f t="shared" ref="O115" si="440">O113*AE115</f>
        <v>129.8149491359296</v>
      </c>
      <c r="P115" s="115">
        <f t="shared" ref="P115" si="441">P113*AF115</f>
        <v>148.12952260414306</v>
      </c>
      <c r="Q115" s="115">
        <f t="shared" ref="Q115" si="442">Q113*AG115</f>
        <v>169.2503997493458</v>
      </c>
      <c r="R115" s="68">
        <f>RATE(9,,-H115,Q115)</f>
        <v>0.13671677944798394</v>
      </c>
      <c r="S115" s="113" t="s">
        <v>61</v>
      </c>
      <c r="T115" s="116">
        <v>0.30000000000000004</v>
      </c>
      <c r="U115" s="116">
        <v>0.30015337479422161</v>
      </c>
      <c r="V115" s="116">
        <v>0.30030682800120145</v>
      </c>
      <c r="W115" s="116">
        <v>0.30046035966102813</v>
      </c>
      <c r="X115" s="116">
        <v>0.30061396981381056</v>
      </c>
      <c r="Y115" s="116">
        <v>0.30076765849967829</v>
      </c>
      <c r="Z115" s="116">
        <v>0.30092142575878128</v>
      </c>
      <c r="AA115" s="116">
        <v>0.30107527163128989</v>
      </c>
      <c r="AB115" s="116">
        <v>0.30122919615739541</v>
      </c>
      <c r="AC115" s="116">
        <v>0.30138319937730923</v>
      </c>
      <c r="AD115" s="116">
        <v>0.30153728133126367</v>
      </c>
      <c r="AE115" s="116">
        <v>0.30169144205951126</v>
      </c>
      <c r="AF115" s="116">
        <v>0.3018456816023255</v>
      </c>
      <c r="AG115" s="116">
        <v>0.30200000000000032</v>
      </c>
    </row>
    <row r="116" spans="1:33" s="117" customFormat="1" x14ac:dyDescent="0.35">
      <c r="A116" s="148"/>
      <c r="B116" s="113" t="s">
        <v>62</v>
      </c>
      <c r="C116" s="114"/>
      <c r="D116" s="115">
        <f>D113*T116</f>
        <v>16.520399999999992</v>
      </c>
      <c r="E116" s="115">
        <f t="shared" ref="E116" si="443">E113*U116</f>
        <v>18.613782399710551</v>
      </c>
      <c r="F116" s="115">
        <f t="shared" ref="F116" si="444">F113*V116</f>
        <v>20.997321469525602</v>
      </c>
      <c r="G116" s="115">
        <f t="shared" ref="G116" si="445">G113*W116</f>
        <v>23.714459800423974</v>
      </c>
      <c r="H116" s="115">
        <f t="shared" ref="H116" si="446">H113*X116</f>
        <v>26.815603337771975</v>
      </c>
      <c r="I116" s="115">
        <f t="shared" ref="I116" si="447">I113*Y116</f>
        <v>30.359308245182103</v>
      </c>
      <c r="J116" s="115">
        <f t="shared" ref="J116" si="448">J113*Z116</f>
        <v>34.413681732334489</v>
      </c>
      <c r="K116" s="115">
        <f t="shared" ref="K116" si="449">K113*AA116</f>
        <v>39.058037467494913</v>
      </c>
      <c r="L116" s="115">
        <f t="shared" ref="L116" si="450">L113*AB116</f>
        <v>44.384854287334797</v>
      </c>
      <c r="M116" s="115">
        <f t="shared" ref="M116" si="451">M113*AC116</f>
        <v>50.502096694737546</v>
      </c>
      <c r="N116" s="115">
        <f t="shared" ref="N116" si="452">N113*AD116</f>
        <v>57.535967466155796</v>
      </c>
      <c r="O116" s="115">
        <f t="shared" ref="O116" si="453">O113*AE116</f>
        <v>65.63417702332417</v>
      </c>
      <c r="P116" s="115">
        <f t="shared" ref="P116" si="454">P113*AF116</f>
        <v>74.969831611752554</v>
      </c>
      <c r="Q116" s="115">
        <f t="shared" ref="Q116" si="455">Q113*AG116</f>
        <v>85.746063449171658</v>
      </c>
      <c r="R116" s="68">
        <f>RATE(9,,-H116,Q116)</f>
        <v>0.13786790156456408</v>
      </c>
      <c r="S116" s="113" t="s">
        <v>62</v>
      </c>
      <c r="T116" s="116">
        <v>0.15</v>
      </c>
      <c r="U116" s="116">
        <v>0.15022866597023929</v>
      </c>
      <c r="V116" s="116">
        <v>0.15045768052798492</v>
      </c>
      <c r="W116" s="116">
        <v>0.15068704420463749</v>
      </c>
      <c r="X116" s="116">
        <v>0.15091675753240782</v>
      </c>
      <c r="Y116" s="116">
        <v>0.15114682104431795</v>
      </c>
      <c r="Z116" s="116">
        <v>0.15137723527420252</v>
      </c>
      <c r="AA116" s="116">
        <v>0.15160800075670999</v>
      </c>
      <c r="AB116" s="116">
        <v>0.15183911802730382</v>
      </c>
      <c r="AC116" s="116">
        <v>0.1520705876222638</v>
      </c>
      <c r="AD116" s="116">
        <v>0.15230241007868719</v>
      </c>
      <c r="AE116" s="116">
        <v>0.15253458593449007</v>
      </c>
      <c r="AF116" s="116">
        <v>0.15276711572840845</v>
      </c>
      <c r="AG116" s="116">
        <v>0.15299999999999978</v>
      </c>
    </row>
    <row r="117" spans="1:33" s="117" customFormat="1" x14ac:dyDescent="0.35">
      <c r="A117" s="148"/>
      <c r="B117" s="113" t="s">
        <v>63</v>
      </c>
      <c r="C117" s="114"/>
      <c r="D117" s="115">
        <f>D113*T117</f>
        <v>13.216319999999996</v>
      </c>
      <c r="E117" s="115">
        <f t="shared" ref="E117" si="456">E113*U117</f>
        <v>14.887276916964959</v>
      </c>
      <c r="F117" s="115">
        <f t="shared" ref="F117" si="457">F113*V117</f>
        <v>16.789400097299254</v>
      </c>
      <c r="G117" s="115">
        <f t="shared" ref="G117" si="458">G113*W117</f>
        <v>18.957242456091763</v>
      </c>
      <c r="H117" s="115">
        <f t="shared" ref="H117" si="459">H113*X117</f>
        <v>21.430887099559278</v>
      </c>
      <c r="I117" s="115">
        <f t="shared" ref="I117" si="460">I113*Y117</f>
        <v>24.256888638090192</v>
      </c>
      <c r="J117" s="115">
        <f t="shared" ref="J117" si="461">J113*Z117</f>
        <v>27.489383984860829</v>
      </c>
      <c r="K117" s="115">
        <f t="shared" ref="K117" si="462">K113*AA117</f>
        <v>31.191404779437896</v>
      </c>
      <c r="L117" s="115">
        <f t="shared" ref="L117" si="463">L113*AB117</f>
        <v>35.436429971217329</v>
      </c>
      <c r="M117" s="115">
        <f t="shared" ref="M117" si="464">M113*AC117</f>
        <v>40.310224824334227</v>
      </c>
      <c r="N117" s="115">
        <f t="shared" ref="N117" si="465">N113*AD117</f>
        <v>45.913021952978227</v>
      </c>
      <c r="O117" s="115">
        <f t="shared" ref="O117" si="466">O113*AE117</f>
        <v>52.362111318413461</v>
      </c>
      <c r="P117" s="115">
        <f t="shared" ref="P117" si="467">P113*AF117</f>
        <v>59.794919851717182</v>
      </c>
      <c r="Q117" s="115">
        <f t="shared" ref="Q117" si="468">Q113*AG117</f>
        <v>68.372678044437549</v>
      </c>
      <c r="R117" s="68">
        <f>RATE(9,,-H117,Q117)</f>
        <v>0.13758142902923784</v>
      </c>
      <c r="S117" s="113" t="s">
        <v>63</v>
      </c>
      <c r="T117" s="116">
        <v>0.12000000000000002</v>
      </c>
      <c r="U117" s="116">
        <v>0.12015267521339246</v>
      </c>
      <c r="V117" s="116">
        <v>0.12030554467445809</v>
      </c>
      <c r="W117" s="116">
        <v>0.12045860863033696</v>
      </c>
      <c r="X117" s="116">
        <v>0.12061186732848356</v>
      </c>
      <c r="Y117" s="116">
        <v>0.12076532101666719</v>
      </c>
      <c r="Z117" s="116">
        <v>0.1209189699429724</v>
      </c>
      <c r="AA117" s="116">
        <v>0.12107281435579939</v>
      </c>
      <c r="AB117" s="116">
        <v>0.12122685450386435</v>
      </c>
      <c r="AC117" s="116">
        <v>0.12138109063619994</v>
      </c>
      <c r="AD117" s="116">
        <v>0.12153552300215566</v>
      </c>
      <c r="AE117" s="116">
        <v>0.12169015185139827</v>
      </c>
      <c r="AF117" s="116">
        <v>0.12184497743391219</v>
      </c>
      <c r="AG117" s="116">
        <v>0.12199999999999984</v>
      </c>
    </row>
    <row r="118" spans="1:33" s="117" customFormat="1" x14ac:dyDescent="0.35">
      <c r="A118" s="148"/>
      <c r="B118" s="113" t="s">
        <v>64</v>
      </c>
      <c r="C118" s="114"/>
      <c r="D118" s="115">
        <f>D113*T118</f>
        <v>8.8108800000000045</v>
      </c>
      <c r="E118" s="115">
        <f t="shared" ref="E118" si="469">E113*U118</f>
        <v>9.3982508326442353</v>
      </c>
      <c r="F118" s="115">
        <f t="shared" ref="F118" si="470">F113*V118</f>
        <v>10.00136453947788</v>
      </c>
      <c r="G118" s="115">
        <f t="shared" ref="G118" si="471">G113*W118</f>
        <v>10.61354494988255</v>
      </c>
      <c r="H118" s="115">
        <f>H113*X118</f>
        <v>11.22569390469692</v>
      </c>
      <c r="I118" s="115">
        <f t="shared" ref="I118" si="472">I113*Y118</f>
        <v>11.825660871629898</v>
      </c>
      <c r="J118" s="115">
        <f t="shared" ref="J118" si="473">J113*Z118</f>
        <v>12.397461570675022</v>
      </c>
      <c r="K118" s="115">
        <f t="shared" ref="K118" si="474">K113*AA118</f>
        <v>12.920310149677448</v>
      </c>
      <c r="L118" s="115">
        <f t="shared" ref="L118" si="475">L113*AB118</f>
        <v>13.367421082608576</v>
      </c>
      <c r="M118" s="115">
        <f t="shared" ref="M118" si="476">M113*AC118</f>
        <v>13.704526589039819</v>
      </c>
      <c r="N118" s="115">
        <f t="shared" ref="N118" si="477">N113*AD118</f>
        <v>13.888042501085568</v>
      </c>
      <c r="O118" s="115">
        <f t="shared" ref="O118" si="478">O113*AE118</f>
        <v>13.862799518534787</v>
      </c>
      <c r="P118" s="115">
        <f t="shared" ref="P118" si="479">P113*AF118</f>
        <v>13.559236923514982</v>
      </c>
      <c r="Q118" s="115">
        <f t="shared" ref="Q118" si="480">Q113*AG118</f>
        <v>12.889931106738192</v>
      </c>
      <c r="R118" s="68">
        <f>RATE(9,,-H118,Q118)</f>
        <v>1.5478709068455164E-2</v>
      </c>
      <c r="S118" s="113" t="s">
        <v>64</v>
      </c>
      <c r="T118" s="116">
        <f>1-SUM(T114:T117)</f>
        <v>8.0000000000000071E-2</v>
      </c>
      <c r="U118" s="116">
        <f t="shared" ref="U118:AG118" si="481">1-SUM(U114:U117)</f>
        <v>7.585168101373041E-2</v>
      </c>
      <c r="V118" s="116">
        <f t="shared" si="481"/>
        <v>7.1665431846087646E-2</v>
      </c>
      <c r="W118" s="116">
        <f t="shared" si="481"/>
        <v>6.7440866479373307E-2</v>
      </c>
      <c r="X118" s="116">
        <f t="shared" si="481"/>
        <v>6.3177594917725788E-2</v>
      </c>
      <c r="Y118" s="116">
        <f t="shared" si="481"/>
        <v>5.887522314605742E-2</v>
      </c>
      <c r="Z118" s="116">
        <f t="shared" si="481"/>
        <v>5.4533353088566772E-2</v>
      </c>
      <c r="AA118" s="116">
        <f t="shared" si="481"/>
        <v>5.0151582566825281E-2</v>
      </c>
      <c r="AB118" s="116">
        <f t="shared" si="481"/>
        <v>4.5729505257428471E-2</v>
      </c>
      <c r="AC118" s="116">
        <f t="shared" si="481"/>
        <v>4.126671064921128E-2</v>
      </c>
      <c r="AD118" s="116">
        <f t="shared" si="481"/>
        <v>3.6762784000021864E-2</v>
      </c>
      <c r="AE118" s="116">
        <f t="shared" si="481"/>
        <v>3.2217306293047754E-2</v>
      </c>
      <c r="AF118" s="116">
        <f t="shared" si="481"/>
        <v>2.7629854192693704E-2</v>
      </c>
      <c r="AG118" s="116">
        <f t="shared" si="481"/>
        <v>2.2999999999999909E-2</v>
      </c>
    </row>
    <row r="119" spans="1:33" x14ac:dyDescent="0.35">
      <c r="A119" s="1"/>
      <c r="D119" s="81" t="b">
        <f>D113=SUM(D114:D118)</f>
        <v>1</v>
      </c>
      <c r="E119" s="81" t="b">
        <f t="shared" ref="E119:Q119" si="482">E113=SUM(E114:E118)</f>
        <v>1</v>
      </c>
      <c r="F119" s="81" t="b">
        <f t="shared" si="482"/>
        <v>1</v>
      </c>
      <c r="G119" s="81" t="b">
        <f t="shared" si="482"/>
        <v>1</v>
      </c>
      <c r="H119" s="81" t="b">
        <f t="shared" si="482"/>
        <v>1</v>
      </c>
      <c r="I119" s="81" t="b">
        <f t="shared" si="482"/>
        <v>1</v>
      </c>
      <c r="J119" s="81" t="b">
        <f t="shared" si="482"/>
        <v>1</v>
      </c>
      <c r="K119" s="81" t="b">
        <f t="shared" si="482"/>
        <v>1</v>
      </c>
      <c r="L119" s="81" t="b">
        <f t="shared" si="482"/>
        <v>1</v>
      </c>
      <c r="M119" s="81" t="b">
        <f t="shared" si="482"/>
        <v>1</v>
      </c>
      <c r="N119" s="81" t="b">
        <f t="shared" si="482"/>
        <v>1</v>
      </c>
      <c r="O119" s="81" t="b">
        <f t="shared" si="482"/>
        <v>1</v>
      </c>
      <c r="P119" s="81" t="b">
        <f t="shared" si="482"/>
        <v>1</v>
      </c>
      <c r="Q119" s="81" t="b">
        <f t="shared" si="482"/>
        <v>1</v>
      </c>
      <c r="R119" s="21"/>
    </row>
    <row r="120" spans="1:33" s="117" customFormat="1" x14ac:dyDescent="0.35">
      <c r="A120" s="149" t="s">
        <v>65</v>
      </c>
      <c r="B120" s="122" t="s">
        <v>66</v>
      </c>
      <c r="C120" s="123"/>
      <c r="D120" s="124">
        <f>D113*T120</f>
        <v>77.095199999999977</v>
      </c>
      <c r="E120" s="124">
        <f t="shared" ref="E120" si="483">E113*U120</f>
        <v>86.779598611212975</v>
      </c>
      <c r="F120" s="124">
        <f t="shared" ref="F120" si="484">F113*V120</f>
        <v>97.796457887052298</v>
      </c>
      <c r="G120" s="124">
        <f t="shared" ref="G120" si="485">G113*W120</f>
        <v>110.34399094336722</v>
      </c>
      <c r="H120" s="124">
        <f t="shared" ref="H120" si="486">H113*X120</f>
        <v>124.6519990481591</v>
      </c>
      <c r="I120" s="124">
        <f t="shared" ref="I120" si="487">I113*Y120</f>
        <v>140.98722742425176</v>
      </c>
      <c r="J120" s="124">
        <f t="shared" ref="J120" si="488">J113*Z120</f>
        <v>159.65968192596409</v>
      </c>
      <c r="K120" s="124">
        <f t="shared" ref="K120" si="489">K113*AA120</f>
        <v>181.03008819477793</v>
      </c>
      <c r="L120" s="124">
        <f t="shared" ref="L120" si="490">L113*AB120</f>
        <v>205.51871092458995</v>
      </c>
      <c r="M120" s="124">
        <f t="shared" ref="M120" si="491">M113*AC120</f>
        <v>233.61579437038623</v>
      </c>
      <c r="N120" s="124">
        <f t="shared" ref="N120" si="492">N113*AD120</f>
        <v>265.89393783473446</v>
      </c>
      <c r="O120" s="124">
        <f t="shared" ref="O120" si="493">O113*AE120</f>
        <v>303.02278354929331</v>
      </c>
      <c r="P120" s="124">
        <f t="shared" ref="P120" si="494">P113*AF120</f>
        <v>345.78647156932141</v>
      </c>
      <c r="Q120" s="124">
        <f t="shared" ref="Q120" si="495">Q113*AG120</f>
        <v>395.10441001089032</v>
      </c>
      <c r="R120" s="68">
        <f>RATE(9,,-H120,Q120)</f>
        <v>0.13675813264937073</v>
      </c>
      <c r="S120" s="122" t="s">
        <v>66</v>
      </c>
      <c r="T120" s="116">
        <v>0.70000000000000007</v>
      </c>
      <c r="U120" s="116">
        <v>0.70038335319736411</v>
      </c>
      <c r="V120" s="116">
        <v>0.70076691633711929</v>
      </c>
      <c r="W120" s="116">
        <v>0.70115068953424042</v>
      </c>
      <c r="X120" s="116">
        <v>0.70153467290376448</v>
      </c>
      <c r="Y120" s="116">
        <v>0.70191886656079228</v>
      </c>
      <c r="Z120" s="116">
        <v>0.70230327062048659</v>
      </c>
      <c r="AA120" s="116">
        <v>0.70268788519807479</v>
      </c>
      <c r="AB120" s="116">
        <v>0.70307271040884567</v>
      </c>
      <c r="AC120" s="116">
        <v>0.70345774636815217</v>
      </c>
      <c r="AD120" s="116">
        <v>0.70384299319141008</v>
      </c>
      <c r="AE120" s="116">
        <v>0.70422845099409903</v>
      </c>
      <c r="AF120" s="116">
        <v>0.70461411989176093</v>
      </c>
      <c r="AG120" s="116">
        <v>0.70500000000000129</v>
      </c>
    </row>
    <row r="121" spans="1:33" s="117" customFormat="1" x14ac:dyDescent="0.35">
      <c r="A121" s="149"/>
      <c r="B121" s="122" t="s">
        <v>67</v>
      </c>
      <c r="C121" s="123"/>
      <c r="D121" s="124">
        <f>D113*T121</f>
        <v>22.027199999999993</v>
      </c>
      <c r="E121" s="124">
        <f t="shared" ref="E121" si="496">E113*U121</f>
        <v>24.799574581413751</v>
      </c>
      <c r="F121" s="124">
        <f t="shared" ref="F121" si="497">F113*V121</f>
        <v>27.954025521815083</v>
      </c>
      <c r="G121" s="124">
        <f t="shared" ref="G121" si="498">G113*W121</f>
        <v>31.547471584908486</v>
      </c>
      <c r="H121" s="124">
        <f t="shared" ref="H121" si="499">H113*X121</f>
        <v>35.645914100850838</v>
      </c>
      <c r="I121" s="124">
        <f t="shared" ref="I121" si="500">I113*Y121</f>
        <v>40.325978733884526</v>
      </c>
      <c r="J121" s="124">
        <f t="shared" ref="J121" si="501">J113*Z121</f>
        <v>45.676734154166837</v>
      </c>
      <c r="K121" s="124">
        <f t="shared" ref="K121" si="502">K113*AA121</f>
        <v>51.801840001041953</v>
      </c>
      <c r="L121" s="124">
        <f t="shared" ref="L121" si="503">L113*AB121</f>
        <v>58.822086926959571</v>
      </c>
      <c r="M121" s="124">
        <f t="shared" ref="M121" si="504">M113*AC121</f>
        <v>66.878404074178832</v>
      </c>
      <c r="N121" s="124">
        <f t="shared" ref="N121" si="505">N113*AD121</f>
        <v>76.135424528768922</v>
      </c>
      <c r="O121" s="124">
        <f t="shared" ref="O121" si="506">O113*AE121</f>
        <v>86.785717692413257</v>
      </c>
      <c r="P121" s="124">
        <f t="shared" ref="P121" si="507">P113*AF121</f>
        <v>99.054819816842851</v>
      </c>
      <c r="Q121" s="124">
        <f t="shared" ref="Q121" si="508">Q113*AG121</f>
        <v>113.20722102439692</v>
      </c>
      <c r="R121" s="68">
        <f>RATE(9,,-H121,Q121)</f>
        <v>0.13700587349880189</v>
      </c>
      <c r="S121" s="122" t="s">
        <v>67</v>
      </c>
      <c r="T121" s="116">
        <v>0.20000000000000004</v>
      </c>
      <c r="U121" s="116">
        <v>0.2001531406133327</v>
      </c>
      <c r="V121" s="116">
        <v>0.2003063984869026</v>
      </c>
      <c r="W121" s="116">
        <v>0.20045977371049628</v>
      </c>
      <c r="X121" s="116">
        <v>0.20061326637396906</v>
      </c>
      <c r="Y121" s="116">
        <v>0.2007668765672449</v>
      </c>
      <c r="Z121" s="116">
        <v>0.20092060438031684</v>
      </c>
      <c r="AA121" s="116">
        <v>0.20107444990324672</v>
      </c>
      <c r="AB121" s="116">
        <v>0.20122841322616528</v>
      </c>
      <c r="AC121" s="116">
        <v>0.20138249443927231</v>
      </c>
      <c r="AD121" s="116">
        <v>0.20153669363283677</v>
      </c>
      <c r="AE121" s="116">
        <v>0.2016910108971966</v>
      </c>
      <c r="AF121" s="116">
        <v>0.20184544632275897</v>
      </c>
      <c r="AG121" s="116">
        <v>0.20200000000000032</v>
      </c>
    </row>
    <row r="122" spans="1:33" s="117" customFormat="1" x14ac:dyDescent="0.35">
      <c r="A122" s="149"/>
      <c r="B122" s="122" t="s">
        <v>68</v>
      </c>
      <c r="C122" s="123"/>
      <c r="D122" s="124">
        <f>D113*T122</f>
        <v>11.013599999999981</v>
      </c>
      <c r="E122" s="124">
        <f t="shared" ref="E122" si="509">E113*U122</f>
        <v>12.323826807373232</v>
      </c>
      <c r="F122" s="124">
        <f t="shared" ref="F122" si="510">F113*V122</f>
        <v>13.805844960957048</v>
      </c>
      <c r="G122" s="124">
        <f t="shared" ref="G122" si="511">G113*W122</f>
        <v>15.484109642474632</v>
      </c>
      <c r="H122" s="124">
        <f t="shared" ref="H122" si="512">H113*X122</f>
        <v>17.386817004390029</v>
      </c>
      <c r="I122" s="124">
        <f t="shared" ref="I122" si="513">I113*Y122</f>
        <v>19.546514446112557</v>
      </c>
      <c r="J122" s="124">
        <f t="shared" ref="J122" si="514">J113*Z122</f>
        <v>22.000816430411675</v>
      </c>
      <c r="K122" s="124">
        <f t="shared" ref="K122" si="515">K113*AA122</f>
        <v>24.793245096799026</v>
      </c>
      <c r="L122" s="124">
        <f t="shared" ref="L122" si="516">L113*AB122</f>
        <v>27.974218621040098</v>
      </c>
      <c r="M122" s="124">
        <f>M113*AC122</f>
        <v>31.602214703928723</v>
      </c>
      <c r="N122" s="124">
        <f t="shared" ref="N122" si="517">N113*AD122</f>
        <v>35.745141903564893</v>
      </c>
      <c r="O122" s="124">
        <f t="shared" ref="O122" si="518">O113*AE122</f>
        <v>40.48195794315312</v>
      </c>
      <c r="P122" s="124">
        <f t="shared" ref="P122" si="519">P113*AF122</f>
        <v>45.904581862074515</v>
      </c>
      <c r="Q122" s="124">
        <f t="shared" ref="Q122" si="520">Q113*AG122</f>
        <v>52.120156214201572</v>
      </c>
      <c r="R122" s="68">
        <f>RATE(9,,-H122,Q122)</f>
        <v>0.12973395139170871</v>
      </c>
      <c r="S122" s="122" t="s">
        <v>68</v>
      </c>
      <c r="T122" s="116">
        <f>1-SUM(T120:T121)</f>
        <v>9.9999999999999867E-2</v>
      </c>
      <c r="U122" s="116">
        <f t="shared" ref="U122:AG122" si="521">1-SUM(U120:U121)</f>
        <v>9.9463506189303219E-2</v>
      </c>
      <c r="V122" s="116">
        <f t="shared" si="521"/>
        <v>9.8926685175978135E-2</v>
      </c>
      <c r="W122" s="116">
        <f t="shared" si="521"/>
        <v>9.8389536755263296E-2</v>
      </c>
      <c r="X122" s="116">
        <f t="shared" si="521"/>
        <v>9.7852060722266487E-2</v>
      </c>
      <c r="Y122" s="116">
        <f t="shared" si="521"/>
        <v>9.7314256871962823E-2</v>
      </c>
      <c r="Z122" s="116">
        <f t="shared" si="521"/>
        <v>9.6776124999196522E-2</v>
      </c>
      <c r="AA122" s="116">
        <f t="shared" si="521"/>
        <v>9.6237664898678466E-2</v>
      </c>
      <c r="AB122" s="116">
        <f t="shared" si="521"/>
        <v>9.5698876364989083E-2</v>
      </c>
      <c r="AC122" s="116">
        <f t="shared" si="521"/>
        <v>9.5159759192575466E-2</v>
      </c>
      <c r="AD122" s="116">
        <f t="shared" si="521"/>
        <v>9.4620313175753146E-2</v>
      </c>
      <c r="AE122" s="116">
        <f t="shared" si="521"/>
        <v>9.4080538108704426E-2</v>
      </c>
      <c r="AF122" s="116">
        <f t="shared" si="521"/>
        <v>9.3540433785480159E-2</v>
      </c>
      <c r="AG122" s="116">
        <f t="shared" si="521"/>
        <v>9.2999999999998417E-2</v>
      </c>
    </row>
    <row r="123" spans="1:33" x14ac:dyDescent="0.35">
      <c r="A123" s="1"/>
      <c r="D123" s="81" t="b">
        <f>D113=SUM(D120:D122)</f>
        <v>1</v>
      </c>
      <c r="E123" s="81" t="b">
        <f t="shared" ref="E123:Q123" si="522">E113=SUM(E120:E122)</f>
        <v>1</v>
      </c>
      <c r="F123" s="81" t="b">
        <f t="shared" si="522"/>
        <v>1</v>
      </c>
      <c r="G123" s="81" t="b">
        <f t="shared" si="522"/>
        <v>1</v>
      </c>
      <c r="H123" s="81" t="b">
        <f t="shared" si="522"/>
        <v>1</v>
      </c>
      <c r="I123" s="81" t="b">
        <f t="shared" si="522"/>
        <v>1</v>
      </c>
      <c r="J123" s="81" t="b">
        <f t="shared" si="522"/>
        <v>1</v>
      </c>
      <c r="K123" s="81" t="b">
        <f t="shared" si="522"/>
        <v>1</v>
      </c>
      <c r="L123" s="81" t="b">
        <f t="shared" si="522"/>
        <v>1</v>
      </c>
      <c r="M123" s="81" t="b">
        <f t="shared" si="522"/>
        <v>1</v>
      </c>
      <c r="N123" s="81" t="b">
        <f t="shared" si="522"/>
        <v>1</v>
      </c>
      <c r="O123" s="81" t="b">
        <f t="shared" si="522"/>
        <v>1</v>
      </c>
      <c r="P123" s="81" t="b">
        <f t="shared" si="522"/>
        <v>1</v>
      </c>
      <c r="Q123" s="81" t="b">
        <f t="shared" si="522"/>
        <v>1</v>
      </c>
      <c r="R123" s="21"/>
    </row>
    <row r="124" spans="1:33" s="117" customFormat="1" x14ac:dyDescent="0.35">
      <c r="A124" s="149" t="s">
        <v>69</v>
      </c>
      <c r="B124" s="125" t="s">
        <v>70</v>
      </c>
      <c r="C124" s="126"/>
      <c r="D124" s="127">
        <f>D113*T124</f>
        <v>46.257119999999979</v>
      </c>
      <c r="E124" s="127">
        <f t="shared" ref="E124" si="523">E113*U124</f>
        <v>52.048780542331237</v>
      </c>
      <c r="F124" s="127">
        <f t="shared" ref="F124" si="524">F113*V124</f>
        <v>58.635106523830665</v>
      </c>
      <c r="G124" s="127">
        <f t="shared" ref="G124" si="525">G113*W124</f>
        <v>66.134024540340206</v>
      </c>
      <c r="H124" s="127">
        <f t="shared" ref="H124" si="526">H113*X124</f>
        <v>74.682213889987423</v>
      </c>
      <c r="I124" s="127">
        <f t="shared" ref="I124" si="527">I113*Y124</f>
        <v>84.438279868779276</v>
      </c>
      <c r="J124" s="127">
        <f t="shared" ref="J124" si="528">J113*Z124</f>
        <v>95.586495353435069</v>
      </c>
      <c r="K124" s="127">
        <f t="shared" ref="K124" si="529">K113*AA124</f>
        <v>108.34121789787471</v>
      </c>
      <c r="L124" s="127">
        <f t="shared" ref="L124" si="530">L113*AB124</f>
        <v>122.95211080739428</v>
      </c>
      <c r="M124" s="127">
        <f t="shared" ref="M124" si="531">M113*AC124</f>
        <v>139.71032229388288</v>
      </c>
      <c r="N124" s="127">
        <f t="shared" ref="N124" si="532">N113*AD124</f>
        <v>158.9558078085569</v>
      </c>
      <c r="O124" s="127">
        <f t="shared" ref="O124" si="533">O113*AE124</f>
        <v>181.08601816212777</v>
      </c>
      <c r="P124" s="127">
        <f t="shared" ref="P124" si="534">P113*AF124</f>
        <v>206.56622150719517</v>
      </c>
      <c r="Q124" s="127">
        <f t="shared" ref="Q124" si="535">Q113*AG124</f>
        <v>235.9417824320347</v>
      </c>
      <c r="R124" s="68">
        <f>RATE(9,,-H124,Q124)</f>
        <v>0.13634378592194651</v>
      </c>
      <c r="S124" s="125" t="s">
        <v>70</v>
      </c>
      <c r="T124" s="116">
        <v>0.42</v>
      </c>
      <c r="U124" s="116">
        <v>0.42007683867486062</v>
      </c>
      <c r="V124" s="116">
        <v>0.4201536914072973</v>
      </c>
      <c r="W124" s="116">
        <v>0.42023055819988187</v>
      </c>
      <c r="X124" s="116">
        <v>0.42030743905518658</v>
      </c>
      <c r="Y124" s="116">
        <v>0.42038433397578434</v>
      </c>
      <c r="Z124" s="116">
        <v>0.42046124296424836</v>
      </c>
      <c r="AA124" s="116">
        <v>0.42053816602315214</v>
      </c>
      <c r="AB124" s="116">
        <v>0.42061510315507006</v>
      </c>
      <c r="AC124" s="116">
        <v>0.42069205436257667</v>
      </c>
      <c r="AD124" s="116">
        <v>0.4207690196482472</v>
      </c>
      <c r="AE124" s="116">
        <v>0.42084599901465702</v>
      </c>
      <c r="AF124" s="116">
        <v>0.42092299246438242</v>
      </c>
      <c r="AG124" s="137">
        <v>0.42099999999999982</v>
      </c>
    </row>
    <row r="125" spans="1:33" s="117" customFormat="1" x14ac:dyDescent="0.35">
      <c r="A125" s="149"/>
      <c r="B125" s="125" t="s">
        <v>71</v>
      </c>
      <c r="C125" s="126"/>
      <c r="D125" s="127">
        <f>D113*T125</f>
        <v>25.331279999999996</v>
      </c>
      <c r="E125" s="127">
        <f t="shared" ref="E125" si="536">E113*U125</f>
        <v>28.516675920736699</v>
      </c>
      <c r="F125" s="127">
        <f t="shared" ref="F125" si="537">F113*V125</f>
        <v>32.140738799195113</v>
      </c>
      <c r="G125" s="127">
        <f t="shared" ref="G125" si="538">G113*W125</f>
        <v>36.268774791041373</v>
      </c>
      <c r="H125" s="127">
        <f t="shared" ref="H125" si="539">H113*X125</f>
        <v>40.976504859232513</v>
      </c>
      <c r="I125" s="127">
        <f t="shared" ref="I125" si="540">I113*Y125</f>
        <v>46.351831743138241</v>
      </c>
      <c r="J125" s="127">
        <f t="shared" ref="J125" si="541">J113*Z125</f>
        <v>52.496924122248984</v>
      </c>
      <c r="K125" s="127">
        <f t="shared" ref="K125" si="542">K113*AA125</f>
        <v>59.530677956825919</v>
      </c>
      <c r="L125" s="127">
        <f t="shared" ref="L125" si="543">L113*AB125</f>
        <v>67.591626892804086</v>
      </c>
      <c r="M125" s="127">
        <f t="shared" ref="M125" si="544">M113*AC125</f>
        <v>76.841387995446652</v>
      </c>
      <c r="N125" s="127">
        <f t="shared" ref="N125" si="545">N113*AD125</f>
        <v>87.468746461394886</v>
      </c>
      <c r="O125" s="127">
        <f t="shared" ref="O125" si="546">O113*AE125</f>
        <v>99.694504008464406</v>
      </c>
      <c r="P125" s="127">
        <f t="shared" ref="P125" si="547">P113*AF125</f>
        <v>113.77724116258592</v>
      </c>
      <c r="Q125" s="127">
        <f t="shared" ref="Q125" si="548">Q113*AG125</f>
        <v>130.02017464188151</v>
      </c>
      <c r="R125" s="68">
        <f>RATE(9,,-H125,Q125)</f>
        <v>0.13689285477543989</v>
      </c>
      <c r="S125" s="125" t="s">
        <v>71</v>
      </c>
      <c r="T125" s="116">
        <v>0.23000000000000007</v>
      </c>
      <c r="U125" s="116">
        <v>0.230153232131076</v>
      </c>
      <c r="V125" s="116">
        <v>0.23030656634948232</v>
      </c>
      <c r="W125" s="116">
        <v>0.23046000272323239</v>
      </c>
      <c r="X125" s="116">
        <v>0.23061354132038475</v>
      </c>
      <c r="Y125" s="116">
        <v>0.23076718220904338</v>
      </c>
      <c r="Z125" s="116">
        <v>0.23092092545735762</v>
      </c>
      <c r="AA125" s="116">
        <v>0.23107477113352223</v>
      </c>
      <c r="AB125" s="116">
        <v>0.23122871930577729</v>
      </c>
      <c r="AC125" s="116">
        <v>0.23138277004240856</v>
      </c>
      <c r="AD125" s="116">
        <v>0.23153692341174703</v>
      </c>
      <c r="AE125" s="116">
        <v>0.23169117948216938</v>
      </c>
      <c r="AF125" s="116">
        <v>0.23184553832209787</v>
      </c>
      <c r="AG125" s="137">
        <v>0.23200000000000018</v>
      </c>
    </row>
    <row r="126" spans="1:33" s="117" customFormat="1" x14ac:dyDescent="0.35">
      <c r="A126" s="149"/>
      <c r="B126" s="125" t="s">
        <v>72</v>
      </c>
      <c r="C126" s="126"/>
      <c r="D126" s="127">
        <f>D113*T126</f>
        <v>22.02719999999999</v>
      </c>
      <c r="E126" s="127">
        <f t="shared" ref="E126" si="549">E113*U126</f>
        <v>24.79010907562359</v>
      </c>
      <c r="F126" s="127">
        <f t="shared" ref="F126" si="550">F113*V126</f>
        <v>27.932690599841088</v>
      </c>
      <c r="G126" s="127">
        <f t="shared" ref="G126" si="551">G113*W126</f>
        <v>31.511362237883407</v>
      </c>
      <c r="H126" s="127">
        <f t="shared" ref="H126" si="552">H113*X126</f>
        <v>35.591523896334493</v>
      </c>
      <c r="I126" s="127">
        <f t="shared" ref="I126" si="553">I113*Y126</f>
        <v>40.249079326581565</v>
      </c>
      <c r="J126" s="127">
        <f t="shared" ref="J126" si="554">J113*Z126</f>
        <v>45.572230494647307</v>
      </c>
      <c r="K126" s="127">
        <f t="shared" ref="K126" si="555">K113*AA126</f>
        <v>51.663596231405279</v>
      </c>
      <c r="L126" s="127">
        <f t="shared" ref="L126" si="556">L113*AB126</f>
        <v>58.642716889005555</v>
      </c>
      <c r="M126" s="127">
        <f t="shared" ref="M126" si="557">M113*AC126</f>
        <v>66.649019059378517</v>
      </c>
      <c r="N126" s="127">
        <f t="shared" ref="N126" si="558">N113*AD126</f>
        <v>75.845329317463964</v>
      </c>
      <c r="O126" s="127">
        <f t="shared" ref="O126" si="559">O113*AE126</f>
        <v>86.422043997193896</v>
      </c>
      <c r="P126" s="127">
        <f t="shared" ref="P126" si="560">P113*AF126</f>
        <v>98.602083881641235</v>
      </c>
      <c r="Q126" s="127">
        <f t="shared" ref="Q126" si="561">Q113*AG126</f>
        <v>112.6467892371471</v>
      </c>
      <c r="R126" s="68">
        <f>RATE(9,,-H126,Q126)</f>
        <v>0.13657190090640775</v>
      </c>
      <c r="S126" s="125" t="s">
        <v>72</v>
      </c>
      <c r="T126" s="116">
        <v>0.19999999999999998</v>
      </c>
      <c r="U126" s="116">
        <v>0.20007674612901705</v>
      </c>
      <c r="V126" s="116">
        <v>0.20015352170787573</v>
      </c>
      <c r="W126" s="116">
        <v>0.2002303267478768</v>
      </c>
      <c r="X126" s="116">
        <v>0.20030716126032544</v>
      </c>
      <c r="Y126" s="116">
        <v>0.20038402525653101</v>
      </c>
      <c r="Z126" s="116">
        <v>0.20046091874780753</v>
      </c>
      <c r="AA126" s="116">
        <v>0.20053784174547304</v>
      </c>
      <c r="AB126" s="116">
        <v>0.20061479426085005</v>
      </c>
      <c r="AC126" s="116">
        <v>0.20069177630526541</v>
      </c>
      <c r="AD126" s="116">
        <v>0.20076878789005037</v>
      </c>
      <c r="AE126" s="116">
        <v>0.20084582902654041</v>
      </c>
      <c r="AF126" s="116">
        <v>0.20092289972607549</v>
      </c>
      <c r="AG126" s="137">
        <v>0.20099999999999973</v>
      </c>
    </row>
    <row r="127" spans="1:33" s="117" customFormat="1" x14ac:dyDescent="0.35">
      <c r="A127" s="149"/>
      <c r="B127" s="125" t="s">
        <v>73</v>
      </c>
      <c r="C127" s="126"/>
      <c r="D127" s="127">
        <f>D113*T127</f>
        <v>11.013599999999995</v>
      </c>
      <c r="E127" s="127">
        <f t="shared" ref="E127" si="562">E113*U127</f>
        <v>12.409188266473702</v>
      </c>
      <c r="F127" s="127">
        <f t="shared" ref="F127" si="563">F113*V127</f>
        <v>13.998214313017067</v>
      </c>
      <c r="G127" s="127">
        <f t="shared" ref="G127" si="564">G113*W127</f>
        <v>15.809639866949317</v>
      </c>
      <c r="H127" s="127">
        <f t="shared" ref="H127" si="565">H113*X127</f>
        <v>17.877068891847983</v>
      </c>
      <c r="I127" s="127">
        <f t="shared" ref="I127" si="566">I113*Y127</f>
        <v>20.239538830121404</v>
      </c>
      <c r="J127" s="127">
        <f t="shared" ref="J127" si="567">J113*Z127</f>
        <v>22.942454488222992</v>
      </c>
      <c r="K127" s="127">
        <f t="shared" ref="K127" si="568">K113*AA127</f>
        <v>26.038691644996607</v>
      </c>
      <c r="L127" s="127">
        <f t="shared" ref="L127" si="569">L113*AB127</f>
        <v>29.589902858223201</v>
      </c>
      <c r="M127" s="127">
        <f t="shared" ref="M127" si="570">M113*AC127</f>
        <v>33.668064463158366</v>
      </c>
      <c r="N127" s="127">
        <f t="shared" ref="N127" si="571">N113*AD127</f>
        <v>38.357311644103859</v>
      </c>
      <c r="O127" s="127">
        <f t="shared" ref="O127" si="572">O113*AE127</f>
        <v>43.756118015549447</v>
      </c>
      <c r="P127" s="127">
        <f t="shared" ref="P127" si="573">P113*AF127</f>
        <v>49.979887741168376</v>
      </c>
      <c r="Q127" s="127">
        <f t="shared" ref="Q127" si="574">Q113*AG127</f>
        <v>57.164042299447779</v>
      </c>
      <c r="R127" s="68">
        <f>RATE(9,,-H127,Q127)</f>
        <v>0.13786790156456413</v>
      </c>
      <c r="S127" s="125" t="s">
        <v>73</v>
      </c>
      <c r="T127" s="116">
        <v>9.9999999999999992E-2</v>
      </c>
      <c r="U127" s="116">
        <v>0.10015244398015953</v>
      </c>
      <c r="V127" s="116">
        <v>0.10030512035198993</v>
      </c>
      <c r="W127" s="116">
        <v>0.10045802946975833</v>
      </c>
      <c r="X127" s="116">
        <v>0.10061117168827188</v>
      </c>
      <c r="Y127" s="116">
        <v>0.10076454736287864</v>
      </c>
      <c r="Z127" s="116">
        <v>0.10091815684946834</v>
      </c>
      <c r="AA127" s="116">
        <v>0.10107200050447333</v>
      </c>
      <c r="AB127" s="116">
        <v>0.10122607868486923</v>
      </c>
      <c r="AC127" s="116">
        <v>0.10138039174817587</v>
      </c>
      <c r="AD127" s="116">
        <v>0.10153494005245813</v>
      </c>
      <c r="AE127" s="116">
        <v>0.10168972395632671</v>
      </c>
      <c r="AF127" s="116">
        <v>0.10184474381893897</v>
      </c>
      <c r="AG127" s="137">
        <v>0.10199999999999985</v>
      </c>
    </row>
    <row r="128" spans="1:33" s="117" customFormat="1" x14ac:dyDescent="0.35">
      <c r="A128" s="149"/>
      <c r="B128" s="125" t="s">
        <v>74</v>
      </c>
      <c r="C128" s="126"/>
      <c r="D128" s="127">
        <f>D113*T128</f>
        <v>5.5068000000000028</v>
      </c>
      <c r="E128" s="127">
        <f t="shared" ref="E128" si="575">E113*U128</f>
        <v>6.1382461948347222</v>
      </c>
      <c r="F128" s="127">
        <f t="shared" ref="F128" si="576">F113*V128</f>
        <v>6.8495781339405077</v>
      </c>
      <c r="G128" s="127">
        <f t="shared" ref="G128" si="577">G113*W128</f>
        <v>7.651770734536024</v>
      </c>
      <c r="H128" s="127">
        <f t="shared" ref="H128" si="578">H113*X128</f>
        <v>8.557418615997527</v>
      </c>
      <c r="I128" s="127">
        <f t="shared" ref="I128" si="579">I113*Y128</f>
        <v>9.5809908356283717</v>
      </c>
      <c r="J128" s="127">
        <f t="shared" ref="J128" si="580">J113*Z128</f>
        <v>10.739128051988217</v>
      </c>
      <c r="K128" s="127">
        <f t="shared" ref="K128" si="581">K113*AA128</f>
        <v>12.050989561516404</v>
      </c>
      <c r="L128" s="127">
        <f t="shared" ref="L128" si="582">L113*AB128</f>
        <v>13.538659025162477</v>
      </c>
      <c r="M128" s="127">
        <f t="shared" ref="M128" si="583">M113*AC128</f>
        <v>15.227619336627399</v>
      </c>
      <c r="N128" s="127">
        <f t="shared" ref="N128" si="584">N113*AD128</f>
        <v>17.14730903554867</v>
      </c>
      <c r="O128" s="127">
        <f t="shared" ref="O128" si="585">O113*AE128</f>
        <v>19.331775001524168</v>
      </c>
      <c r="P128" s="127">
        <f t="shared" ref="P128" si="586">P113*AF128</f>
        <v>21.820438955648068</v>
      </c>
      <c r="Q128" s="127">
        <f t="shared" ref="Q128" si="587">Q113*AG128</f>
        <v>24.658998638977717</v>
      </c>
      <c r="R128" s="68">
        <f>RATE(9,,-H128,Q128)</f>
        <v>0.1247870186867252</v>
      </c>
      <c r="S128" s="125" t="s">
        <v>74</v>
      </c>
      <c r="T128" s="116">
        <f>1-SUM(T124:T127)</f>
        <v>5.0000000000000044E-2</v>
      </c>
      <c r="U128" s="116">
        <f t="shared" ref="U128:AG128" si="588">1-SUM(U124:U127)</f>
        <v>4.9540739084886765E-2</v>
      </c>
      <c r="V128" s="116">
        <f t="shared" si="588"/>
        <v>4.9081100183354764E-2</v>
      </c>
      <c r="W128" s="116">
        <f t="shared" si="588"/>
        <v>4.8621082859250597E-2</v>
      </c>
      <c r="X128" s="116">
        <f t="shared" si="588"/>
        <v>4.8160686675831288E-2</v>
      </c>
      <c r="Y128" s="116">
        <f t="shared" si="588"/>
        <v>4.7699911195762668E-2</v>
      </c>
      <c r="Z128" s="116">
        <f t="shared" si="588"/>
        <v>4.7238755981118041E-2</v>
      </c>
      <c r="AA128" s="116">
        <f t="shared" si="588"/>
        <v>4.6777220593379298E-2</v>
      </c>
      <c r="AB128" s="116">
        <f t="shared" si="588"/>
        <v>4.631530459343336E-2</v>
      </c>
      <c r="AC128" s="116">
        <f t="shared" si="588"/>
        <v>4.5853007541573509E-2</v>
      </c>
      <c r="AD128" s="116">
        <f t="shared" si="588"/>
        <v>4.5390328997497287E-2</v>
      </c>
      <c r="AE128" s="116">
        <f t="shared" si="588"/>
        <v>4.4927268520306485E-2</v>
      </c>
      <c r="AF128" s="116">
        <f t="shared" si="588"/>
        <v>4.4463825668505264E-2</v>
      </c>
      <c r="AG128" s="116">
        <f t="shared" si="588"/>
        <v>4.4000000000000372E-2</v>
      </c>
    </row>
    <row r="129" spans="1:33" x14ac:dyDescent="0.35">
      <c r="A129" s="2"/>
      <c r="D129" s="81" t="b">
        <f>D113=SUM(D124:D128)</f>
        <v>1</v>
      </c>
      <c r="E129" s="81" t="b">
        <f t="shared" ref="E129:Q129" si="589">E113=SUM(E124:E128)</f>
        <v>1</v>
      </c>
      <c r="F129" s="81" t="b">
        <f t="shared" si="589"/>
        <v>1</v>
      </c>
      <c r="G129" s="81" t="b">
        <f t="shared" si="589"/>
        <v>1</v>
      </c>
      <c r="H129" s="81" t="b">
        <f t="shared" si="589"/>
        <v>1</v>
      </c>
      <c r="I129" s="81" t="b">
        <f t="shared" si="589"/>
        <v>1</v>
      </c>
      <c r="J129" s="81" t="b">
        <f t="shared" si="589"/>
        <v>1</v>
      </c>
      <c r="K129" s="81" t="b">
        <f t="shared" si="589"/>
        <v>1</v>
      </c>
      <c r="L129" s="81" t="b">
        <f t="shared" si="589"/>
        <v>1</v>
      </c>
      <c r="M129" s="81" t="b">
        <f t="shared" si="589"/>
        <v>1</v>
      </c>
      <c r="N129" s="81" t="b">
        <f t="shared" si="589"/>
        <v>1</v>
      </c>
      <c r="O129" s="81" t="b">
        <f t="shared" si="589"/>
        <v>1</v>
      </c>
      <c r="P129" s="81" t="b">
        <f t="shared" si="589"/>
        <v>1</v>
      </c>
      <c r="Q129" s="81" t="b">
        <f t="shared" si="589"/>
        <v>1</v>
      </c>
      <c r="R129" s="21"/>
    </row>
    <row r="130" spans="1:33" s="117" customFormat="1" x14ac:dyDescent="0.35">
      <c r="A130" s="149" t="s">
        <v>75</v>
      </c>
      <c r="B130" s="128" t="s">
        <v>76</v>
      </c>
      <c r="C130" s="129"/>
      <c r="D130" s="130">
        <f>D113*T130</f>
        <v>24.229919999999993</v>
      </c>
      <c r="E130" s="130">
        <f t="shared" ref="E130" si="590">E113*U130</f>
        <v>27.305822286142124</v>
      </c>
      <c r="F130" s="130">
        <f t="shared" ref="F130" si="591">F113*V130</f>
        <v>30.808725249030996</v>
      </c>
      <c r="G130" s="130">
        <f t="shared" ref="G130" si="592">G113*W130</f>
        <v>34.802646721432097</v>
      </c>
      <c r="H130" s="130">
        <f t="shared" ref="H130" si="593">H113*X130</f>
        <v>39.36187834536122</v>
      </c>
      <c r="I130" s="130">
        <f t="shared" ref="I130" si="594">I113*Y130</f>
        <v>44.572738619835768</v>
      </c>
      <c r="J130" s="130">
        <f t="shared" ref="J130" si="595">J113*Z130</f>
        <v>50.535642303633743</v>
      </c>
      <c r="K130" s="130">
        <f t="shared" ref="K130" si="596">K113*AA130</f>
        <v>57.367546289215639</v>
      </c>
      <c r="L130" s="130">
        <f t="shared" ref="L130" si="597">L113*AB130</f>
        <v>65.204844049981631</v>
      </c>
      <c r="M130" s="130">
        <f t="shared" ref="M130" si="598">M113*AC130</f>
        <v>74.206795248802905</v>
      </c>
      <c r="N130" s="130">
        <f t="shared" ref="N130" si="599">N113*AD130</f>
        <v>84.559594625169936</v>
      </c>
      <c r="O130" s="130">
        <f t="shared" ref="O130" si="600">O113*AE130</f>
        <v>96.48120551841177</v>
      </c>
      <c r="P130" s="130">
        <f t="shared" ref="P130" si="601">P113*AF130</f>
        <v>110.2271091544752</v>
      </c>
      <c r="Q130" s="130">
        <f>Q113*AG130</f>
        <v>126.09715213113508</v>
      </c>
      <c r="R130" s="68">
        <f t="shared" ref="R130:R135" si="602">RATE(9,,-H130,Q130)</f>
        <v>0.13810164613575054</v>
      </c>
      <c r="S130" s="134" t="s">
        <v>76</v>
      </c>
      <c r="T130" s="116">
        <v>0.22000000000000003</v>
      </c>
      <c r="U130" s="116">
        <v>0.22038063877502673</v>
      </c>
      <c r="V130" s="116">
        <v>0.22076193612222184</v>
      </c>
      <c r="W130" s="116">
        <v>0.22114389318103134</v>
      </c>
      <c r="X130" s="116">
        <v>0.22152651109287255</v>
      </c>
      <c r="Y130" s="116">
        <v>0.22190979100113767</v>
      </c>
      <c r="Z130" s="116">
        <v>0.22229373405119721</v>
      </c>
      <c r="AA130" s="116">
        <v>0.22267834139040343</v>
      </c>
      <c r="AB130" s="116">
        <v>0.2230636141680935</v>
      </c>
      <c r="AC130" s="116">
        <v>0.22344955353559337</v>
      </c>
      <c r="AD130" s="116">
        <v>0.22383616064622086</v>
      </c>
      <c r="AE130" s="116">
        <v>0.22422343665528938</v>
      </c>
      <c r="AF130" s="116">
        <v>0.22461138272011094</v>
      </c>
      <c r="AG130" s="116">
        <v>0.22500000000000017</v>
      </c>
    </row>
    <row r="131" spans="1:33" s="117" customFormat="1" x14ac:dyDescent="0.35">
      <c r="A131" s="149"/>
      <c r="B131" s="128" t="s">
        <v>77</v>
      </c>
      <c r="C131" s="129"/>
      <c r="D131" s="130">
        <f>D113*T131</f>
        <v>41.85167999999998</v>
      </c>
      <c r="E131" s="130">
        <f t="shared" ref="E131" si="603">E113*U131</f>
        <v>47.083139999999979</v>
      </c>
      <c r="F131" s="130">
        <f t="shared" ref="F131" si="604">F113*V131</f>
        <v>53.031404780533286</v>
      </c>
      <c r="G131" s="130">
        <f t="shared" ref="G131" si="605">G113*W131</f>
        <v>59.802717424885124</v>
      </c>
      <c r="H131" s="130">
        <f t="shared" ref="H131" si="606">H113*X131</f>
        <v>67.520197458291989</v>
      </c>
      <c r="I131" s="130">
        <f t="shared" ref="I131" si="607">I113*Y131</f>
        <v>76.32669382961457</v>
      </c>
      <c r="J131" s="130">
        <f t="shared" ref="J131" si="608">J113*Z131</f>
        <v>86.388148354006191</v>
      </c>
      <c r="K131" s="130">
        <f t="shared" ref="K131" si="609">K113*AA131</f>
        <v>97.897565851195182</v>
      </c>
      <c r="L131" s="130">
        <f t="shared" ref="L131" si="610">L113*AB131</f>
        <v>111.07970625958406</v>
      </c>
      <c r="M131" s="130">
        <f t="shared" ref="M131" si="611">M113*AC131</f>
        <v>126.19663699642764</v>
      </c>
      <c r="N131" s="130">
        <f t="shared" ref="N131" si="612">N113*AD131</f>
        <v>143.55431162148594</v>
      </c>
      <c r="O131" s="130">
        <f t="shared" ref="O131" si="613">O113*AE131</f>
        <v>163.51037449024668</v>
      </c>
      <c r="P131" s="130">
        <f t="shared" ref="P131" si="614">P113*AF131</f>
        <v>186.48343183433073</v>
      </c>
      <c r="Q131" s="130">
        <f t="shared" ref="Q131" si="615">Q113*AG131</f>
        <v>212.96407915480575</v>
      </c>
      <c r="R131" s="68">
        <f t="shared" si="602"/>
        <v>0.13613593073307237</v>
      </c>
      <c r="S131" s="134" t="s">
        <v>77</v>
      </c>
      <c r="T131" s="116">
        <v>0.38</v>
      </c>
      <c r="U131" s="116">
        <v>0.38</v>
      </c>
      <c r="V131" s="116">
        <v>0.38</v>
      </c>
      <c r="W131" s="116">
        <v>0.38</v>
      </c>
      <c r="X131" s="116">
        <v>0.38</v>
      </c>
      <c r="Y131" s="116">
        <v>0.38</v>
      </c>
      <c r="Z131" s="116">
        <v>0.38</v>
      </c>
      <c r="AA131" s="116">
        <v>0.38</v>
      </c>
      <c r="AB131" s="116">
        <v>0.38</v>
      </c>
      <c r="AC131" s="116">
        <v>0.38</v>
      </c>
      <c r="AD131" s="116">
        <v>0.38</v>
      </c>
      <c r="AE131" s="116">
        <v>0.38</v>
      </c>
      <c r="AF131" s="116">
        <v>0.38</v>
      </c>
      <c r="AG131" s="116">
        <v>0.38</v>
      </c>
    </row>
    <row r="132" spans="1:33" s="117" customFormat="1" x14ac:dyDescent="0.35">
      <c r="A132" s="149"/>
      <c r="B132" s="128" t="s">
        <v>78</v>
      </c>
      <c r="C132" s="129"/>
      <c r="D132" s="132">
        <f>D113*T132</f>
        <v>18.723119999999991</v>
      </c>
      <c r="E132" s="132">
        <f t="shared" ref="E132" si="616">E113*U132</f>
        <v>21.165344025014697</v>
      </c>
      <c r="F132" s="132">
        <f t="shared" ref="F132" si="617">F113*V132</f>
        <v>23.954528873577932</v>
      </c>
      <c r="G132" s="132">
        <f t="shared" ref="G132" si="618">G113*W132</f>
        <v>27.143760184285846</v>
      </c>
      <c r="H132" s="132">
        <f t="shared" ref="H132" si="619">H113*X132</f>
        <v>30.794799680994281</v>
      </c>
      <c r="I132" s="132">
        <f t="shared" ref="I132" si="620">I113*Y132</f>
        <v>34.979590364683226</v>
      </c>
      <c r="J132" s="132">
        <f t="shared" ref="J132" si="621">J113*Z132</f>
        <v>39.782037511829941</v>
      </c>
      <c r="K132" s="132">
        <f t="shared" ref="K132" si="622">K113*AA132</f>
        <v>45.300118638351783</v>
      </c>
      <c r="L132" s="132">
        <f t="shared" ref="L132" si="623">L113*AB132</f>
        <v>51.648386328473102</v>
      </c>
      <c r="M132" s="132">
        <f t="shared" ref="M132" si="624">M113*AC132</f>
        <v>58.96094083619456</v>
      </c>
      <c r="N132" s="132">
        <f t="shared" ref="N132" si="625">N113*AD132</f>
        <v>67.394965142715165</v>
      </c>
      <c r="O132" s="132">
        <f t="shared" ref="O132" si="626">O113*AE132</f>
        <v>77.134934309847253</v>
      </c>
      <c r="P132" s="132">
        <f t="shared" ref="P132" si="627">P113*AF132</f>
        <v>88.397634262382908</v>
      </c>
      <c r="Q132" s="132">
        <f t="shared" ref="Q132" si="628">Q113*AG132</f>
        <v>101.4381534921573</v>
      </c>
      <c r="R132" s="68">
        <f t="shared" si="602"/>
        <v>0.14162871397879775</v>
      </c>
      <c r="S132" s="134" t="s">
        <v>78</v>
      </c>
      <c r="T132" s="116">
        <v>0.16999999999999998</v>
      </c>
      <c r="U132" s="116">
        <v>0.17082188506343435</v>
      </c>
      <c r="V132" s="116">
        <v>0.17164774362720694</v>
      </c>
      <c r="W132" s="116">
        <v>0.17247759490167405</v>
      </c>
      <c r="X132" s="116">
        <v>0.17331145819006682</v>
      </c>
      <c r="Y132" s="116">
        <v>0.17414935288894001</v>
      </c>
      <c r="Z132" s="116">
        <v>0.17499129848862341</v>
      </c>
      <c r="AA132" s="116">
        <v>0.17583731457367507</v>
      </c>
      <c r="AB132" s="116">
        <v>0.17668742082333691</v>
      </c>
      <c r="AC132" s="116">
        <v>0.17754163701199244</v>
      </c>
      <c r="AD132" s="116">
        <v>0.17839998300962681</v>
      </c>
      <c r="AE132" s="116">
        <v>0.17926247878228888</v>
      </c>
      <c r="AF132" s="116">
        <v>0.18012914439255584</v>
      </c>
      <c r="AG132" s="116">
        <v>0.18099999999999969</v>
      </c>
    </row>
    <row r="133" spans="1:33" s="117" customFormat="1" x14ac:dyDescent="0.35">
      <c r="A133" s="149"/>
      <c r="B133" s="128" t="s">
        <v>79</v>
      </c>
      <c r="C133" s="129"/>
      <c r="D133" s="132">
        <f>D113*T133</f>
        <v>15.419039999999995</v>
      </c>
      <c r="E133" s="132">
        <f t="shared" ref="E133" si="629">E113*U133</f>
        <v>17.355919722242593</v>
      </c>
      <c r="F133" s="132">
        <f t="shared" ref="F133" si="630">F113*V133</f>
        <v>19.559291577410459</v>
      </c>
      <c r="G133" s="132">
        <f t="shared" ref="G133" si="631">G113*W133</f>
        <v>22.068798188673444</v>
      </c>
      <c r="H133" s="132">
        <f t="shared" ref="H133" si="632">H113*X133</f>
        <v>24.930399809631822</v>
      </c>
      <c r="I133" s="132">
        <f t="shared" ref="I133" si="633">I113*Y133</f>
        <v>28.197445484850352</v>
      </c>
      <c r="J133" s="132">
        <f t="shared" ref="J133" si="634">J113*Z133</f>
        <v>31.931936385192813</v>
      </c>
      <c r="K133" s="132">
        <f t="shared" ref="K133" si="635">K113*AA133</f>
        <v>36.206017638955579</v>
      </c>
      <c r="L133" s="132">
        <f t="shared" ref="L133" si="636">L113*AB133</f>
        <v>41.103742184917984</v>
      </c>
      <c r="M133" s="132">
        <f t="shared" ref="M133" si="637">M113*AC133</f>
        <v>46.723158874077242</v>
      </c>
      <c r="N133" s="132">
        <f t="shared" ref="N133" si="638">N113*AD133</f>
        <v>53.178787566946895</v>
      </c>
      <c r="O133" s="132">
        <f t="shared" ref="O133" si="639">O113*AE133</f>
        <v>60.60455670985867</v>
      </c>
      <c r="P133" s="132">
        <f t="shared" ref="P133" si="640">P113*AF133</f>
        <v>69.157294313864284</v>
      </c>
      <c r="Q133" s="132">
        <f t="shared" ref="Q133" si="641">Q113*AG133</f>
        <v>79.02088200217807</v>
      </c>
      <c r="R133" s="68">
        <f t="shared" si="602"/>
        <v>0.13675813264937062</v>
      </c>
      <c r="S133" s="134" t="s">
        <v>79</v>
      </c>
      <c r="T133" s="116">
        <v>0.14000000000000001</v>
      </c>
      <c r="U133" s="116">
        <v>0.14007667063947282</v>
      </c>
      <c r="V133" s="116">
        <v>0.14015338326742385</v>
      </c>
      <c r="W133" s="116">
        <v>0.1402301379068481</v>
      </c>
      <c r="X133" s="116">
        <v>0.14030693458075291</v>
      </c>
      <c r="Y133" s="116">
        <v>0.14038377331215846</v>
      </c>
      <c r="Z133" s="116">
        <v>0.14046065412409731</v>
      </c>
      <c r="AA133" s="116">
        <v>0.14053757703961495</v>
      </c>
      <c r="AB133" s="116">
        <v>0.14061454208176913</v>
      </c>
      <c r="AC133" s="116">
        <v>0.14069154927363042</v>
      </c>
      <c r="AD133" s="116">
        <v>0.14076859863828203</v>
      </c>
      <c r="AE133" s="116">
        <v>0.14084569019881982</v>
      </c>
      <c r="AF133" s="116">
        <v>0.14092282397835218</v>
      </c>
      <c r="AG133" s="116">
        <v>0.14100000000000026</v>
      </c>
    </row>
    <row r="134" spans="1:33" s="117" customFormat="1" x14ac:dyDescent="0.35">
      <c r="A134" s="149"/>
      <c r="B134" s="128" t="s">
        <v>80</v>
      </c>
      <c r="C134" s="129"/>
      <c r="D134" s="132">
        <f>D113*T134</f>
        <v>4.4054400000000014</v>
      </c>
      <c r="E134" s="132">
        <f t="shared" ref="E134" si="642">E113*U134</f>
        <v>4.5959467440872714</v>
      </c>
      <c r="F134" s="132">
        <f t="shared" ref="F134" si="643">F113*V134</f>
        <v>4.8003828460866576</v>
      </c>
      <c r="G134" s="132">
        <f t="shared" ref="G134" si="644">G113*W134</f>
        <v>5.0199204701165421</v>
      </c>
      <c r="H134" s="132">
        <f t="shared" ref="H134" si="645">H113*X134</f>
        <v>5.2558479914503673</v>
      </c>
      <c r="I134" s="132">
        <f t="shared" ref="I134" si="646">I113*Y134</f>
        <v>5.5095828456726812</v>
      </c>
      <c r="J134" s="132">
        <f t="shared" ref="J134" si="647">J113*Z134</f>
        <v>5.7826859472313528</v>
      </c>
      <c r="K134" s="132">
        <f t="shared" ref="K134" si="648">K113*AA134</f>
        <v>6.0768778857272254</v>
      </c>
      <c r="L134" s="132">
        <f t="shared" ref="L134" si="649">L113*AB134</f>
        <v>6.3940571380890674</v>
      </c>
      <c r="M134" s="132">
        <f t="shared" ref="M134" si="650">M113*AC134</f>
        <v>6.7363205691478125</v>
      </c>
      <c r="N134" s="132">
        <f t="shared" ref="N134" si="651">N113*AD134</f>
        <v>7.1059865327911744</v>
      </c>
      <c r="O134" s="132">
        <f t="shared" ref="O134" si="652">O113*AE134</f>
        <v>7.5056209317169342</v>
      </c>
      <c r="P134" s="132">
        <f t="shared" ref="P134" si="653">P113*AF134</f>
        <v>7.9380666468299648</v>
      </c>
      <c r="Q134" s="132">
        <f t="shared" ref="Q134" si="654">Q113*AG134</f>
        <v>8.4064768087423349</v>
      </c>
      <c r="R134" s="68">
        <f t="shared" si="602"/>
        <v>5.3570178224208155E-2</v>
      </c>
      <c r="S134" s="134" t="s">
        <v>80</v>
      </c>
      <c r="T134" s="116">
        <v>4.0000000000000029E-2</v>
      </c>
      <c r="U134" s="116">
        <v>3.7093103024844219E-2</v>
      </c>
      <c r="V134" s="116">
        <v>3.4397457300292665E-2</v>
      </c>
      <c r="W134" s="116">
        <v>3.1897710685810869E-2</v>
      </c>
      <c r="X134" s="116">
        <v>2.9579626718136409E-2</v>
      </c>
      <c r="Y134" s="116">
        <v>2.7430003532306693E-2</v>
      </c>
      <c r="Z134" s="116">
        <v>2.543659867489231E-2</v>
      </c>
      <c r="AA134" s="116">
        <v>2.3588059381234896E-2</v>
      </c>
      <c r="AB134" s="116">
        <v>2.1873857919607213E-2</v>
      </c>
      <c r="AC134" s="116">
        <v>2.0284231634069862E-2</v>
      </c>
      <c r="AD134" s="116">
        <v>1.8810127344558929E-2</v>
      </c>
      <c r="AE134" s="116">
        <v>1.7443149787554083E-2</v>
      </c>
      <c r="AF134" s="116">
        <v>1.617551380368832E-2</v>
      </c>
      <c r="AG134" s="116">
        <v>1.5000000000000005E-2</v>
      </c>
    </row>
    <row r="135" spans="1:33" s="117" customFormat="1" x14ac:dyDescent="0.35">
      <c r="A135" s="149"/>
      <c r="B135" s="128" t="s">
        <v>81</v>
      </c>
      <c r="C135" s="129"/>
      <c r="D135" s="132">
        <f>D113*T135</f>
        <v>2.2027199999999993</v>
      </c>
      <c r="E135" s="132">
        <f t="shared" ref="E135" si="655">E113*U135</f>
        <v>2.4962947894513947</v>
      </c>
      <c r="F135" s="132">
        <f t="shared" ref="F135" si="656">F113*V135</f>
        <v>2.8323546755050821</v>
      </c>
      <c r="G135" s="132">
        <f t="shared" ref="G135" si="657">G113*W135</f>
        <v>3.217506818002922</v>
      </c>
      <c r="H135" s="132">
        <f t="shared" ref="H135" si="658">H113*X135</f>
        <v>3.659454178479483</v>
      </c>
      <c r="I135" s="132">
        <f t="shared" ref="I135" si="659">I113*Y135</f>
        <v>4.1671881883090771</v>
      </c>
      <c r="J135" s="132">
        <f t="shared" ref="J135" si="660">J113*Z135</f>
        <v>4.7512171587158809</v>
      </c>
      <c r="K135" s="132">
        <f t="shared" ref="K135" si="661">K113*AA135</f>
        <v>5.4238374009361756</v>
      </c>
      <c r="L135" s="132">
        <f t="shared" ref="L135" si="662">L113*AB135</f>
        <v>6.1994554478739632</v>
      </c>
      <c r="M135" s="132">
        <f t="shared" ref="M135" si="663">M113*AC135</f>
        <v>7.0949714951963063</v>
      </c>
      <c r="N135" s="132">
        <f t="shared" ref="N135" si="664">N113*AD135</f>
        <v>8.130236277441476</v>
      </c>
      <c r="O135" s="132">
        <f t="shared" ref="O135" si="665">O113*AE135</f>
        <v>9.3285961464223845</v>
      </c>
      <c r="P135" s="132">
        <f t="shared" ref="P135" si="666">P113*AF135</f>
        <v>10.717544227392057</v>
      </c>
      <c r="Q135" s="132">
        <f t="shared" ref="Q135" si="667">Q113*AG135</f>
        <v>12.329499319488757</v>
      </c>
      <c r="R135" s="68">
        <f t="shared" si="602"/>
        <v>0.14449618007694159</v>
      </c>
      <c r="S135" s="134" t="s">
        <v>81</v>
      </c>
      <c r="T135" s="116">
        <v>2.0000000000000004E-2</v>
      </c>
      <c r="U135" s="116">
        <v>2.0147169878464571E-2</v>
      </c>
      <c r="V135" s="116">
        <v>2.0295422705585511E-2</v>
      </c>
      <c r="W135" s="116">
        <v>2.0444766450233912E-2</v>
      </c>
      <c r="X135" s="116">
        <v>2.0595209139919784E-2</v>
      </c>
      <c r="Y135" s="116">
        <v>2.0746758861223506E-2</v>
      </c>
      <c r="Z135" s="116">
        <v>2.0899423760230504E-2</v>
      </c>
      <c r="AA135" s="116">
        <v>2.1053212042969137E-2</v>
      </c>
      <c r="AB135" s="116">
        <v>2.1208131975851766E-2</v>
      </c>
      <c r="AC135" s="116">
        <v>2.1364191886119096E-2</v>
      </c>
      <c r="AD135" s="116">
        <v>2.1521400162287797E-2</v>
      </c>
      <c r="AE135" s="116">
        <v>2.1679765254601358E-2</v>
      </c>
      <c r="AF135" s="116">
        <v>2.1839295675484361E-2</v>
      </c>
      <c r="AG135" s="116">
        <v>2.2000000000000006E-2</v>
      </c>
    </row>
    <row r="136" spans="1:33" s="117" customFormat="1" x14ac:dyDescent="0.35">
      <c r="A136" s="149"/>
      <c r="B136" s="128" t="s">
        <v>82</v>
      </c>
      <c r="C136" s="129"/>
      <c r="D136" s="132">
        <f>D113*T136</f>
        <v>3.3040799999999892</v>
      </c>
      <c r="E136" s="132">
        <f t="shared" ref="E136" si="668">E113*U136</f>
        <v>3.9005324330618807</v>
      </c>
      <c r="F136" s="132">
        <f t="shared" ref="F136" si="669">F113*V136</f>
        <v>4.5696403676800257</v>
      </c>
      <c r="G136" s="132">
        <f t="shared" ref="G136" si="670">G113*W136</f>
        <v>5.3202223633543513</v>
      </c>
      <c r="H136" s="132">
        <f t="shared" ref="H136" si="671">H113*X136</f>
        <v>6.1621526891907825</v>
      </c>
      <c r="I136" s="132">
        <f t="shared" ref="I136" si="672">I113*Y136</f>
        <v>7.1064812712831795</v>
      </c>
      <c r="J136" s="132">
        <f t="shared" ref="J136" si="673">J113*Z136</f>
        <v>8.1655648499326716</v>
      </c>
      <c r="K136" s="132">
        <f t="shared" ref="K136" si="674">K113*AA136</f>
        <v>9.3532095882373429</v>
      </c>
      <c r="L136" s="132">
        <f t="shared" ref="L136" si="675">L113*AB136</f>
        <v>10.684825063669813</v>
      </c>
      <c r="M136" s="132">
        <f t="shared" ref="M136" si="676">M113*AC136</f>
        <v>12.177589128647362</v>
      </c>
      <c r="N136" s="132">
        <f t="shared" ref="N136" si="677">N113*AD136</f>
        <v>13.850622500517716</v>
      </c>
      <c r="O136" s="132">
        <f t="shared" ref="O136" si="678">O113*AE136</f>
        <v>15.725171078355949</v>
      </c>
      <c r="P136" s="132">
        <f t="shared" ref="P136" si="679">P113*AF136</f>
        <v>17.824792808963569</v>
      </c>
      <c r="Q136" s="132">
        <f t="shared" ref="Q136" si="680">Q113*AG136</f>
        <v>20.175544340981492</v>
      </c>
      <c r="R136" s="68">
        <f>RATE(9,,-H136,Q136)</f>
        <v>0.1408604740881742</v>
      </c>
      <c r="S136" s="134" t="s">
        <v>82</v>
      </c>
      <c r="T136" s="116">
        <f>1-SUM(T130:T135)</f>
        <v>2.9999999999999916E-2</v>
      </c>
      <c r="U136" s="116">
        <f t="shared" ref="U136:AG136" si="681">1-SUM(U130:U135)</f>
        <v>3.1480532618757273E-2</v>
      </c>
      <c r="V136" s="116">
        <f t="shared" si="681"/>
        <v>3.2744056977269231E-2</v>
      </c>
      <c r="W136" s="116">
        <f t="shared" si="681"/>
        <v>3.380589687440172E-2</v>
      </c>
      <c r="X136" s="116">
        <f t="shared" si="681"/>
        <v>3.468026027825144E-2</v>
      </c>
      <c r="Y136" s="116">
        <f t="shared" si="681"/>
        <v>3.5380320404233667E-2</v>
      </c>
      <c r="Z136" s="116">
        <f t="shared" si="681"/>
        <v>3.5918290900959216E-2</v>
      </c>
      <c r="AA136" s="116">
        <f t="shared" si="681"/>
        <v>3.6305495572102608E-2</v>
      </c>
      <c r="AB136" s="116">
        <f t="shared" si="681"/>
        <v>3.655243303134148E-2</v>
      </c>
      <c r="AC136" s="116">
        <f t="shared" si="681"/>
        <v>3.6668836658594883E-2</v>
      </c>
      <c r="AD136" s="116">
        <f t="shared" si="681"/>
        <v>3.6663730199023692E-2</v>
      </c>
      <c r="AE136" s="116">
        <f t="shared" si="681"/>
        <v>3.6545479321446361E-2</v>
      </c>
      <c r="AF136" s="116">
        <f t="shared" si="681"/>
        <v>3.6321839429808267E-2</v>
      </c>
      <c r="AG136" s="116">
        <f t="shared" si="681"/>
        <v>3.599999999999981E-2</v>
      </c>
    </row>
    <row r="137" spans="1:33" x14ac:dyDescent="0.35">
      <c r="D137" t="b">
        <f>D113=SUM(D130:D136)</f>
        <v>1</v>
      </c>
      <c r="E137" t="b">
        <f t="shared" ref="E137:Q137" si="682">E113=SUM(E130:E136)</f>
        <v>1</v>
      </c>
      <c r="F137" t="b">
        <f t="shared" si="682"/>
        <v>1</v>
      </c>
      <c r="G137" t="b">
        <f t="shared" si="682"/>
        <v>1</v>
      </c>
      <c r="H137" t="b">
        <f t="shared" si="682"/>
        <v>1</v>
      </c>
      <c r="I137" t="b">
        <f t="shared" si="682"/>
        <v>1</v>
      </c>
      <c r="J137" t="b">
        <f t="shared" si="682"/>
        <v>1</v>
      </c>
      <c r="K137" t="b">
        <f t="shared" si="682"/>
        <v>1</v>
      </c>
      <c r="L137" t="b">
        <f t="shared" si="682"/>
        <v>1</v>
      </c>
      <c r="M137" t="b">
        <f t="shared" si="682"/>
        <v>1</v>
      </c>
      <c r="N137" t="b">
        <f t="shared" si="682"/>
        <v>1</v>
      </c>
      <c r="O137" t="b">
        <f t="shared" si="682"/>
        <v>1</v>
      </c>
      <c r="P137" t="b">
        <f t="shared" si="682"/>
        <v>1</v>
      </c>
      <c r="Q137" t="b">
        <f t="shared" si="682"/>
        <v>1</v>
      </c>
    </row>
  </sheetData>
  <mergeCells count="25">
    <mergeCell ref="A114:A118"/>
    <mergeCell ref="A120:A122"/>
    <mergeCell ref="A124:A128"/>
    <mergeCell ref="A130:A136"/>
    <mergeCell ref="A99:A100"/>
    <mergeCell ref="A102:A107"/>
    <mergeCell ref="A109:A111"/>
    <mergeCell ref="A49:A50"/>
    <mergeCell ref="A52:A57"/>
    <mergeCell ref="A59:A61"/>
    <mergeCell ref="A89:R89"/>
    <mergeCell ref="A93:A94"/>
    <mergeCell ref="A96:A97"/>
    <mergeCell ref="A64:A68"/>
    <mergeCell ref="A70:A72"/>
    <mergeCell ref="A74:A78"/>
    <mergeCell ref="A80:A86"/>
    <mergeCell ref="A2:R2"/>
    <mergeCell ref="A39:R39"/>
    <mergeCell ref="A43:A44"/>
    <mergeCell ref="A46:A47"/>
    <mergeCell ref="A21:A23"/>
    <mergeCell ref="A31:A37"/>
    <mergeCell ref="A25:A29"/>
    <mergeCell ref="A15:A19"/>
  </mergeCells>
  <pageMargins left="0.7" right="0.7" top="0.75" bottom="0.75" header="0.3" footer="0.3"/>
  <ignoredErrors>
    <ignoredError sqref="U19" formulaRange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2330-AA9F-45C5-B46A-02C4116FD4CA}">
  <dimension ref="A1:V67"/>
  <sheetViews>
    <sheetView tabSelected="1" topLeftCell="A10" zoomScale="87" zoomScaleNormal="87" workbookViewId="0">
      <selection activeCell="D20" sqref="D20"/>
    </sheetView>
  </sheetViews>
  <sheetFormatPr defaultRowHeight="14.5" x14ac:dyDescent="0.35"/>
  <cols>
    <col min="1" max="1" width="11.90625" customWidth="1"/>
    <col min="2" max="2" width="15.36328125" customWidth="1"/>
    <col min="3" max="3" width="10.08984375" bestFit="1" customWidth="1"/>
    <col min="4" max="4" width="9.54296875" customWidth="1"/>
    <col min="5" max="5" width="11.90625" customWidth="1"/>
    <col min="6" max="6" width="10.1796875" customWidth="1"/>
    <col min="16" max="16" width="11" customWidth="1"/>
    <col min="17" max="17" width="18.1796875" customWidth="1"/>
    <col min="19" max="19" width="8.7265625" customWidth="1"/>
  </cols>
  <sheetData>
    <row r="1" spans="1:17" x14ac:dyDescent="0.35">
      <c r="A1" s="156" t="s">
        <v>47</v>
      </c>
      <c r="B1" s="156"/>
    </row>
    <row r="2" spans="1:17" x14ac:dyDescent="0.35">
      <c r="A2" s="28" t="s">
        <v>0</v>
      </c>
      <c r="B2" s="29">
        <v>0.3</v>
      </c>
      <c r="C2">
        <f>B2*F3</f>
        <v>1376.7</v>
      </c>
      <c r="F2" s="27" t="s">
        <v>57</v>
      </c>
      <c r="H2" s="112">
        <v>0.13600000000000001</v>
      </c>
    </row>
    <row r="3" spans="1:17" x14ac:dyDescent="0.35">
      <c r="A3" s="28" t="s">
        <v>1</v>
      </c>
      <c r="B3" s="29">
        <v>0.255</v>
      </c>
      <c r="C3">
        <f>B3*F3</f>
        <v>1170.1949999999999</v>
      </c>
      <c r="E3" s="32" t="s">
        <v>56</v>
      </c>
      <c r="F3" s="104">
        <v>4589</v>
      </c>
    </row>
    <row r="4" spans="1:17" x14ac:dyDescent="0.35">
      <c r="A4" s="28" t="s">
        <v>32</v>
      </c>
      <c r="B4" s="29">
        <v>0.21</v>
      </c>
      <c r="C4">
        <f>B4*F3</f>
        <v>963.68999999999994</v>
      </c>
    </row>
    <row r="5" spans="1:17" x14ac:dyDescent="0.35">
      <c r="A5" s="28" t="s">
        <v>2</v>
      </c>
      <c r="B5" s="29">
        <v>0.15</v>
      </c>
      <c r="C5">
        <f>B5*F3</f>
        <v>688.35</v>
      </c>
    </row>
    <row r="6" spans="1:17" x14ac:dyDescent="0.35">
      <c r="A6" s="28" t="s">
        <v>45</v>
      </c>
      <c r="B6" s="29">
        <f>1-SUM(B2:B5)</f>
        <v>8.5000000000000075E-2</v>
      </c>
      <c r="C6">
        <f>B6*F3</f>
        <v>390.06500000000034</v>
      </c>
    </row>
    <row r="7" spans="1:17" x14ac:dyDescent="0.35">
      <c r="A7" s="32"/>
      <c r="B7" s="101">
        <f>SUM(B2:B6)</f>
        <v>1</v>
      </c>
      <c r="C7" s="27">
        <f>SUM(C2:C6)</f>
        <v>4589.0000000000009</v>
      </c>
    </row>
    <row r="8" spans="1:17" x14ac:dyDescent="0.35">
      <c r="A8" s="32"/>
      <c r="B8" s="101"/>
      <c r="C8" s="144">
        <f>SUM(C11+C17+C35+C45+C57)</f>
        <v>4589</v>
      </c>
      <c r="D8" s="144">
        <f t="shared" ref="D8:P8" si="0">SUM(D11+D17+D35+D45+D57)</f>
        <v>5133.73596008</v>
      </c>
      <c r="E8" s="144">
        <f t="shared" si="0"/>
        <v>5753.0666260357775</v>
      </c>
      <c r="F8" s="144">
        <f t="shared" si="0"/>
        <v>6458.3340830333336</v>
      </c>
      <c r="G8" s="144">
        <f t="shared" si="0"/>
        <v>7262.7697765657776</v>
      </c>
      <c r="H8" s="144">
        <f t="shared" si="0"/>
        <v>8181.8371659361346</v>
      </c>
      <c r="I8" s="144">
        <f t="shared" si="0"/>
        <v>9233.6418179764842</v>
      </c>
      <c r="J8" s="144">
        <f t="shared" si="0"/>
        <v>10439.423310893157</v>
      </c>
      <c r="K8" s="144">
        <f t="shared" si="0"/>
        <v>11824.1466246282</v>
      </c>
      <c r="L8" s="144">
        <f t="shared" si="0"/>
        <v>13417.214819947749</v>
      </c>
      <c r="M8" s="144">
        <f t="shared" si="0"/>
        <v>15253.329971597685</v>
      </c>
      <c r="N8" s="144">
        <f t="shared" si="0"/>
        <v>17373.535801390906</v>
      </c>
      <c r="O8" s="144">
        <f t="shared" si="0"/>
        <v>19826.48361607402</v>
      </c>
      <c r="P8" s="144">
        <f t="shared" si="0"/>
        <v>22669.973459312536</v>
      </c>
    </row>
    <row r="9" spans="1:17" x14ac:dyDescent="0.35">
      <c r="A9" s="4"/>
      <c r="B9" s="5"/>
      <c r="C9" s="6" t="s">
        <v>36</v>
      </c>
      <c r="D9" s="6" t="s">
        <v>36</v>
      </c>
      <c r="E9" s="6" t="s">
        <v>44</v>
      </c>
      <c r="F9" s="6" t="s">
        <v>37</v>
      </c>
      <c r="G9" s="7" t="s">
        <v>38</v>
      </c>
      <c r="H9" s="7" t="s">
        <v>38</v>
      </c>
      <c r="I9" s="7" t="s">
        <v>38</v>
      </c>
      <c r="J9" s="7" t="s">
        <v>38</v>
      </c>
      <c r="K9" s="7" t="s">
        <v>38</v>
      </c>
      <c r="L9" s="7" t="s">
        <v>38</v>
      </c>
      <c r="M9" s="7" t="s">
        <v>38</v>
      </c>
      <c r="N9" s="7" t="s">
        <v>38</v>
      </c>
      <c r="O9" s="7" t="s">
        <v>38</v>
      </c>
      <c r="P9" s="7" t="s">
        <v>38</v>
      </c>
    </row>
    <row r="10" spans="1:17" ht="15" thickBot="1" x14ac:dyDescent="0.4">
      <c r="C10" s="8">
        <v>2023</v>
      </c>
      <c r="D10" s="8">
        <f>C10+1</f>
        <v>2024</v>
      </c>
      <c r="E10" s="8">
        <f t="shared" ref="E10:P10" si="1">D10+1</f>
        <v>2025</v>
      </c>
      <c r="F10" s="8">
        <f t="shared" si="1"/>
        <v>2026</v>
      </c>
      <c r="G10" s="8">
        <f t="shared" si="1"/>
        <v>2027</v>
      </c>
      <c r="H10" s="8">
        <f t="shared" si="1"/>
        <v>2028</v>
      </c>
      <c r="I10" s="8">
        <f t="shared" si="1"/>
        <v>2029</v>
      </c>
      <c r="J10" s="8">
        <f t="shared" si="1"/>
        <v>2030</v>
      </c>
      <c r="K10" s="8">
        <f t="shared" si="1"/>
        <v>2031</v>
      </c>
      <c r="L10" s="8">
        <f t="shared" si="1"/>
        <v>2032</v>
      </c>
      <c r="M10" s="8">
        <f t="shared" si="1"/>
        <v>2033</v>
      </c>
      <c r="N10" s="8">
        <f t="shared" si="1"/>
        <v>2034</v>
      </c>
      <c r="O10" s="8">
        <f t="shared" si="1"/>
        <v>2035</v>
      </c>
      <c r="P10" s="8">
        <f t="shared" si="1"/>
        <v>2036</v>
      </c>
      <c r="Q10" s="31" t="s">
        <v>48</v>
      </c>
    </row>
    <row r="11" spans="1:17" x14ac:dyDescent="0.35">
      <c r="A11" s="22" t="s">
        <v>0</v>
      </c>
      <c r="B11" s="9">
        <f>B2</f>
        <v>0.3</v>
      </c>
      <c r="C11" s="34">
        <f>B11*F3</f>
        <v>1376.7</v>
      </c>
      <c r="D11" s="10">
        <f>SUM(D13+D15)</f>
        <v>1561.4531400000001</v>
      </c>
      <c r="E11" s="10">
        <f>SUM(E13+E15)</f>
        <v>1773.9429624027116</v>
      </c>
      <c r="F11" s="10">
        <f>SUM(F13+F15)</f>
        <v>2018.7415169302828</v>
      </c>
      <c r="G11" s="10">
        <f>SUM(G13+G15)</f>
        <v>2301.2382373344344</v>
      </c>
      <c r="H11" s="10">
        <f t="shared" ref="H11:P11" si="2">SUM(H13+H15)</f>
        <v>2627.7970241941775</v>
      </c>
      <c r="I11" s="10">
        <f t="shared" si="2"/>
        <v>3005.9455564465266</v>
      </c>
      <c r="J11" s="10">
        <f t="shared" si="2"/>
        <v>3444.6038525501926</v>
      </c>
      <c r="K11" s="10">
        <f t="shared" si="2"/>
        <v>3954.3607188593869</v>
      </c>
      <c r="L11" s="10">
        <f t="shared" si="2"/>
        <v>4547.8087314689938</v>
      </c>
      <c r="M11" s="10">
        <f t="shared" si="2"/>
        <v>5239.9508982540374</v>
      </c>
      <c r="N11" s="10">
        <f t="shared" si="2"/>
        <v>6048.6952664151722</v>
      </c>
      <c r="O11" s="10">
        <f t="shared" si="2"/>
        <v>6995.4576378794545</v>
      </c>
      <c r="P11" s="10">
        <f t="shared" si="2"/>
        <v>8105.8974342216989</v>
      </c>
      <c r="Q11" s="39">
        <f>RATE(9,,-G11,P11)</f>
        <v>0.15016446834699257</v>
      </c>
    </row>
    <row r="12" spans="1:17" x14ac:dyDescent="0.35">
      <c r="A12" s="11"/>
      <c r="B12" s="3"/>
      <c r="C12" s="12"/>
      <c r="D12" s="13">
        <v>0.13500000000000001</v>
      </c>
      <c r="E12" s="13">
        <v>0.13692495903682861</v>
      </c>
      <c r="F12" s="13">
        <v>0.13887736597953473</v>
      </c>
      <c r="G12" s="13">
        <v>0.1408576122065959</v>
      </c>
      <c r="H12" s="13">
        <v>0.14286609467713798</v>
      </c>
      <c r="I12" s="13">
        <v>0.14490321601050959</v>
      </c>
      <c r="J12" s="13">
        <v>0.14696938456699077</v>
      </c>
      <c r="K12" s="13">
        <v>0.14906501452965273</v>
      </c>
      <c r="L12" s="13">
        <v>0.15119052598738486</v>
      </c>
      <c r="M12" s="13">
        <v>0.15334634501910552</v>
      </c>
      <c r="N12" s="13">
        <v>0.15553290377917336</v>
      </c>
      <c r="O12" s="13">
        <v>0.15775064058401717</v>
      </c>
      <c r="P12" s="13">
        <v>0.16000000000000014</v>
      </c>
    </row>
    <row r="13" spans="1:17" x14ac:dyDescent="0.35">
      <c r="A13" s="14" t="s">
        <v>50</v>
      </c>
      <c r="B13" s="15">
        <v>0.92</v>
      </c>
      <c r="C13" s="33">
        <f>B13*C11</f>
        <v>1266.5640000000001</v>
      </c>
      <c r="D13" s="36">
        <f>C13*(1+D12)</f>
        <v>1437.5501400000001</v>
      </c>
      <c r="E13" s="36">
        <f t="shared" ref="E13:O13" si="3">D13*(1+E12)</f>
        <v>1634.3866340328873</v>
      </c>
      <c r="F13" s="36">
        <f t="shared" si="3"/>
        <v>1861.3659447595326</v>
      </c>
      <c r="G13" s="36">
        <f t="shared" si="3"/>
        <v>2123.5535071810345</v>
      </c>
      <c r="H13" s="36">
        <f t="shared" si="3"/>
        <v>2426.9373035899289</v>
      </c>
      <c r="I13" s="36">
        <f>H13*(1+I12)</f>
        <v>2778.6083239359841</v>
      </c>
      <c r="J13" s="36">
        <f>I13*(1+J12)</f>
        <v>3186.9786792575737</v>
      </c>
      <c r="K13" s="36">
        <f t="shared" si="3"/>
        <v>3662.0457023867975</v>
      </c>
      <c r="L13" s="36">
        <f>K13*(1+L12)</f>
        <v>4215.7123183205003</v>
      </c>
      <c r="M13" s="36">
        <f>L13*(1+M12)</f>
        <v>4862.1763939869688</v>
      </c>
      <c r="N13" s="36">
        <f t="shared" si="3"/>
        <v>5618.4048072303121</v>
      </c>
      <c r="O13" s="36">
        <f t="shared" si="3"/>
        <v>6504.7117646312154</v>
      </c>
      <c r="P13" s="36">
        <f>O13*(1+P12)</f>
        <v>7545.4656469722104</v>
      </c>
      <c r="Q13" s="38">
        <f>RATE(9,,-G13,P13)</f>
        <v>0.15127829051348871</v>
      </c>
    </row>
    <row r="14" spans="1:17" x14ac:dyDescent="0.35">
      <c r="A14" s="14"/>
      <c r="B14" s="3"/>
      <c r="C14" s="27"/>
      <c r="D14" s="13">
        <v>0.125</v>
      </c>
      <c r="E14" s="13">
        <v>0.1263353459546942</v>
      </c>
      <c r="F14" s="13">
        <v>0.1276849570999381</v>
      </c>
      <c r="G14" s="13">
        <v>0.12904898582744775</v>
      </c>
      <c r="H14" s="13">
        <v>0.13042758615690431</v>
      </c>
      <c r="I14" s="13">
        <v>0.13182091375334551</v>
      </c>
      <c r="J14" s="13">
        <v>0.13322912594474243</v>
      </c>
      <c r="K14" s="13">
        <v>0.13465238173976449</v>
      </c>
      <c r="L14" s="13">
        <v>0.13609084184573353</v>
      </c>
      <c r="M14" s="13">
        <v>0.13754466868677054</v>
      </c>
      <c r="N14" s="13">
        <v>0.13901402642213556</v>
      </c>
      <c r="O14" s="13">
        <v>0.14049908096476396</v>
      </c>
      <c r="P14" s="13">
        <v>0.14200000000000035</v>
      </c>
    </row>
    <row r="15" spans="1:17" ht="15" thickBot="1" x14ac:dyDescent="0.4">
      <c r="A15" s="17" t="s">
        <v>12</v>
      </c>
      <c r="B15" s="18">
        <f>1-SUM(B13)</f>
        <v>7.999999999999996E-2</v>
      </c>
      <c r="C15" s="35">
        <f>B15*C11</f>
        <v>110.13599999999995</v>
      </c>
      <c r="D15" s="36">
        <f>C15*(1+D14)</f>
        <v>123.90299999999995</v>
      </c>
      <c r="E15" s="36">
        <f>D15*(1+E14)</f>
        <v>139.55632836982443</v>
      </c>
      <c r="F15" s="36">
        <f>E15*(1+F14)</f>
        <v>157.37557217075033</v>
      </c>
      <c r="G15" s="36">
        <f t="shared" ref="G15:P15" si="4">F15*(1+G14)</f>
        <v>177.68473015339995</v>
      </c>
      <c r="H15" s="36">
        <f t="shared" si="4"/>
        <v>200.85972060424885</v>
      </c>
      <c r="I15" s="36">
        <f t="shared" si="4"/>
        <v>227.33723251054261</v>
      </c>
      <c r="J15" s="36">
        <f t="shared" si="4"/>
        <v>257.62517329261891</v>
      </c>
      <c r="K15" s="36">
        <f t="shared" si="4"/>
        <v>292.3150164725896</v>
      </c>
      <c r="L15" s="36">
        <f t="shared" si="4"/>
        <v>332.09641314849381</v>
      </c>
      <c r="M15" s="36">
        <f t="shared" si="4"/>
        <v>377.77450426706827</v>
      </c>
      <c r="N15" s="36">
        <f t="shared" si="4"/>
        <v>430.29045918485969</v>
      </c>
      <c r="O15" s="36">
        <f t="shared" si="4"/>
        <v>490.74587324823875</v>
      </c>
      <c r="P15" s="36">
        <f t="shared" si="4"/>
        <v>560.43178724948882</v>
      </c>
      <c r="Q15" s="38">
        <f>RATE(9,,-G15,P15)</f>
        <v>0.13613593073307245</v>
      </c>
    </row>
    <row r="16" spans="1:17" ht="15" thickBot="1" x14ac:dyDescent="0.4">
      <c r="A16" s="1"/>
      <c r="B16" s="15">
        <f>B15+B13</f>
        <v>1</v>
      </c>
      <c r="C16" s="20"/>
      <c r="P16" s="21"/>
    </row>
    <row r="17" spans="1:22" x14ac:dyDescent="0.35">
      <c r="A17" s="22" t="s">
        <v>1</v>
      </c>
      <c r="B17" s="9">
        <f>B3</f>
        <v>0.255</v>
      </c>
      <c r="C17" s="34">
        <f>B17*F3</f>
        <v>1170.1949999999999</v>
      </c>
      <c r="D17" s="34">
        <f>SUM(D19+D21+D23+D25+D27+D29+D31+D33)</f>
        <v>1300.5711057299998</v>
      </c>
      <c r="E17" s="34">
        <f t="shared" ref="E17:P17" si="5">SUM(E19+E21+E23+E25+E27+E29+E31+E33)</f>
        <v>1447.4533796746073</v>
      </c>
      <c r="F17" s="34">
        <f t="shared" si="5"/>
        <v>1613.0827268802921</v>
      </c>
      <c r="G17" s="34">
        <f t="shared" si="5"/>
        <v>1800.0211243761742</v>
      </c>
      <c r="H17" s="34">
        <f t="shared" si="5"/>
        <v>2011.1998369169023</v>
      </c>
      <c r="I17" s="34">
        <f t="shared" si="5"/>
        <v>2249.9752123302078</v>
      </c>
      <c r="J17" s="34">
        <f t="shared" si="5"/>
        <v>2520.1933054142501</v>
      </c>
      <c r="K17" s="34">
        <f t="shared" si="5"/>
        <v>2826.2647955482348</v>
      </c>
      <c r="L17" s="34">
        <f t="shared" si="5"/>
        <v>3173.2519188037131</v>
      </c>
      <c r="M17" s="34">
        <f t="shared" si="5"/>
        <v>3566.9694379394109</v>
      </c>
      <c r="N17" s="34">
        <f t="shared" si="5"/>
        <v>4014.1020323243401</v>
      </c>
      <c r="O17" s="34">
        <f t="shared" si="5"/>
        <v>4522.3409155106829</v>
      </c>
      <c r="P17" s="34">
        <f t="shared" si="5"/>
        <v>5100.5429940679751</v>
      </c>
      <c r="Q17" s="38">
        <f>RATE(9,,-G17,P17)</f>
        <v>0.12269003502722302</v>
      </c>
      <c r="R17" s="106" t="s">
        <v>123</v>
      </c>
    </row>
    <row r="18" spans="1:22" ht="15" thickBot="1" x14ac:dyDescent="0.4">
      <c r="A18" s="11"/>
      <c r="B18" s="3"/>
      <c r="D18" s="13">
        <v>0.14199999999999999</v>
      </c>
      <c r="E18" s="13">
        <v>0.14199999999999999</v>
      </c>
      <c r="F18" s="13">
        <v>0.14199999999999999</v>
      </c>
      <c r="G18" s="13">
        <v>0.14199999999999999</v>
      </c>
      <c r="H18" s="13">
        <v>0.14199999999999999</v>
      </c>
      <c r="I18" s="13">
        <v>0.14199999999999996</v>
      </c>
      <c r="J18" s="13">
        <v>0.14199999999999996</v>
      </c>
      <c r="K18" s="13">
        <v>0.14199999999999996</v>
      </c>
      <c r="L18" s="13">
        <v>0.14199999999999996</v>
      </c>
      <c r="M18" s="13">
        <v>0.14199999999999996</v>
      </c>
      <c r="N18" s="13">
        <v>0.14199999999999993</v>
      </c>
      <c r="O18" s="13">
        <v>0.14199999999999993</v>
      </c>
      <c r="P18" s="13">
        <v>0.14199999999999993</v>
      </c>
      <c r="R18" t="s">
        <v>116</v>
      </c>
    </row>
    <row r="19" spans="1:22" x14ac:dyDescent="0.35">
      <c r="A19" s="98" t="s">
        <v>51</v>
      </c>
      <c r="B19" s="15">
        <v>0.24</v>
      </c>
      <c r="C19" s="16">
        <f>B19*C17</f>
        <v>280.84679999999997</v>
      </c>
      <c r="D19" s="36">
        <f>C19*(1+D18)</f>
        <v>320.72704559999994</v>
      </c>
      <c r="E19" s="36">
        <f>D19*(1+E18)</f>
        <v>366.27028607519992</v>
      </c>
      <c r="F19" s="36">
        <f>E19*(1+F18)</f>
        <v>418.28066669787825</v>
      </c>
      <c r="G19" s="36">
        <f t="shared" ref="G19:O19" si="6">F19*(1+G18)</f>
        <v>477.67652136897692</v>
      </c>
      <c r="H19" s="36">
        <f t="shared" si="6"/>
        <v>545.50658740337155</v>
      </c>
      <c r="I19" s="36">
        <f t="shared" si="6"/>
        <v>622.96852281465021</v>
      </c>
      <c r="J19" s="36">
        <f t="shared" si="6"/>
        <v>711.43005305433053</v>
      </c>
      <c r="K19" s="36">
        <f t="shared" si="6"/>
        <v>812.45312058804541</v>
      </c>
      <c r="L19" s="36">
        <f t="shared" si="6"/>
        <v>927.82146371154772</v>
      </c>
      <c r="M19" s="36">
        <f t="shared" si="6"/>
        <v>1059.5721115585875</v>
      </c>
      <c r="N19" s="36">
        <f t="shared" si="6"/>
        <v>1210.0313513999067</v>
      </c>
      <c r="O19" s="36">
        <f t="shared" si="6"/>
        <v>1381.8558032986934</v>
      </c>
      <c r="P19" s="36">
        <f>O19*(1+P18)</f>
        <v>1578.0793273671077</v>
      </c>
      <c r="Q19" s="38">
        <f>RATE(9,,-G19,P19)</f>
        <v>0.14199999999999999</v>
      </c>
      <c r="R19" t="s">
        <v>117</v>
      </c>
      <c r="S19" t="s">
        <v>118</v>
      </c>
    </row>
    <row r="20" spans="1:22" x14ac:dyDescent="0.35">
      <c r="A20" s="99"/>
      <c r="B20" s="3"/>
      <c r="D20" s="13">
        <v>0.13000000000000003</v>
      </c>
      <c r="E20" s="13">
        <v>0.13125000000000003</v>
      </c>
      <c r="F20" s="13">
        <v>0.13250000000000003</v>
      </c>
      <c r="G20" s="13">
        <v>0.13375000000000004</v>
      </c>
      <c r="H20" s="13">
        <v>0.13500000000000004</v>
      </c>
      <c r="I20" s="13">
        <v>0.13625000000000004</v>
      </c>
      <c r="J20" s="13">
        <v>0.13750000000000001</v>
      </c>
      <c r="K20" s="13">
        <v>0.13875000000000001</v>
      </c>
      <c r="L20" s="13">
        <v>0.14000000000000001</v>
      </c>
      <c r="M20" s="13">
        <v>0.14125000000000001</v>
      </c>
      <c r="N20" s="13">
        <v>0.14250000000000002</v>
      </c>
      <c r="O20" s="13">
        <v>0.14375000000000002</v>
      </c>
      <c r="P20" s="13">
        <v>0.14500000000000002</v>
      </c>
      <c r="R20" t="s">
        <v>119</v>
      </c>
    </row>
    <row r="21" spans="1:22" x14ac:dyDescent="0.35">
      <c r="A21" s="99" t="s">
        <v>52</v>
      </c>
      <c r="B21" s="15">
        <v>0.15</v>
      </c>
      <c r="C21" s="24">
        <f>B21*C17</f>
        <v>175.52924999999999</v>
      </c>
      <c r="D21" s="36">
        <f>C21*(1+D20)</f>
        <v>198.34805250000002</v>
      </c>
      <c r="E21" s="36">
        <f t="shared" ref="E21:P21" si="7">D21*(1+E20)</f>
        <v>224.38123439062505</v>
      </c>
      <c r="F21" s="36">
        <f t="shared" si="7"/>
        <v>254.1117479473829</v>
      </c>
      <c r="G21" s="36">
        <f t="shared" si="7"/>
        <v>288.09919423534535</v>
      </c>
      <c r="H21" s="36">
        <f t="shared" si="7"/>
        <v>326.992585457117</v>
      </c>
      <c r="I21" s="36">
        <f t="shared" si="7"/>
        <v>371.54532522564921</v>
      </c>
      <c r="J21" s="36">
        <f t="shared" si="7"/>
        <v>422.63280744417597</v>
      </c>
      <c r="K21" s="36">
        <f t="shared" si="7"/>
        <v>481.27310947705536</v>
      </c>
      <c r="L21" s="36">
        <f t="shared" si="7"/>
        <v>548.65134480384313</v>
      </c>
      <c r="M21" s="36">
        <f t="shared" si="7"/>
        <v>626.14834725738604</v>
      </c>
      <c r="N21" s="36">
        <f t="shared" si="7"/>
        <v>715.3744867415636</v>
      </c>
      <c r="O21" s="36">
        <f t="shared" si="7"/>
        <v>818.2095692106634</v>
      </c>
      <c r="P21" s="36">
        <f t="shared" si="7"/>
        <v>936.84995674620961</v>
      </c>
      <c r="Q21" s="38">
        <f>RATE(9,,-G21,P21)</f>
        <v>0.13999543125729591</v>
      </c>
      <c r="R21" t="s">
        <v>120</v>
      </c>
    </row>
    <row r="22" spans="1:22" x14ac:dyDescent="0.35">
      <c r="A22" s="99"/>
      <c r="B22" s="3"/>
      <c r="D22" s="13">
        <v>8.900000000000001E-2</v>
      </c>
      <c r="E22" s="13">
        <v>9.0333333333333335E-2</v>
      </c>
      <c r="F22" s="13">
        <v>9.1666666666666674E-2</v>
      </c>
      <c r="G22" s="13">
        <v>9.2999999999999999E-2</v>
      </c>
      <c r="H22" s="13">
        <v>9.4333333333333338E-2</v>
      </c>
      <c r="I22" s="13">
        <v>9.5666666666666678E-2</v>
      </c>
      <c r="J22" s="13">
        <v>9.7000000000000003E-2</v>
      </c>
      <c r="K22" s="13">
        <v>9.8333333333333342E-2</v>
      </c>
      <c r="L22" s="13">
        <v>9.9666666666666667E-2</v>
      </c>
      <c r="M22" s="13">
        <v>0.10100000000000001</v>
      </c>
      <c r="N22" s="13">
        <v>0.10233333333333333</v>
      </c>
      <c r="O22" s="13">
        <v>0.10366666666666667</v>
      </c>
      <c r="P22" s="13">
        <v>0.10500000000000001</v>
      </c>
      <c r="R22" t="s">
        <v>121</v>
      </c>
    </row>
    <row r="23" spans="1:22" x14ac:dyDescent="0.35">
      <c r="A23" s="99" t="s">
        <v>53</v>
      </c>
      <c r="B23" s="15">
        <v>0.19</v>
      </c>
      <c r="C23" s="16">
        <f>B23*C17</f>
        <v>222.33704999999998</v>
      </c>
      <c r="D23" s="36">
        <f>C23*(1+D22)</f>
        <v>242.12504744999995</v>
      </c>
      <c r="E23" s="36">
        <f t="shared" ref="E23:P23" si="8">D23*(1+E22)</f>
        <v>263.99701006964995</v>
      </c>
      <c r="F23" s="36">
        <f t="shared" si="8"/>
        <v>288.19673599270124</v>
      </c>
      <c r="G23" s="36">
        <f t="shared" si="8"/>
        <v>314.99903244002246</v>
      </c>
      <c r="H23" s="36">
        <f t="shared" si="8"/>
        <v>344.71394116686457</v>
      </c>
      <c r="I23" s="36">
        <f t="shared" si="8"/>
        <v>377.69157487182798</v>
      </c>
      <c r="J23" s="36">
        <f t="shared" si="8"/>
        <v>414.32765763439528</v>
      </c>
      <c r="K23" s="36">
        <f t="shared" si="8"/>
        <v>455.06987730177752</v>
      </c>
      <c r="L23" s="36">
        <f t="shared" si="8"/>
        <v>500.42517507285464</v>
      </c>
      <c r="M23" s="36">
        <f t="shared" si="8"/>
        <v>550.96811775521292</v>
      </c>
      <c r="N23" s="36">
        <f t="shared" si="8"/>
        <v>607.35052180549644</v>
      </c>
      <c r="O23" s="36">
        <f t="shared" si="8"/>
        <v>670.31252589933285</v>
      </c>
      <c r="P23" s="36">
        <f t="shared" si="8"/>
        <v>740.69534111876283</v>
      </c>
      <c r="Q23" s="38">
        <f>RATE(9,,-G23,P23)</f>
        <v>9.9661277794807837E-2</v>
      </c>
      <c r="R23" t="s">
        <v>122</v>
      </c>
    </row>
    <row r="24" spans="1:22" x14ac:dyDescent="0.35">
      <c r="A24" s="99"/>
      <c r="B24" s="3"/>
      <c r="D24" s="13">
        <v>0.10600000000000001</v>
      </c>
      <c r="E24" s="13">
        <v>0.10816666666666669</v>
      </c>
      <c r="F24" s="13">
        <v>0.11033333333333335</v>
      </c>
      <c r="G24" s="13">
        <v>0.11250000000000003</v>
      </c>
      <c r="H24" s="13">
        <v>0.11466666666666671</v>
      </c>
      <c r="I24" s="13">
        <v>0.11683333333333339</v>
      </c>
      <c r="J24" s="13">
        <v>0.11900000000000005</v>
      </c>
      <c r="K24" s="13">
        <v>0.12116666666666673</v>
      </c>
      <c r="L24" s="13">
        <v>0.12333333333333341</v>
      </c>
      <c r="M24" s="13">
        <v>0.12550000000000008</v>
      </c>
      <c r="N24" s="13">
        <v>0.12766666666666676</v>
      </c>
      <c r="O24" s="13">
        <v>0.12983333333333344</v>
      </c>
      <c r="P24" s="13">
        <v>0.13200000000000012</v>
      </c>
    </row>
    <row r="25" spans="1:22" x14ac:dyDescent="0.35">
      <c r="A25" s="99" t="s">
        <v>54</v>
      </c>
      <c r="B25" s="15">
        <v>0.15</v>
      </c>
      <c r="C25" s="16">
        <f>B25*C17</f>
        <v>175.52924999999999</v>
      </c>
      <c r="D25" s="36">
        <f>C25*(1+D24)</f>
        <v>194.13535050000002</v>
      </c>
      <c r="E25" s="36">
        <f t="shared" ref="E25:P25" si="9">D25*(1+E24)</f>
        <v>215.13432424575004</v>
      </c>
      <c r="F25" s="36">
        <f t="shared" si="9"/>
        <v>238.8708113541978</v>
      </c>
      <c r="G25" s="36">
        <f t="shared" si="9"/>
        <v>265.74377763154507</v>
      </c>
      <c r="H25" s="36">
        <f t="shared" si="9"/>
        <v>296.21573079996227</v>
      </c>
      <c r="I25" s="36">
        <f t="shared" si="9"/>
        <v>330.82360201509118</v>
      </c>
      <c r="J25" s="36">
        <f t="shared" si="9"/>
        <v>370.19161065488703</v>
      </c>
      <c r="K25" s="36">
        <f t="shared" si="9"/>
        <v>415.04649414590415</v>
      </c>
      <c r="L25" s="36">
        <f t="shared" si="9"/>
        <v>466.2355617572324</v>
      </c>
      <c r="M25" s="36">
        <f t="shared" si="9"/>
        <v>524.74812475776514</v>
      </c>
      <c r="N25" s="36">
        <f t="shared" si="9"/>
        <v>591.74096868517324</v>
      </c>
      <c r="O25" s="36">
        <f t="shared" si="9"/>
        <v>668.56867111946497</v>
      </c>
      <c r="P25" s="36">
        <f t="shared" si="9"/>
        <v>756.81973570723437</v>
      </c>
      <c r="Q25" s="38">
        <f>RATE(9,,-G25,P25)</f>
        <v>0.12331940301172846</v>
      </c>
    </row>
    <row r="26" spans="1:22" x14ac:dyDescent="0.35">
      <c r="A26" s="99"/>
      <c r="B26" s="3"/>
      <c r="D26" s="13">
        <v>7.4999999999999997E-2</v>
      </c>
      <c r="E26" s="13">
        <v>7.6416666666666647E-2</v>
      </c>
      <c r="F26" s="13">
        <v>7.783333333333331E-2</v>
      </c>
      <c r="G26" s="13">
        <v>7.9249999999999959E-2</v>
      </c>
      <c r="H26" s="13">
        <v>8.0666666666666623E-2</v>
      </c>
      <c r="I26" s="13">
        <v>8.2083333333333286E-2</v>
      </c>
      <c r="J26" s="13">
        <v>8.3499999999999935E-2</v>
      </c>
      <c r="K26" s="13">
        <v>8.4916666666666599E-2</v>
      </c>
      <c r="L26" s="13">
        <v>8.6333333333333262E-2</v>
      </c>
      <c r="M26" s="13">
        <v>8.7749999999999911E-2</v>
      </c>
      <c r="N26" s="13">
        <v>8.9166666666666575E-2</v>
      </c>
      <c r="O26" s="13">
        <v>9.0583333333333238E-2</v>
      </c>
      <c r="P26" s="13">
        <v>9.1999999999999887E-2</v>
      </c>
      <c r="S26" s="106" t="s">
        <v>58</v>
      </c>
      <c r="T26" s="106"/>
      <c r="U26" s="106"/>
      <c r="V26" s="106"/>
    </row>
    <row r="27" spans="1:22" ht="15" thickBot="1" x14ac:dyDescent="0.4">
      <c r="A27" s="100" t="s">
        <v>55</v>
      </c>
      <c r="B27" s="15">
        <v>0.06</v>
      </c>
      <c r="C27" s="16">
        <f>B27*C17</f>
        <v>70.211699999999993</v>
      </c>
      <c r="D27" s="36">
        <f>C27*(1+D26)</f>
        <v>75.477577499999995</v>
      </c>
      <c r="E27" s="36">
        <f t="shared" ref="E27:P27" si="10">D27*(1+E26)</f>
        <v>81.245322380624984</v>
      </c>
      <c r="F27" s="36">
        <f t="shared" si="10"/>
        <v>87.568916639250304</v>
      </c>
      <c r="G27" s="36">
        <f t="shared" si="10"/>
        <v>94.508753282910888</v>
      </c>
      <c r="H27" s="36">
        <f t="shared" si="10"/>
        <v>102.1324593810657</v>
      </c>
      <c r="I27" s="36">
        <f t="shared" si="10"/>
        <v>110.51583208859483</v>
      </c>
      <c r="J27" s="36">
        <f t="shared" si="10"/>
        <v>119.74390406799249</v>
      </c>
      <c r="K27" s="36">
        <f t="shared" si="10"/>
        <v>129.91215725509949</v>
      </c>
      <c r="L27" s="36">
        <f t="shared" si="10"/>
        <v>141.12790683145639</v>
      </c>
      <c r="M27" s="36">
        <f t="shared" si="10"/>
        <v>153.51188065591668</v>
      </c>
      <c r="N27" s="36">
        <f t="shared" si="10"/>
        <v>167.20002334773591</v>
      </c>
      <c r="O27" s="36">
        <f t="shared" si="10"/>
        <v>182.34555879598497</v>
      </c>
      <c r="P27" s="36">
        <f t="shared" si="10"/>
        <v>199.12135020521555</v>
      </c>
      <c r="Q27" s="38">
        <f>RATE(9,,-G27,P27)</f>
        <v>8.6327175142052681E-2</v>
      </c>
      <c r="S27" s="103">
        <v>0.11799999999999999</v>
      </c>
    </row>
    <row r="28" spans="1:22" x14ac:dyDescent="0.35">
      <c r="A28" s="1"/>
      <c r="B28" s="3"/>
      <c r="D28" s="13">
        <v>4.7E-2</v>
      </c>
      <c r="E28" s="13">
        <v>4.7750000000000001E-2</v>
      </c>
      <c r="F28" s="13">
        <v>4.8500000000000001E-2</v>
      </c>
      <c r="G28" s="13">
        <v>4.9250000000000002E-2</v>
      </c>
      <c r="H28" s="13">
        <v>0.05</v>
      </c>
      <c r="I28" s="13">
        <v>5.0750000000000003E-2</v>
      </c>
      <c r="J28" s="13">
        <v>5.1500000000000004E-2</v>
      </c>
      <c r="K28" s="13">
        <v>5.2249999999999998E-2</v>
      </c>
      <c r="L28" s="13">
        <v>5.2999999999999999E-2</v>
      </c>
      <c r="M28" s="13">
        <v>5.3749999999999999E-2</v>
      </c>
      <c r="N28" s="13">
        <v>5.45E-2</v>
      </c>
      <c r="O28" s="13">
        <v>5.525E-2</v>
      </c>
      <c r="P28" s="13">
        <v>5.6000000000000001E-2</v>
      </c>
      <c r="S28" s="108">
        <v>0.1152</v>
      </c>
    </row>
    <row r="29" spans="1:22" x14ac:dyDescent="0.35">
      <c r="A29" s="1" t="s">
        <v>33</v>
      </c>
      <c r="B29" s="30">
        <v>4.2000000000000003E-2</v>
      </c>
      <c r="C29" s="16">
        <f>B29*C17</f>
        <v>49.14819</v>
      </c>
      <c r="D29" s="36">
        <f>C29*(1+D28)</f>
        <v>51.458154929999999</v>
      </c>
      <c r="E29" s="36">
        <f t="shared" ref="E29:P29" si="11">D29*(1+E28)</f>
        <v>53.915281827907499</v>
      </c>
      <c r="F29" s="36">
        <f t="shared" si="11"/>
        <v>56.530172996561014</v>
      </c>
      <c r="G29" s="36">
        <f t="shared" si="11"/>
        <v>59.314284016641643</v>
      </c>
      <c r="H29" s="36">
        <f t="shared" si="11"/>
        <v>62.279998217473725</v>
      </c>
      <c r="I29" s="36">
        <f t="shared" si="11"/>
        <v>65.440708127010524</v>
      </c>
      <c r="J29" s="36">
        <f t="shared" si="11"/>
        <v>68.810904595551577</v>
      </c>
      <c r="K29" s="36">
        <f t="shared" si="11"/>
        <v>72.406274360669144</v>
      </c>
      <c r="L29" s="36">
        <f t="shared" si="11"/>
        <v>76.243806901784609</v>
      </c>
      <c r="M29" s="36">
        <f t="shared" si="11"/>
        <v>80.341911522755524</v>
      </c>
      <c r="N29" s="36">
        <f t="shared" si="11"/>
        <v>84.720545700745703</v>
      </c>
      <c r="O29" s="36">
        <f t="shared" si="11"/>
        <v>89.401355850711909</v>
      </c>
      <c r="P29" s="36">
        <f t="shared" si="11"/>
        <v>94.407831778351778</v>
      </c>
      <c r="Q29" s="38">
        <f>RATE(9,,-G29,P29)</f>
        <v>5.2998219369395361E-2</v>
      </c>
      <c r="S29" s="107">
        <v>0.15</v>
      </c>
    </row>
    <row r="30" spans="1:22" x14ac:dyDescent="0.35">
      <c r="A30" s="1"/>
      <c r="B30" s="3"/>
      <c r="D30" s="13">
        <v>0.10399999999999998</v>
      </c>
      <c r="E30" s="13">
        <v>0.10416666666666664</v>
      </c>
      <c r="F30" s="13">
        <v>0.10433333333333331</v>
      </c>
      <c r="G30" s="13">
        <v>0.10449999999999998</v>
      </c>
      <c r="H30" s="13">
        <v>0.10466666666666666</v>
      </c>
      <c r="I30" s="13">
        <v>0.10483333333333332</v>
      </c>
      <c r="J30" s="13">
        <v>0.10499999999999998</v>
      </c>
      <c r="K30" s="13">
        <v>0.10516666666666666</v>
      </c>
      <c r="L30" s="13">
        <v>0.10533333333333333</v>
      </c>
      <c r="M30" s="13">
        <v>0.1055</v>
      </c>
      <c r="N30" s="13">
        <v>0.10566666666666666</v>
      </c>
      <c r="O30" s="13">
        <v>0.10583333333333333</v>
      </c>
      <c r="P30" s="13">
        <v>0.10600000000000001</v>
      </c>
      <c r="S30" s="109">
        <v>0.14499999999999999</v>
      </c>
    </row>
    <row r="31" spans="1:22" x14ac:dyDescent="0.35">
      <c r="A31" s="1" t="s">
        <v>3</v>
      </c>
      <c r="B31" s="30">
        <v>7.0000000000000007E-2</v>
      </c>
      <c r="C31" s="16">
        <f>B31*C17</f>
        <v>81.913650000000004</v>
      </c>
      <c r="D31" s="36">
        <f>C31*(1+D30)</f>
        <v>90.432669600000011</v>
      </c>
      <c r="E31" s="36">
        <f t="shared" ref="E31:P31" si="12">D31*(1+E30)</f>
        <v>99.852739350000022</v>
      </c>
      <c r="F31" s="36">
        <f t="shared" si="12"/>
        <v>110.27070848885003</v>
      </c>
      <c r="G31" s="36">
        <f t="shared" si="12"/>
        <v>121.79399752593487</v>
      </c>
      <c r="H31" s="36">
        <f t="shared" si="12"/>
        <v>134.54176926698273</v>
      </c>
      <c r="I31" s="36">
        <f t="shared" si="12"/>
        <v>148.64623141180473</v>
      </c>
      <c r="J31" s="36">
        <f t="shared" si="12"/>
        <v>164.25408571004422</v>
      </c>
      <c r="K31" s="36">
        <f t="shared" si="12"/>
        <v>181.52814039055053</v>
      </c>
      <c r="L31" s="36">
        <f t="shared" si="12"/>
        <v>200.64910451168851</v>
      </c>
      <c r="M31" s="36">
        <f t="shared" si="12"/>
        <v>221.81758503767162</v>
      </c>
      <c r="N31" s="36">
        <f t="shared" si="12"/>
        <v>245.25630985665222</v>
      </c>
      <c r="O31" s="36">
        <f t="shared" si="12"/>
        <v>271.21260264981458</v>
      </c>
      <c r="P31" s="36">
        <f t="shared" si="12"/>
        <v>299.96113853069494</v>
      </c>
      <c r="Q31" s="38">
        <f>RATE(9,,-G31,P31)</f>
        <v>0.10533324956440689</v>
      </c>
      <c r="S31" s="110">
        <v>0.12</v>
      </c>
    </row>
    <row r="32" spans="1:22" x14ac:dyDescent="0.35">
      <c r="A32" s="1"/>
      <c r="B32" s="3"/>
      <c r="D32" s="13">
        <v>0.11499999999999999</v>
      </c>
      <c r="E32" s="13">
        <v>0.11566666666666667</v>
      </c>
      <c r="F32" s="13">
        <v>0.11633333333333333</v>
      </c>
      <c r="G32" s="13">
        <v>0.11699999999999999</v>
      </c>
      <c r="H32" s="13">
        <v>0.11766666666666666</v>
      </c>
      <c r="I32" s="13">
        <v>0.11833333333333333</v>
      </c>
      <c r="J32" s="13">
        <v>0.11899999999999999</v>
      </c>
      <c r="K32" s="13">
        <v>0.11966666666666666</v>
      </c>
      <c r="L32" s="13">
        <v>0.12033333333333332</v>
      </c>
      <c r="M32" s="13">
        <v>0.121</v>
      </c>
      <c r="N32" s="13">
        <v>0.12166666666666666</v>
      </c>
      <c r="O32" s="13">
        <v>0.12233333333333332</v>
      </c>
      <c r="P32" s="13">
        <v>0.12299999999999998</v>
      </c>
      <c r="S32" s="107">
        <v>0.16800000000000001</v>
      </c>
    </row>
    <row r="33" spans="1:19" ht="15" thickBot="1" x14ac:dyDescent="0.4">
      <c r="A33" s="25" t="s">
        <v>39</v>
      </c>
      <c r="B33" s="18">
        <f>1-SUM(B19+B21+B23+B25+B27+B29+B31)</f>
        <v>9.7999999999999865E-2</v>
      </c>
      <c r="C33" s="19">
        <f>B33*C17</f>
        <v>114.67910999999984</v>
      </c>
      <c r="D33" s="36">
        <f>C33*(1+D32)</f>
        <v>127.86720764999981</v>
      </c>
      <c r="E33" s="36">
        <f t="shared" ref="E33:P33" si="13">D33*(1+E32)</f>
        <v>142.65718133484978</v>
      </c>
      <c r="F33" s="36">
        <f t="shared" si="13"/>
        <v>159.25296676347065</v>
      </c>
      <c r="G33" s="36">
        <f t="shared" si="13"/>
        <v>177.88556387479673</v>
      </c>
      <c r="H33" s="36">
        <f t="shared" si="13"/>
        <v>198.81676522406445</v>
      </c>
      <c r="I33" s="36">
        <f t="shared" si="13"/>
        <v>222.34341577557876</v>
      </c>
      <c r="J33" s="36">
        <f t="shared" si="13"/>
        <v>248.80228225287263</v>
      </c>
      <c r="K33" s="36">
        <f t="shared" si="13"/>
        <v>278.57562202913306</v>
      </c>
      <c r="L33" s="36">
        <f t="shared" si="13"/>
        <v>312.09755521330544</v>
      </c>
      <c r="M33" s="36">
        <f t="shared" si="13"/>
        <v>349.86135939411542</v>
      </c>
      <c r="N33" s="36">
        <f t="shared" si="13"/>
        <v>392.42782478706613</v>
      </c>
      <c r="O33" s="36">
        <f t="shared" si="13"/>
        <v>440.43482868601723</v>
      </c>
      <c r="P33" s="36">
        <f t="shared" si="13"/>
        <v>494.60831261439733</v>
      </c>
      <c r="Q33" s="38">
        <f>RATE(9,,-G33,P33)</f>
        <v>0.12033201097358641</v>
      </c>
      <c r="S33" s="111">
        <f>AVERAGE(S27:S32)</f>
        <v>0.13603333333333334</v>
      </c>
    </row>
    <row r="34" spans="1:19" ht="15" thickBot="1" x14ac:dyDescent="0.4">
      <c r="A34" s="1"/>
      <c r="B34" s="15">
        <f>SUM(B19+B21+B23+B25+B27+B29+B31+B33)</f>
        <v>1</v>
      </c>
      <c r="P34" s="21"/>
    </row>
    <row r="35" spans="1:19" x14ac:dyDescent="0.35">
      <c r="A35" s="26" t="s">
        <v>2</v>
      </c>
      <c r="B35" s="9">
        <f>B5</f>
        <v>0.15</v>
      </c>
      <c r="C35" s="10">
        <f>B35*F3</f>
        <v>688.35</v>
      </c>
      <c r="D35" s="23">
        <f>SUM(D37+D39+D41+D43)</f>
        <v>777.4878832500001</v>
      </c>
      <c r="E35" s="23">
        <f>SUM(E37+E39+E41+E43)</f>
        <v>879.30914885880952</v>
      </c>
      <c r="F35" s="23">
        <f t="shared" ref="F35:P35" si="14">SUM(F37+F39+F41+F43)</f>
        <v>995.78608561868884</v>
      </c>
      <c r="G35" s="23">
        <f t="shared" si="14"/>
        <v>1129.2272572137647</v>
      </c>
      <c r="H35" s="23">
        <f t="shared" si="14"/>
        <v>1282.340801998233</v>
      </c>
      <c r="I35" s="23">
        <f t="shared" si="14"/>
        <v>1458.3109712748212</v>
      </c>
      <c r="J35" s="23">
        <f t="shared" si="14"/>
        <v>1660.8909882018529</v>
      </c>
      <c r="K35" s="23">
        <f t="shared" si="14"/>
        <v>1894.5161047884494</v>
      </c>
      <c r="L35" s="23">
        <f t="shared" si="14"/>
        <v>2164.4417550558373</v>
      </c>
      <c r="M35" s="23">
        <f t="shared" si="14"/>
        <v>2476.9130175625287</v>
      </c>
      <c r="N35" s="23">
        <f t="shared" si="14"/>
        <v>2839.3733021252401</v>
      </c>
      <c r="O35" s="23">
        <f t="shared" si="14"/>
        <v>3260.7223865025362</v>
      </c>
      <c r="P35" s="23">
        <f t="shared" si="14"/>
        <v>3751.6368135217563</v>
      </c>
      <c r="Q35" s="38">
        <f>RATE(9,,-G35,P35)</f>
        <v>0.14271443927367961</v>
      </c>
    </row>
    <row r="36" spans="1:19" x14ac:dyDescent="0.35">
      <c r="A36" s="2"/>
      <c r="B36" s="3"/>
      <c r="D36" s="13">
        <v>0.11300000000000003</v>
      </c>
      <c r="E36" s="13">
        <v>0.11316532974460621</v>
      </c>
      <c r="F36" s="13">
        <v>0.11333090138234915</v>
      </c>
      <c r="G36" s="13">
        <v>0.11349671526714145</v>
      </c>
      <c r="H36" s="13">
        <v>0.11366277175341365</v>
      </c>
      <c r="I36" s="13">
        <v>0.11382907119611473</v>
      </c>
      <c r="J36" s="13">
        <v>0.11399561395071307</v>
      </c>
      <c r="K36" s="13">
        <v>0.1141624003731971</v>
      </c>
      <c r="L36" s="13">
        <v>0.11432943082007613</v>
      </c>
      <c r="M36" s="13">
        <v>0.11449670564838102</v>
      </c>
      <c r="N36" s="13">
        <v>0.11466422521566508</v>
      </c>
      <c r="O36" s="13">
        <v>0.11483198988000465</v>
      </c>
      <c r="P36" s="13">
        <v>0.11500000000000005</v>
      </c>
    </row>
    <row r="37" spans="1:19" x14ac:dyDescent="0.35">
      <c r="A37" s="1" t="s">
        <v>8</v>
      </c>
      <c r="B37" s="15">
        <v>0.23</v>
      </c>
      <c r="C37" s="16">
        <f>B37*C35</f>
        <v>158.32050000000001</v>
      </c>
      <c r="D37" s="36">
        <f>C37*(1+D36)</f>
        <v>176.21071650000002</v>
      </c>
      <c r="E37" s="36">
        <f t="shared" ref="E37:P37" si="15">D37*(1+E36)</f>
        <v>196.15166033725586</v>
      </c>
      <c r="F37" s="36">
        <f t="shared" si="15"/>
        <v>218.38170481092146</v>
      </c>
      <c r="G37" s="36">
        <f t="shared" si="15"/>
        <v>243.16731098139957</v>
      </c>
      <c r="H37" s="36">
        <f t="shared" si="15"/>
        <v>270.80638154736971</v>
      </c>
      <c r="I37" s="36">
        <f t="shared" si="15"/>
        <v>301.63202043288749</v>
      </c>
      <c r="J37" s="36">
        <f t="shared" si="15"/>
        <v>336.01674778932852</v>
      </c>
      <c r="K37" s="36">
        <f t="shared" si="15"/>
        <v>374.37722628255347</v>
      </c>
      <c r="L37" s="36">
        <f t="shared" si="15"/>
        <v>417.17956147543669</v>
      </c>
      <c r="M37" s="36">
        <f t="shared" si="15"/>
        <v>464.94524692821039</v>
      </c>
      <c r="N37" s="36">
        <f t="shared" si="15"/>
        <v>518.2578334349397</v>
      </c>
      <c r="O37" s="36">
        <f t="shared" si="15"/>
        <v>577.77041171917392</v>
      </c>
      <c r="P37" s="36">
        <f t="shared" si="15"/>
        <v>644.21400906687893</v>
      </c>
      <c r="Q37" s="38">
        <f>RATE(9,,-G37,P37)</f>
        <v>0.1143301618477406</v>
      </c>
    </row>
    <row r="38" spans="1:19" x14ac:dyDescent="0.35">
      <c r="A38" s="1"/>
      <c r="B38" s="3"/>
      <c r="D38" s="13">
        <v>8.5999999999999979E-2</v>
      </c>
      <c r="E38" s="13">
        <v>8.6716261712129289E-2</v>
      </c>
      <c r="F38" s="13">
        <v>8.7438488899145378E-2</v>
      </c>
      <c r="G38" s="13">
        <v>8.8166731245248889E-2</v>
      </c>
      <c r="H38" s="13">
        <v>8.8901038848441541E-2</v>
      </c>
      <c r="I38" s="13">
        <v>8.9641462223972457E-2</v>
      </c>
      <c r="J38" s="13">
        <v>9.0388052307813355E-2</v>
      </c>
      <c r="K38" s="13">
        <v>9.1140860460162523E-2</v>
      </c>
      <c r="L38" s="13">
        <v>9.1899938468978037E-2</v>
      </c>
      <c r="M38" s="13">
        <v>9.2665338553540477E-2</v>
      </c>
      <c r="N38" s="13">
        <v>9.3437113368045138E-2</v>
      </c>
      <c r="O38" s="13">
        <v>9.4215316005224412E-2</v>
      </c>
      <c r="P38" s="13">
        <v>9.500000000000007E-2</v>
      </c>
    </row>
    <row r="39" spans="1:19" x14ac:dyDescent="0.35">
      <c r="A39" s="1" t="s">
        <v>11</v>
      </c>
      <c r="B39" s="15">
        <v>0.16</v>
      </c>
      <c r="C39" s="16">
        <f>B39*C35</f>
        <v>110.13600000000001</v>
      </c>
      <c r="D39" s="36">
        <f>C39*(1+D38)</f>
        <v>119.60769600000002</v>
      </c>
      <c r="E39" s="36">
        <f t="shared" ref="E39:P39" si="16">D39*(1+E38)</f>
        <v>129.97962826912081</v>
      </c>
      <c r="F39" s="36">
        <f t="shared" si="16"/>
        <v>141.34485055264537</v>
      </c>
      <c r="G39" s="36">
        <f t="shared" si="16"/>
        <v>153.80676400422033</v>
      </c>
      <c r="H39" s="36">
        <f t="shared" si="16"/>
        <v>167.48034510611259</v>
      </c>
      <c r="I39" s="36">
        <f t="shared" si="16"/>
        <v>182.49352813520008</v>
      </c>
      <c r="J39" s="36">
        <f t="shared" si="16"/>
        <v>198.98876270212196</v>
      </c>
      <c r="K39" s="36">
        <f t="shared" si="16"/>
        <v>217.12476975669642</v>
      </c>
      <c r="L39" s="36">
        <f t="shared" si="16"/>
        <v>237.07852273742785</v>
      </c>
      <c r="M39" s="36">
        <f t="shared" si="16"/>
        <v>259.04748431066486</v>
      </c>
      <c r="N39" s="36">
        <f t="shared" si="16"/>
        <v>283.25213346990733</v>
      </c>
      <c r="O39" s="36">
        <f t="shared" si="16"/>
        <v>309.93882273392865</v>
      </c>
      <c r="P39" s="36">
        <f t="shared" si="16"/>
        <v>339.38301089365189</v>
      </c>
      <c r="Q39" s="38">
        <f>RATE(9,,-G39,P39)</f>
        <v>9.1919239154898982E-2</v>
      </c>
    </row>
    <row r="40" spans="1:19" x14ac:dyDescent="0.35">
      <c r="A40" s="1"/>
      <c r="B40" s="15"/>
      <c r="C40" s="16"/>
      <c r="D40" s="13">
        <v>0.15199999999999997</v>
      </c>
      <c r="E40" s="13">
        <v>0.15505522232255672</v>
      </c>
      <c r="F40" s="13">
        <v>0.15817185506248352</v>
      </c>
      <c r="G40" s="13">
        <v>0.1613511325781882</v>
      </c>
      <c r="H40" s="13">
        <v>0.16459431403886379</v>
      </c>
      <c r="I40" s="13">
        <v>0.16790268392318913</v>
      </c>
      <c r="J40" s="13">
        <v>0.17127755252805307</v>
      </c>
      <c r="K40" s="13">
        <v>0.17472025648750431</v>
      </c>
      <c r="L40" s="13">
        <v>0.17823215930213235</v>
      </c>
      <c r="M40" s="13">
        <v>0.18181465187908871</v>
      </c>
      <c r="N40" s="13">
        <v>0.18546915308296288</v>
      </c>
      <c r="O40" s="13">
        <v>0.18919711029773106</v>
      </c>
      <c r="P40" s="13">
        <v>0.19299999999999984</v>
      </c>
    </row>
    <row r="41" spans="1:19" x14ac:dyDescent="0.35">
      <c r="A41" s="1" t="s">
        <v>7</v>
      </c>
      <c r="B41" s="15">
        <v>0.185</v>
      </c>
      <c r="C41" s="16">
        <f>B41*C35</f>
        <v>127.34475</v>
      </c>
      <c r="D41" s="36">
        <f>C41*(1+D40)</f>
        <v>146.70115200000001</v>
      </c>
      <c r="E41" s="36">
        <f t="shared" ref="E41:P41" si="17">D41*(1+E40)</f>
        <v>169.4479317383352</v>
      </c>
      <c r="F41" s="36">
        <f t="shared" si="17"/>
        <v>196.24982543788877</v>
      </c>
      <c r="G41" s="36">
        <f t="shared" si="17"/>
        <v>227.91495704056385</v>
      </c>
      <c r="H41" s="36">
        <f t="shared" si="17"/>
        <v>265.42846305385257</v>
      </c>
      <c r="I41" s="36">
        <f t="shared" si="17"/>
        <v>309.99461439020149</v>
      </c>
      <c r="J41" s="36">
        <f t="shared" si="17"/>
        <v>363.08973323983275</v>
      </c>
      <c r="K41" s="36">
        <f t="shared" si="17"/>
        <v>426.52886455947583</v>
      </c>
      <c r="L41" s="36">
        <f t="shared" si="17"/>
        <v>502.55002509459797</v>
      </c>
      <c r="M41" s="36">
        <f t="shared" si="17"/>
        <v>593.9209829589995</v>
      </c>
      <c r="N41" s="36">
        <f t="shared" si="17"/>
        <v>704.07500466660599</v>
      </c>
      <c r="O41" s="36">
        <f t="shared" si="17"/>
        <v>837.28396098238932</v>
      </c>
      <c r="P41" s="36">
        <f t="shared" si="17"/>
        <v>998.87976545199035</v>
      </c>
      <c r="Q41" s="38">
        <f>RATE(9,,-G41,P41)</f>
        <v>0.1784318927863362</v>
      </c>
    </row>
    <row r="42" spans="1:19" x14ac:dyDescent="0.35">
      <c r="A42" s="1"/>
      <c r="B42" s="3"/>
      <c r="D42" s="13">
        <v>0.14499999999999999</v>
      </c>
      <c r="E42" s="13">
        <v>0.14557081083387577</v>
      </c>
      <c r="F42" s="13">
        <v>0.14614386873677271</v>
      </c>
      <c r="G42" s="13">
        <v>0.14671918255456212</v>
      </c>
      <c r="H42" s="13">
        <v>0.14729676116793827</v>
      </c>
      <c r="I42" s="13">
        <v>0.14787661349255529</v>
      </c>
      <c r="J42" s="13">
        <v>0.14845874847916501</v>
      </c>
      <c r="K42" s="13">
        <v>0.14904317511375498</v>
      </c>
      <c r="L42" s="13">
        <v>0.1496299024176872</v>
      </c>
      <c r="M42" s="13">
        <v>0.15021893944783746</v>
      </c>
      <c r="N42" s="13">
        <v>0.15081029529673506</v>
      </c>
      <c r="O42" s="13">
        <v>0.1514039790927032</v>
      </c>
      <c r="P42" s="13">
        <v>0.15199999999999986</v>
      </c>
    </row>
    <row r="43" spans="1:19" ht="15" thickBot="1" x14ac:dyDescent="0.4">
      <c r="A43" s="25" t="s">
        <v>40</v>
      </c>
      <c r="B43" s="18">
        <f>1-SUM(B37+B39+B41)</f>
        <v>0.42500000000000004</v>
      </c>
      <c r="C43" s="19">
        <f>B43*C35</f>
        <v>292.54875000000004</v>
      </c>
      <c r="D43" s="36">
        <f>C43*(1+D42)</f>
        <v>334.96831875000004</v>
      </c>
      <c r="E43" s="36">
        <f t="shared" ref="E43:P43" si="18">D43*(1+E42)</f>
        <v>383.72992851409771</v>
      </c>
      <c r="F43" s="36">
        <f t="shared" si="18"/>
        <v>439.80970481723318</v>
      </c>
      <c r="G43" s="36">
        <f t="shared" si="18"/>
        <v>504.33822518758092</v>
      </c>
      <c r="H43" s="36">
        <f t="shared" si="18"/>
        <v>578.62561229089795</v>
      </c>
      <c r="I43" s="36">
        <f t="shared" si="18"/>
        <v>664.19080831653218</v>
      </c>
      <c r="J43" s="36">
        <f t="shared" si="18"/>
        <v>762.79574447056962</v>
      </c>
      <c r="K43" s="36">
        <f t="shared" si="18"/>
        <v>876.48524418972374</v>
      </c>
      <c r="L43" s="36">
        <f t="shared" si="18"/>
        <v>1007.6336457483749</v>
      </c>
      <c r="M43" s="36">
        <f t="shared" si="18"/>
        <v>1158.9993033646538</v>
      </c>
      <c r="N43" s="36">
        <f t="shared" si="18"/>
        <v>1333.7883305537873</v>
      </c>
      <c r="O43" s="36">
        <f t="shared" si="18"/>
        <v>1535.7291910670442</v>
      </c>
      <c r="P43" s="36">
        <f t="shared" si="18"/>
        <v>1769.1600281092349</v>
      </c>
      <c r="Q43" s="38">
        <f>RATE(9,,-G43,P43)</f>
        <v>0.14963659947504246</v>
      </c>
    </row>
    <row r="44" spans="1:19" ht="15" thickBot="1" x14ac:dyDescent="0.4">
      <c r="A44" s="1"/>
      <c r="B44" s="15">
        <f>B37+B39+B41+B43</f>
        <v>1</v>
      </c>
      <c r="P44" s="21"/>
    </row>
    <row r="45" spans="1:19" x14ac:dyDescent="0.35">
      <c r="A45" s="26" t="s">
        <v>41</v>
      </c>
      <c r="B45" s="9">
        <f>B4</f>
        <v>0.21</v>
      </c>
      <c r="C45" s="10">
        <f>B45*F3</f>
        <v>963.68999999999994</v>
      </c>
      <c r="D45" s="23">
        <f>SUM(D47+D49+D51+D53+D55)</f>
        <v>1079.1400619999999</v>
      </c>
      <c r="E45" s="23">
        <f t="shared" ref="E45:P45" si="19">SUM(E47+E49+E51+E53+E55)</f>
        <v>1210.2767211922041</v>
      </c>
      <c r="F45" s="23">
        <f t="shared" si="19"/>
        <v>1359.4696759655617</v>
      </c>
      <c r="G45" s="23">
        <f t="shared" si="19"/>
        <v>1529.4821789012992</v>
      </c>
      <c r="H45" s="23">
        <f t="shared" si="19"/>
        <v>1723.5422721980631</v>
      </c>
      <c r="I45" s="23">
        <f t="shared" si="19"/>
        <v>1945.4279732888458</v>
      </c>
      <c r="J45" s="23">
        <f t="shared" si="19"/>
        <v>2199.5693481127537</v>
      </c>
      <c r="K45" s="23">
        <f t="shared" si="19"/>
        <v>2491.1710712317836</v>
      </c>
      <c r="L45" s="23">
        <f t="shared" si="19"/>
        <v>2826.3598925427491</v>
      </c>
      <c r="M45" s="23">
        <f t="shared" si="19"/>
        <v>3212.3624502155681</v>
      </c>
      <c r="N45" s="23">
        <f t="shared" si="19"/>
        <v>3657.7201401098082</v>
      </c>
      <c r="O45" s="23">
        <f t="shared" si="19"/>
        <v>4172.5493387476054</v>
      </c>
      <c r="P45" s="23">
        <f t="shared" si="19"/>
        <v>4768.8572635197534</v>
      </c>
      <c r="Q45" s="38">
        <f>RATE(9,,-G45,P45)</f>
        <v>0.13468270055948564</v>
      </c>
    </row>
    <row r="46" spans="1:19" x14ac:dyDescent="0.35">
      <c r="A46" s="2"/>
      <c r="B46" s="3"/>
      <c r="D46" s="37">
        <v>0.12400000000000001</v>
      </c>
      <c r="E46" s="37">
        <v>0.12625926925968897</v>
      </c>
      <c r="F46" s="37">
        <v>0.12855970220960192</v>
      </c>
      <c r="G46" s="37">
        <v>0.13090204884860934</v>
      </c>
      <c r="H46" s="37">
        <v>0.13328707284049618</v>
      </c>
      <c r="I46" s="37">
        <v>0.13571555176293534</v>
      </c>
      <c r="J46" s="37">
        <v>0.13818827736099762</v>
      </c>
      <c r="K46" s="37">
        <v>0.14070605580528051</v>
      </c>
      <c r="L46" s="37">
        <v>0.14326970795473978</v>
      </c>
      <c r="M46" s="37">
        <v>0.14588006962431041</v>
      </c>
      <c r="N46" s="37">
        <v>0.14853799185740307</v>
      </c>
      <c r="O46" s="37">
        <v>0.15124434120336566</v>
      </c>
      <c r="P46" s="37">
        <v>0.15400000000000011</v>
      </c>
    </row>
    <row r="47" spans="1:19" x14ac:dyDescent="0.35">
      <c r="A47" s="1" t="s">
        <v>4</v>
      </c>
      <c r="B47" s="15">
        <v>0.25</v>
      </c>
      <c r="C47" s="16">
        <f>B47*C45</f>
        <v>240.92249999999999</v>
      </c>
      <c r="D47" s="36">
        <f>C47*(1+D46)</f>
        <v>270.79689000000002</v>
      </c>
      <c r="E47" s="36">
        <f t="shared" ref="E47:P47" si="20">D47*(1+E46)</f>
        <v>304.98750744919636</v>
      </c>
      <c r="F47" s="36">
        <f t="shared" si="20"/>
        <v>344.19661058451379</v>
      </c>
      <c r="G47" s="36">
        <f t="shared" si="20"/>
        <v>389.25265211677362</v>
      </c>
      <c r="H47" s="36">
        <f t="shared" si="20"/>
        <v>441.13499871281834</v>
      </c>
      <c r="I47" s="36">
        <f t="shared" si="20"/>
        <v>501.00387846507027</v>
      </c>
      <c r="J47" s="36">
        <f t="shared" si="20"/>
        <v>570.23674138133697</v>
      </c>
      <c r="K47" s="36">
        <f t="shared" si="20"/>
        <v>650.47250413636073</v>
      </c>
      <c r="L47" s="36">
        <f t="shared" si="20"/>
        <v>743.66550983656543</v>
      </c>
      <c r="M47" s="36">
        <f t="shared" si="20"/>
        <v>852.15148618872183</v>
      </c>
      <c r="N47" s="36">
        <f t="shared" si="20"/>
        <v>978.72835670549603</v>
      </c>
      <c r="O47" s="36">
        <f t="shared" si="20"/>
        <v>1126.7554822324714</v>
      </c>
      <c r="P47" s="36">
        <f t="shared" si="20"/>
        <v>1300.2758264962722</v>
      </c>
      <c r="Q47" s="38">
        <f>RATE(9,,-G47,P47)</f>
        <v>0.14340591424533486</v>
      </c>
    </row>
    <row r="48" spans="1:19" x14ac:dyDescent="0.35">
      <c r="A48" s="1"/>
      <c r="B48" s="3"/>
      <c r="D48" s="37">
        <v>0.10100000000000002</v>
      </c>
      <c r="E48" s="37">
        <v>0.10274161774298719</v>
      </c>
      <c r="F48" s="37">
        <v>0.10451326748956533</v>
      </c>
      <c r="G48" s="37">
        <v>0.10631546710379694</v>
      </c>
      <c r="H48" s="37">
        <v>0.10814874337965774</v>
      </c>
      <c r="I48" s="37">
        <v>0.11001363219502189</v>
      </c>
      <c r="J48" s="37">
        <v>0.11191067866830222</v>
      </c>
      <c r="K48" s="37">
        <v>0.11384043731779185</v>
      </c>
      <c r="L48" s="37">
        <v>0.1158034722237531</v>
      </c>
      <c r="M48" s="37">
        <v>0.11780035719330173</v>
      </c>
      <c r="N48" s="37">
        <v>0.11983167592813421</v>
      </c>
      <c r="O48" s="37">
        <v>0.12189802219514735</v>
      </c>
      <c r="P48" s="37">
        <v>0.12399999999999994</v>
      </c>
    </row>
    <row r="49" spans="1:17" x14ac:dyDescent="0.35">
      <c r="A49" s="1" t="s">
        <v>5</v>
      </c>
      <c r="B49" s="15">
        <v>0.16</v>
      </c>
      <c r="C49" s="16">
        <f>B49*C45</f>
        <v>154.19039999999998</v>
      </c>
      <c r="D49" s="36">
        <f>C49*(1+D48)</f>
        <v>169.76363039999998</v>
      </c>
      <c r="E49" s="36">
        <f t="shared" ref="E49:P49" si="21">D49*(1+E48)</f>
        <v>187.20542042121855</v>
      </c>
      <c r="F49" s="36">
        <f t="shared" si="21"/>
        <v>206.77087060119788</v>
      </c>
      <c r="G49" s="36">
        <f t="shared" si="21"/>
        <v>228.753812292623</v>
      </c>
      <c r="H49" s="36">
        <f t="shared" si="21"/>
        <v>253.49324963537629</v>
      </c>
      <c r="I49" s="36">
        <f t="shared" si="21"/>
        <v>281.38096276468343</v>
      </c>
      <c r="J49" s="36">
        <f t="shared" si="21"/>
        <v>312.87049727201941</v>
      </c>
      <c r="K49" s="36">
        <f t="shared" si="21"/>
        <v>348.48781150530112</v>
      </c>
      <c r="L49" s="36">
        <f t="shared" si="21"/>
        <v>388.84391010527179</v>
      </c>
      <c r="M49" s="36">
        <f t="shared" si="21"/>
        <v>434.64986160811293</v>
      </c>
      <c r="N49" s="36">
        <f t="shared" si="21"/>
        <v>486.73468296654465</v>
      </c>
      <c r="O49" s="36">
        <f t="shared" si="21"/>
        <v>546.06667815394849</v>
      </c>
      <c r="P49" s="36">
        <f t="shared" si="21"/>
        <v>613.77894624503801</v>
      </c>
      <c r="Q49" s="38">
        <f>RATE(9,,-G49,P49)</f>
        <v>0.11590461032046438</v>
      </c>
    </row>
    <row r="50" spans="1:17" x14ac:dyDescent="0.35">
      <c r="A50" s="1"/>
      <c r="B50" s="3"/>
      <c r="D50" s="37">
        <v>0.15200000000000005</v>
      </c>
      <c r="E50" s="37">
        <v>0.15312013251533513</v>
      </c>
      <c r="F50" s="37">
        <v>0.15424851961522223</v>
      </c>
      <c r="G50" s="37">
        <v>0.15538522213011247</v>
      </c>
      <c r="H50" s="37">
        <v>0.15653030133873422</v>
      </c>
      <c r="I50" s="37">
        <v>0.1576838189713968</v>
      </c>
      <c r="J50" s="37">
        <v>0.1588458372133183</v>
      </c>
      <c r="K50" s="37">
        <v>0.16001641870797795</v>
      </c>
      <c r="L50" s="37">
        <v>0.16119562656049294</v>
      </c>
      <c r="M50" s="37">
        <v>0.16238352434102071</v>
      </c>
      <c r="N50" s="37">
        <v>0.1635801760881857</v>
      </c>
      <c r="O50" s="37">
        <v>0.16478564631253187</v>
      </c>
      <c r="P50" s="37">
        <v>0.16600000000000015</v>
      </c>
    </row>
    <row r="51" spans="1:17" x14ac:dyDescent="0.35">
      <c r="A51" s="1" t="s">
        <v>31</v>
      </c>
      <c r="B51" s="15">
        <v>0.17</v>
      </c>
      <c r="C51" s="16">
        <f>B51*C45</f>
        <v>163.82730000000001</v>
      </c>
      <c r="D51" s="36">
        <f>C51*(1+D50)</f>
        <v>188.72904960000002</v>
      </c>
      <c r="E51" s="36">
        <f t="shared" ref="E51:P51" si="22">D51*(1+E50)</f>
        <v>217.62726668424528</v>
      </c>
      <c r="F51" s="36">
        <f t="shared" si="22"/>
        <v>251.19595039819731</v>
      </c>
      <c r="G51" s="36">
        <f t="shared" si="22"/>
        <v>290.22808894900589</v>
      </c>
      <c r="H51" s="36">
        <f t="shared" si="22"/>
        <v>335.65757916915874</v>
      </c>
      <c r="I51" s="36">
        <f t="shared" si="22"/>
        <v>388.58534811924562</v>
      </c>
      <c r="J51" s="36">
        <f t="shared" si="22"/>
        <v>450.31051307007596</v>
      </c>
      <c r="K51" s="36">
        <f t="shared" si="22"/>
        <v>522.36758867810158</v>
      </c>
      <c r="L51" s="36">
        <f t="shared" si="22"/>
        <v>606.57095942996204</v>
      </c>
      <c r="M51" s="36">
        <f t="shared" si="22"/>
        <v>705.06808958511363</v>
      </c>
      <c r="N51" s="36">
        <f t="shared" si="22"/>
        <v>820.40325183360721</v>
      </c>
      <c r="O51" s="36">
        <f t="shared" si="22"/>
        <v>955.5939319239111</v>
      </c>
      <c r="P51" s="36">
        <f t="shared" si="22"/>
        <v>1114.2225246232804</v>
      </c>
      <c r="Q51" s="38">
        <f>RATE(9,,-G51,P51)</f>
        <v>0.16122057243621088</v>
      </c>
    </row>
    <row r="52" spans="1:17" x14ac:dyDescent="0.35">
      <c r="A52" s="1"/>
      <c r="B52" s="3"/>
      <c r="D52" s="37">
        <v>0.12500000000000006</v>
      </c>
      <c r="E52" s="37">
        <v>0.1272609478104389</v>
      </c>
      <c r="F52" s="37">
        <v>0.12956279070088997</v>
      </c>
      <c r="G52" s="37">
        <v>0.13190626836448616</v>
      </c>
      <c r="H52" s="37">
        <v>0.13429213387362091</v>
      </c>
      <c r="I52" s="37">
        <v>0.13672115392194667</v>
      </c>
      <c r="J52" s="37">
        <v>0.13919410907075067</v>
      </c>
      <c r="K52" s="37">
        <v>0.14171179399978667</v>
      </c>
      <c r="L52" s="37">
        <v>0.14427501776264409</v>
      </c>
      <c r="M52" s="37">
        <v>0.14688460404673589</v>
      </c>
      <c r="N52" s="37">
        <v>0.14954139143798906</v>
      </c>
      <c r="O52" s="37">
        <v>0.15224623369032267</v>
      </c>
      <c r="P52" s="37">
        <v>0.15500000000000022</v>
      </c>
    </row>
    <row r="53" spans="1:17" x14ac:dyDescent="0.35">
      <c r="A53" s="1" t="s">
        <v>6</v>
      </c>
      <c r="B53" s="15">
        <v>0.12</v>
      </c>
      <c r="C53" s="16">
        <f>B53*C45</f>
        <v>115.64279999999999</v>
      </c>
      <c r="D53" s="36">
        <f>C53*(1+D52)</f>
        <v>130.09815</v>
      </c>
      <c r="E53" s="36">
        <f t="shared" ref="E53:P53" si="23">D53*(1+E52)</f>
        <v>146.65456387738467</v>
      </c>
      <c r="F53" s="36">
        <f t="shared" si="23"/>
        <v>165.65553844236058</v>
      </c>
      <c r="G53" s="36">
        <f t="shared" si="23"/>
        <v>187.50654235220202</v>
      </c>
      <c r="H53" s="36">
        <f t="shared" si="23"/>
        <v>212.6871960399437</v>
      </c>
      <c r="I53" s="36">
        <f t="shared" si="23"/>
        <v>241.76603490694808</v>
      </c>
      <c r="J53" s="36">
        <f t="shared" si="23"/>
        <v>275.41844273938875</v>
      </c>
      <c r="K53" s="36">
        <f t="shared" si="23"/>
        <v>314.44848436061505</v>
      </c>
      <c r="L53" s="36">
        <f t="shared" si="23"/>
        <v>359.81554502717933</v>
      </c>
      <c r="M53" s="36">
        <f t="shared" si="23"/>
        <v>412.66690888835706</v>
      </c>
      <c r="N53" s="36">
        <f t="shared" si="23"/>
        <v>474.3776926439358</v>
      </c>
      <c r="O53" s="36">
        <f t="shared" si="23"/>
        <v>546.59990969568059</v>
      </c>
      <c r="P53" s="36">
        <f t="shared" si="23"/>
        <v>631.32289569851127</v>
      </c>
      <c r="Q53" s="38">
        <f>RATE(9,,-G53,P53)</f>
        <v>0.14441009303778155</v>
      </c>
    </row>
    <row r="54" spans="1:17" x14ac:dyDescent="0.35">
      <c r="A54" s="1"/>
      <c r="B54" s="3"/>
      <c r="D54" s="37">
        <v>0.10600000000000002</v>
      </c>
      <c r="E54" s="37">
        <v>0.10648747886312365</v>
      </c>
      <c r="F54" s="37">
        <v>0.10697719957192649</v>
      </c>
      <c r="G54" s="37">
        <v>0.10746917243633659</v>
      </c>
      <c r="H54" s="37">
        <v>0.10796340781369607</v>
      </c>
      <c r="I54" s="37">
        <v>0.10845991610897886</v>
      </c>
      <c r="J54" s="37">
        <v>0.10895870777500991</v>
      </c>
      <c r="K54" s="37">
        <v>0.10945979331268518</v>
      </c>
      <c r="L54" s="37">
        <v>0.10996318327119291</v>
      </c>
      <c r="M54" s="37">
        <v>0.11046888824823532</v>
      </c>
      <c r="N54" s="37">
        <v>0.11097691889025214</v>
      </c>
      <c r="O54" s="37">
        <v>0.11148728589264444</v>
      </c>
      <c r="P54" s="37">
        <v>0.11199999999999997</v>
      </c>
    </row>
    <row r="55" spans="1:17" ht="15" thickBot="1" x14ac:dyDescent="0.4">
      <c r="A55" s="25" t="s">
        <v>42</v>
      </c>
      <c r="B55" s="18">
        <f>1-SUM(B47+B49+B51+B53)</f>
        <v>0.29999999999999993</v>
      </c>
      <c r="C55" s="19">
        <f>B55*C45</f>
        <v>289.10699999999991</v>
      </c>
      <c r="D55" s="36">
        <f>C55*(1+D54)</f>
        <v>319.75234199999994</v>
      </c>
      <c r="E55" s="36">
        <f t="shared" ref="E55:P55" si="24">D55*(1+E54)</f>
        <v>353.8019627601592</v>
      </c>
      <c r="F55" s="36">
        <f t="shared" si="24"/>
        <v>391.65070593929204</v>
      </c>
      <c r="G55" s="36">
        <f t="shared" si="24"/>
        <v>433.74108319069478</v>
      </c>
      <c r="H55" s="36">
        <f t="shared" si="24"/>
        <v>480.56924864076598</v>
      </c>
      <c r="I55" s="36">
        <f t="shared" si="24"/>
        <v>532.69174903289843</v>
      </c>
      <c r="J55" s="36">
        <f t="shared" si="24"/>
        <v>590.73315364993289</v>
      </c>
      <c r="K55" s="36">
        <f t="shared" si="24"/>
        <v>655.39468255140514</v>
      </c>
      <c r="L55" s="36">
        <f t="shared" si="24"/>
        <v>727.46396814377056</v>
      </c>
      <c r="M55" s="36">
        <f t="shared" si="24"/>
        <v>807.82610394526262</v>
      </c>
      <c r="N55" s="36">
        <f t="shared" si="24"/>
        <v>897.47615596022433</v>
      </c>
      <c r="O55" s="36">
        <f t="shared" si="24"/>
        <v>997.5333367415933</v>
      </c>
      <c r="P55" s="36">
        <f t="shared" si="24"/>
        <v>1109.2570704566517</v>
      </c>
      <c r="Q55" s="38">
        <f>RATE(9,,-G55,P55)</f>
        <v>0.10997013558723172</v>
      </c>
    </row>
    <row r="56" spans="1:17" ht="15" thickBot="1" x14ac:dyDescent="0.4">
      <c r="A56" s="1"/>
      <c r="B56" s="15">
        <f>B47+B49+B51+B53+B55</f>
        <v>1</v>
      </c>
      <c r="P56" s="21"/>
    </row>
    <row r="57" spans="1:17" x14ac:dyDescent="0.35">
      <c r="A57" s="26" t="s">
        <v>43</v>
      </c>
      <c r="B57" s="9">
        <f>1-SUM(B11+B17+B35+B45)</f>
        <v>8.5000000000000075E-2</v>
      </c>
      <c r="C57" s="105">
        <f>B57*F3</f>
        <v>390.06500000000034</v>
      </c>
      <c r="D57" s="10">
        <f>SUM(D59+D61+D63+D65)</f>
        <v>415.08376910000038</v>
      </c>
      <c r="E57" s="10">
        <f t="shared" ref="E57:P57" si="25">SUM(E59+E61+E63+E65)</f>
        <v>442.08441390744565</v>
      </c>
      <c r="F57" s="10">
        <f t="shared" si="25"/>
        <v>471.25407763850853</v>
      </c>
      <c r="G57" s="10">
        <f t="shared" si="25"/>
        <v>502.80097874010471</v>
      </c>
      <c r="H57" s="10">
        <f t="shared" si="25"/>
        <v>536.95723062875891</v>
      </c>
      <c r="I57" s="10">
        <f t="shared" si="25"/>
        <v>573.98210463608325</v>
      </c>
      <c r="J57" s="10">
        <f t="shared" si="25"/>
        <v>614.16581661410839</v>
      </c>
      <c r="K57" s="10">
        <f t="shared" si="25"/>
        <v>657.83393420034645</v>
      </c>
      <c r="L57" s="10">
        <f t="shared" si="25"/>
        <v>705.35252207645499</v>
      </c>
      <c r="M57" s="10">
        <f t="shared" si="25"/>
        <v>757.13416762613792</v>
      </c>
      <c r="N57" s="10">
        <f t="shared" si="25"/>
        <v>813.64506041634797</v>
      </c>
      <c r="O57" s="10">
        <f t="shared" si="25"/>
        <v>875.41333743374048</v>
      </c>
      <c r="P57" s="10">
        <f t="shared" si="25"/>
        <v>943.03895398135433</v>
      </c>
      <c r="Q57" s="38">
        <f>RATE(9,,-G57,P57)</f>
        <v>7.2378673826955203E-2</v>
      </c>
    </row>
    <row r="58" spans="1:17" x14ac:dyDescent="0.35">
      <c r="A58" s="2"/>
      <c r="D58" s="37">
        <v>5.4999999999999973E-2</v>
      </c>
      <c r="E58" s="37">
        <v>5.6440073500345973E-2</v>
      </c>
      <c r="F58" s="37">
        <v>5.7917852667717408E-2</v>
      </c>
      <c r="G58" s="37">
        <v>5.9434324755421479E-2</v>
      </c>
      <c r="H58" s="37">
        <v>6.099050286617131E-2</v>
      </c>
      <c r="I58" s="37">
        <v>6.2587426628904944E-2</v>
      </c>
      <c r="J58" s="37">
        <v>6.4226162893325597E-2</v>
      </c>
      <c r="K58" s="37">
        <v>6.5907806442627129E-2</v>
      </c>
      <c r="L58" s="37">
        <v>6.7633480724880957E-2</v>
      </c>
      <c r="M58" s="37">
        <v>6.9404338603573021E-2</v>
      </c>
      <c r="N58" s="37">
        <v>7.1221563127792042E-2</v>
      </c>
      <c r="O58" s="37">
        <v>7.3086368322583917E-2</v>
      </c>
      <c r="P58" s="37">
        <v>7.4999999999999928E-2</v>
      </c>
    </row>
    <row r="59" spans="1:17" x14ac:dyDescent="0.35">
      <c r="A59" s="1" t="s">
        <v>9</v>
      </c>
      <c r="B59" s="15">
        <v>0.15</v>
      </c>
      <c r="C59" s="16">
        <f>B59*C57</f>
        <v>58.509750000000047</v>
      </c>
      <c r="D59" s="36">
        <f>C59*(1+D58)</f>
        <v>61.727786250000044</v>
      </c>
      <c r="E59" s="36">
        <f t="shared" ref="E59:P59" si="26">D59*(1+E58)</f>
        <v>65.211707042963695</v>
      </c>
      <c r="F59" s="36">
        <f t="shared" si="26"/>
        <v>68.988629083688409</v>
      </c>
      <c r="G59" s="36">
        <f t="shared" si="26"/>
        <v>73.088921669079653</v>
      </c>
      <c r="H59" s="36">
        <f t="shared" si="26"/>
        <v>77.546651755623017</v>
      </c>
      <c r="I59" s="36">
        <f t="shared" si="26"/>
        <v>82.400097132695322</v>
      </c>
      <c r="J59" s="36">
        <f t="shared" si="26"/>
        <v>87.692339193565658</v>
      </c>
      <c r="K59" s="36">
        <f t="shared" si="26"/>
        <v>93.471948911636389</v>
      </c>
      <c r="L59" s="36">
        <f t="shared" si="26"/>
        <v>99.79378216666862</v>
      </c>
      <c r="M59" s="36">
        <f t="shared" si="26"/>
        <v>106.7199036146953</v>
      </c>
      <c r="N59" s="36">
        <f t="shared" si="26"/>
        <v>114.32066196698119</v>
      </c>
      <c r="O59" s="36">
        <f t="shared" si="26"/>
        <v>122.6759439743816</v>
      </c>
      <c r="P59" s="36">
        <f t="shared" si="26"/>
        <v>131.87663977246021</v>
      </c>
      <c r="Q59" s="38">
        <f>RATE(9,,-G59,P59)</f>
        <v>6.777461273705758E-2</v>
      </c>
    </row>
    <row r="60" spans="1:17" x14ac:dyDescent="0.35">
      <c r="A60" s="1"/>
      <c r="B60" s="3"/>
      <c r="D60" s="37">
        <v>7.1999999999999995E-2</v>
      </c>
      <c r="E60" s="37">
        <v>7.4120465138152999E-2</v>
      </c>
      <c r="F60" s="37">
        <v>7.6303379893002163E-2</v>
      </c>
      <c r="G60" s="37">
        <v>7.8550583462257101E-2</v>
      </c>
      <c r="H60" s="37">
        <v>8.0863969209663975E-2</v>
      </c>
      <c r="I60" s="37">
        <v>8.3245486260244111E-2</v>
      </c>
      <c r="J60" s="37">
        <v>8.5697141142514158E-2</v>
      </c>
      <c r="K60" s="37">
        <v>8.8220999479070819E-2</v>
      </c>
      <c r="L60" s="37">
        <v>9.0819187726965053E-2</v>
      </c>
      <c r="M60" s="37">
        <v>9.3493894969331748E-2</v>
      </c>
      <c r="N60" s="37">
        <v>9.6247374759784635E-2</v>
      </c>
      <c r="O60" s="37">
        <v>9.908194702113006E-2</v>
      </c>
      <c r="P60" s="37">
        <v>0.10199999999999992</v>
      </c>
    </row>
    <row r="61" spans="1:17" x14ac:dyDescent="0.35">
      <c r="A61" s="1" t="s">
        <v>46</v>
      </c>
      <c r="B61" s="15">
        <v>0.16</v>
      </c>
      <c r="C61" s="16">
        <f>B61*C57</f>
        <v>62.410400000000053</v>
      </c>
      <c r="D61" s="36">
        <f>C61*(1+D60)</f>
        <v>66.903948800000066</v>
      </c>
      <c r="E61" s="36">
        <f t="shared" ref="E61:P61" si="27">D61*(1+E60)</f>
        <v>71.862900604635243</v>
      </c>
      <c r="F61" s="36">
        <f t="shared" si="27"/>
        <v>77.346282809683785</v>
      </c>
      <c r="G61" s="36">
        <f t="shared" si="27"/>
        <v>83.421878453021193</v>
      </c>
      <c r="H61" s="36">
        <f t="shared" si="27"/>
        <v>90.167702663658631</v>
      </c>
      <c r="I61" s="36">
        <f t="shared" si="27"/>
        <v>97.673756916863994</v>
      </c>
      <c r="J61" s="36">
        <f t="shared" si="27"/>
        <v>106.04411864928811</v>
      </c>
      <c r="K61" s="36">
        <f t="shared" si="27"/>
        <v>115.39943678540548</v>
      </c>
      <c r="L61" s="36">
        <f t="shared" si="27"/>
        <v>125.87991989840526</v>
      </c>
      <c r="M61" s="36">
        <f t="shared" si="27"/>
        <v>137.64892390813466</v>
      </c>
      <c r="N61" s="36">
        <f t="shared" si="27"/>
        <v>150.897271472802</v>
      </c>
      <c r="O61" s="36">
        <f t="shared" si="27"/>
        <v>165.84846693050326</v>
      </c>
      <c r="P61" s="36">
        <f t="shared" si="27"/>
        <v>182.76501055741457</v>
      </c>
      <c r="Q61" s="38">
        <f>RATE(9,,R60-G61,P61)</f>
        <v>9.1053128651781154E-2</v>
      </c>
    </row>
    <row r="62" spans="1:17" x14ac:dyDescent="0.35">
      <c r="A62" s="1"/>
      <c r="B62" s="3"/>
      <c r="D62" s="37">
        <v>8.0999999999999989E-2</v>
      </c>
      <c r="E62" s="37">
        <v>8.1638265276121932E-2</v>
      </c>
      <c r="F62" s="37">
        <v>8.2281559966598222E-2</v>
      </c>
      <c r="G62" s="37">
        <v>8.2929923702299749E-2</v>
      </c>
      <c r="H62" s="37">
        <v>8.3583396426381476E-2</v>
      </c>
      <c r="I62" s="37">
        <v>8.4242018396743112E-2</v>
      </c>
      <c r="J62" s="37">
        <v>8.4905830188509376E-2</v>
      </c>
      <c r="K62" s="37">
        <v>8.5574872696529497E-2</v>
      </c>
      <c r="L62" s="37">
        <v>8.6249187137896796E-2</v>
      </c>
      <c r="M62" s="37">
        <v>8.6928815054487671E-2</v>
      </c>
      <c r="N62" s="37">
        <v>8.7613798315521074E-2</v>
      </c>
      <c r="O62" s="37">
        <v>8.8304179120137716E-2</v>
      </c>
      <c r="P62" s="37">
        <v>8.8999999999999885E-2</v>
      </c>
    </row>
    <row r="63" spans="1:17" x14ac:dyDescent="0.35">
      <c r="A63" s="1" t="s">
        <v>10</v>
      </c>
      <c r="B63" s="15">
        <v>0.21</v>
      </c>
      <c r="C63" s="16">
        <f>B63*C57</f>
        <v>81.913650000000075</v>
      </c>
      <c r="D63" s="36">
        <f>C63*(1+D62)</f>
        <v>88.548655650000072</v>
      </c>
      <c r="E63" s="36">
        <f t="shared" ref="E63:P63" si="28">D63*(1+E62)</f>
        <v>95.777614289798748</v>
      </c>
      <c r="F63" s="36">
        <f t="shared" si="28"/>
        <v>103.65834580344254</v>
      </c>
      <c r="G63" s="36">
        <f t="shared" si="28"/>
        <v>112.25472451202864</v>
      </c>
      <c r="H63" s="36">
        <f t="shared" si="28"/>
        <v>121.63735565165177</v>
      </c>
      <c r="I63" s="36">
        <f t="shared" si="28"/>
        <v>131.88433200418942</v>
      </c>
      <c r="J63" s="36">
        <f t="shared" si="28"/>
        <v>143.08208070186211</v>
      </c>
      <c r="K63" s="36">
        <f t="shared" si="28"/>
        <v>155.32631154307853</v>
      </c>
      <c r="L63" s="36">
        <f t="shared" si="28"/>
        <v>168.72307965479678</v>
      </c>
      <c r="M63" s="36">
        <f t="shared" si="28"/>
        <v>183.38997704153218</v>
      </c>
      <c r="N63" s="36">
        <f t="shared" si="28"/>
        <v>199.45746950313699</v>
      </c>
      <c r="O63" s="36">
        <f t="shared" si="28"/>
        <v>217.07039761699141</v>
      </c>
      <c r="P63" s="36">
        <f t="shared" si="28"/>
        <v>236.38966300490364</v>
      </c>
      <c r="Q63" s="38">
        <f>RATE(9,,-G63,P63)</f>
        <v>8.6265493012898722E-2</v>
      </c>
    </row>
    <row r="64" spans="1:17" x14ac:dyDescent="0.35">
      <c r="A64" s="1"/>
      <c r="B64" s="3"/>
      <c r="D64" s="37">
        <v>5.7000000000000002E-2</v>
      </c>
      <c r="E64" s="37">
        <v>5.7244164610217738E-2</v>
      </c>
      <c r="F64" s="37">
        <v>5.7489375121433414E-2</v>
      </c>
      <c r="G64" s="37">
        <v>5.7735636013857734E-2</v>
      </c>
      <c r="H64" s="37">
        <v>5.7982951786892764E-2</v>
      </c>
      <c r="I64" s="37">
        <v>5.8231326959214166E-2</v>
      </c>
      <c r="J64" s="37">
        <v>5.8480766068853773E-2</v>
      </c>
      <c r="K64" s="37">
        <v>5.8731273673282486E-2</v>
      </c>
      <c r="L64" s="37">
        <v>5.8982854349493512E-2</v>
      </c>
      <c r="M64" s="37">
        <v>5.9235512694086022E-2</v>
      </c>
      <c r="N64" s="37">
        <v>5.9489253323349173E-2</v>
      </c>
      <c r="O64" s="37">
        <v>5.9744080873346359E-2</v>
      </c>
      <c r="P64" s="37">
        <v>5.9999999999999991E-2</v>
      </c>
    </row>
    <row r="65" spans="1:17" ht="15" thickBot="1" x14ac:dyDescent="0.4">
      <c r="A65" s="25" t="s">
        <v>42</v>
      </c>
      <c r="B65" s="18">
        <f>1-SUM(B59+B61+B63)</f>
        <v>0.48</v>
      </c>
      <c r="C65" s="19">
        <f>B65*C57</f>
        <v>187.23120000000014</v>
      </c>
      <c r="D65" s="36">
        <f>C65*(1+D64)</f>
        <v>197.90337840000015</v>
      </c>
      <c r="E65" s="36">
        <f t="shared" ref="E65:P65" si="29">D65*(1+E64)</f>
        <v>209.23219197004798</v>
      </c>
      <c r="F65" s="36">
        <f t="shared" si="29"/>
        <v>221.26081994169382</v>
      </c>
      <c r="G65" s="36">
        <f t="shared" si="29"/>
        <v>234.03545410597516</v>
      </c>
      <c r="H65" s="36">
        <f t="shared" si="29"/>
        <v>247.60552055782549</v>
      </c>
      <c r="I65" s="36">
        <f t="shared" si="29"/>
        <v>262.0239185823346</v>
      </c>
      <c r="J65" s="36">
        <f t="shared" si="29"/>
        <v>277.34727806939247</v>
      </c>
      <c r="K65" s="36">
        <f t="shared" si="29"/>
        <v>293.63623696022597</v>
      </c>
      <c r="L65" s="36">
        <f t="shared" si="29"/>
        <v>310.95574035658433</v>
      </c>
      <c r="M65" s="36">
        <f t="shared" si="29"/>
        <v>329.37536306177572</v>
      </c>
      <c r="N65" s="36">
        <f t="shared" si="29"/>
        <v>348.96965747342779</v>
      </c>
      <c r="O65" s="36">
        <f t="shared" si="29"/>
        <v>369.81852891186418</v>
      </c>
      <c r="P65" s="36">
        <f t="shared" si="29"/>
        <v>392.00764064657602</v>
      </c>
      <c r="Q65" s="38">
        <f>RATE(9,,-G65,P65)</f>
        <v>5.8986246544730357E-2</v>
      </c>
    </row>
    <row r="66" spans="1:17" x14ac:dyDescent="0.35">
      <c r="B66" s="12">
        <f>SUM(B59+B61+B63+B65)</f>
        <v>1</v>
      </c>
    </row>
    <row r="67" spans="1:17" x14ac:dyDescent="0.35">
      <c r="B67" s="102">
        <f>SUM(B57,B45,B35,B17,B11)</f>
        <v>1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57E22-2EFE-49A2-82FC-2D76FB2A8A9D}">
  <dimension ref="C4:E11"/>
  <sheetViews>
    <sheetView workbookViewId="0">
      <selection activeCell="D5" sqref="D5:D6"/>
    </sheetView>
  </sheetViews>
  <sheetFormatPr defaultRowHeight="14.5" x14ac:dyDescent="0.35"/>
  <cols>
    <col min="3" max="3" width="17" customWidth="1"/>
  </cols>
  <sheetData>
    <row r="4" spans="3:5" x14ac:dyDescent="0.35">
      <c r="C4" s="134" t="s">
        <v>76</v>
      </c>
      <c r="D4">
        <v>60603</v>
      </c>
      <c r="E4" s="103">
        <f>D4/D11</f>
        <v>8.4609155765284036E-2</v>
      </c>
    </row>
    <row r="5" spans="3:5" x14ac:dyDescent="0.35">
      <c r="C5" s="134" t="s">
        <v>77</v>
      </c>
      <c r="D5">
        <v>160578</v>
      </c>
      <c r="E5" s="107">
        <f>D5/D11</f>
        <v>0.22418641015259608</v>
      </c>
    </row>
    <row r="6" spans="3:5" x14ac:dyDescent="0.35">
      <c r="C6" s="134" t="s">
        <v>78</v>
      </c>
      <c r="D6">
        <v>253839</v>
      </c>
      <c r="E6" s="107">
        <f>D6/D11</f>
        <v>0.35439010429028162</v>
      </c>
    </row>
    <row r="7" spans="3:5" x14ac:dyDescent="0.35">
      <c r="C7" s="134" t="s">
        <v>79</v>
      </c>
      <c r="D7">
        <v>232671</v>
      </c>
      <c r="E7" s="107">
        <f>D7/D11</f>
        <v>0.32483700280620437</v>
      </c>
    </row>
    <row r="8" spans="3:5" x14ac:dyDescent="0.35">
      <c r="C8" s="134" t="s">
        <v>80</v>
      </c>
      <c r="D8">
        <v>8579</v>
      </c>
      <c r="E8" s="107">
        <f>D8/D11</f>
        <v>1.197732698563391E-2</v>
      </c>
    </row>
    <row r="9" spans="3:5" x14ac:dyDescent="0.35">
      <c r="C9" s="134" t="s">
        <v>81</v>
      </c>
    </row>
    <row r="10" spans="3:5" x14ac:dyDescent="0.35">
      <c r="C10" s="134" t="s">
        <v>82</v>
      </c>
      <c r="E10" s="103"/>
    </row>
    <row r="11" spans="3:5" x14ac:dyDescent="0.35">
      <c r="D11">
        <f>SUM(D4:D8)</f>
        <v>716270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55FA-278B-4489-A00C-A890EA31D88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Global</vt:lpstr>
      <vt:lpstr>Dashboard</vt:lpstr>
      <vt:lpstr>Europe</vt:lpstr>
      <vt:lpstr>MEA</vt:lpstr>
      <vt:lpstr>Latin America</vt:lpstr>
      <vt:lpstr>APAC</vt:lpstr>
      <vt:lpstr>North America</vt:lpstr>
      <vt:lpstr>Market Analysis 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Preksha -PC</dc:creator>
  <cp:lastModifiedBy>Bhakti Didmishe</cp:lastModifiedBy>
  <cp:lastPrinted>2021-05-13T14:27:55Z</cp:lastPrinted>
  <dcterms:created xsi:type="dcterms:W3CDTF">2019-11-13T10:22:52Z</dcterms:created>
  <dcterms:modified xsi:type="dcterms:W3CDTF">2026-10-15T07:56:01Z</dcterms:modified>
</cp:coreProperties>
</file>